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ctrlProps/ctrlProp1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5.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drawings/drawing6.xml" ContentType="application/vnd.openxmlformats-officedocument.drawing+xml"/>
  <Override PartName="/xl/activeX/activeX4.xml" ContentType="application/vnd.ms-office.activeX+xml"/>
  <Override PartName="/xl/activeX/activeX4.bin" ContentType="application/vnd.ms-office.activeX"/>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pivotTables/pivotTable1.xml" ContentType="application/vnd.openxmlformats-officedocument.spreadsheetml.pivot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Tobias\Programmering\Credit-tracker LITH\"/>
    </mc:Choice>
  </mc:AlternateContent>
  <bookViews>
    <workbookView xWindow="0" yWindow="0" windowWidth="16410" windowHeight="7425" tabRatio="819"/>
  </bookViews>
  <sheets>
    <sheet name="Sammanställning" sheetId="1" r:id="rId1"/>
    <sheet name="Ditt informationsblad" sheetId="8" r:id="rId2"/>
    <sheet name="Programkurser" sheetId="6" r:id="rId3"/>
    <sheet name="Examenskrav" sheetId="16" r:id="rId4"/>
    <sheet name="Program och examenskrav" sheetId="10" r:id="rId5"/>
    <sheet name="Automatiserad import" sheetId="12" r:id="rId6"/>
    <sheet name="Data från webbimport" sheetId="17" r:id="rId7"/>
    <sheet name="Om arbetsboken" sheetId="14" r:id="rId8"/>
    <sheet name="Data" sheetId="13" r:id="rId9"/>
    <sheet name="Konstanter" sheetId="11" r:id="rId10"/>
  </sheets>
  <functionGroups builtInGroupCount="18"/>
  <definedNames>
    <definedName name="_xlcn.WorksheetConnection_Högskolepoängsspårare.xlsmProgramKurser1" hidden="1">ProgramKurser[]</definedName>
    <definedName name="_xlcn.WorksheetConnection_Högskolepoängsspårare.xlsmProgramplan1" hidden="1">Programplan[]</definedName>
    <definedName name="action.lasso?__response_lot_response.lasso__op_eq_kp_budget_year_2014__op_eq_kp_programkod_Y__op_eq_kp_programprofil_Y__op_lt_kp_termin_7" localSheetId="5">'Automatiserad import'!#REF!</definedName>
    <definedName name="Admission_Year">'Ditt informationsblad'!$C$5</definedName>
    <definedName name="Avslutade_poäng">Sammanställning!$I$11</definedName>
    <definedName name="Block">Programkurser!$L$6</definedName>
    <definedName name="DynamicProgramRange">'Program och examenskrav'!$E$6:INDEX(AvailablePrograms[PROGRAMNAMN],COUNTIF(AvailablePrograms[PROGRAMNAMN],"?*"))</definedName>
    <definedName name="DynamicSpecRange">Data!$D$15:INDEX(Data!$D$15:$D$113,COUNTIF(Data!$D$15:$D$113,"?*"))</definedName>
    <definedName name="DynamicTextRange">Data!$D$12:INDEX(Data!$D$12:$D$113,COUNTIF(Data!$D$12:$D$113,"?*"))</definedName>
    <definedName name="EcoSpec">'Ditt informationsblad'!$C$8</definedName>
    <definedName name="Externadata_1" localSheetId="6">'Data från webbimport'!#REF!</definedName>
    <definedName name="Externadata_10" localSheetId="6">'Data från webbimport'!#REF!</definedName>
    <definedName name="Externadata_100" localSheetId="6">'Data från webbimport'!$A$1:$G$129</definedName>
    <definedName name="Externadata_101" localSheetId="6">'Data från webbimport'!$A$1:$G$134</definedName>
    <definedName name="Externadata_102" localSheetId="6">'Data från webbimport'!$A$1:$G$118</definedName>
    <definedName name="Externadata_103" localSheetId="6">'Data från webbimport'!$A$1:$G$14</definedName>
    <definedName name="Externadata_104" localSheetId="6">'Data från webbimport'!$A$1:$G$14</definedName>
    <definedName name="Externadata_105" localSheetId="6">'Data från webbimport'!$A$1:$G$14</definedName>
    <definedName name="Externadata_106" localSheetId="6">'Data från webbimport'!$A$1:$G$14</definedName>
    <definedName name="Externadata_107" localSheetId="6">'Data från webbimport'!$A$1:$G$30</definedName>
    <definedName name="Externadata_108" localSheetId="6">'Data från webbimport'!$A$1:$G$76</definedName>
    <definedName name="Externadata_109" localSheetId="6">'Data från webbimport'!$A$1:$G$73</definedName>
    <definedName name="Externadata_11" localSheetId="6">'Data från webbimport'!#REF!</definedName>
    <definedName name="Externadata_110" localSheetId="6">'Data från webbimport'!$A$1:$G$73</definedName>
    <definedName name="Externadata_111" localSheetId="6">'Data från webbimport'!$A$1:$G$80</definedName>
    <definedName name="Externadata_112" localSheetId="6">'Data från webbimport'!$A$1:$G$76</definedName>
    <definedName name="Externadata_113" localSheetId="6">'Data från webbimport'!$A$1:$G$82</definedName>
    <definedName name="Externadata_114" localSheetId="6">'Data från webbimport'!$A$1:$G$82</definedName>
    <definedName name="Externadata_115" localSheetId="6">'Data från webbimport'!$A$1:$G$73</definedName>
    <definedName name="Externadata_116" localSheetId="6">'Data från webbimport'!$A$1:$G$73</definedName>
    <definedName name="Externadata_117" localSheetId="6">'Data från webbimport'!$A$1:$G$80</definedName>
    <definedName name="Externadata_118" localSheetId="6">'Data från webbimport'!$A$1:$G$76</definedName>
    <definedName name="Externadata_119" localSheetId="6">'Data från webbimport'!$A$1:$G$82</definedName>
    <definedName name="Externadata_12" localSheetId="6">'Data från webbimport'!#REF!</definedName>
    <definedName name="Externadata_120" localSheetId="6">'Data från webbimport'!$A$1:$G$82</definedName>
    <definedName name="Externadata_121" localSheetId="6">'Data från webbimport'!$A$1:$G$73</definedName>
    <definedName name="Externadata_122" localSheetId="6">'Data från webbimport'!$A$1:$G$73</definedName>
    <definedName name="Externadata_123" localSheetId="6">'Data från webbimport'!$A$1:$G$80</definedName>
    <definedName name="Externadata_124" localSheetId="6">'Data från webbimport'!$A$1:$G$76</definedName>
    <definedName name="Externadata_125" localSheetId="6">'Data från webbimport'!$A$1:$G$82</definedName>
    <definedName name="Externadata_126" localSheetId="6">'Data från webbimport'!$A$1:$G$82</definedName>
    <definedName name="Externadata_127" localSheetId="6">'Data från webbimport'!$A$1:$G$99</definedName>
    <definedName name="Externadata_128" localSheetId="6">'Data från webbimport'!$A$1:$G$95</definedName>
    <definedName name="Externadata_129" localSheetId="6">'Data från webbimport'!$A$1:$G$93</definedName>
    <definedName name="Externadata_13" localSheetId="6">'Data från webbimport'!#REF!</definedName>
    <definedName name="Externadata_130" localSheetId="6">'Data från webbimport'!$A$1:$G$93</definedName>
    <definedName name="Externadata_131" localSheetId="6">'Data från webbimport'!$A$1:$G$100</definedName>
    <definedName name="Externadata_132" localSheetId="6">'Data från webbimport'!$A$1:$G$104</definedName>
    <definedName name="Externadata_133" localSheetId="6">'Data från webbimport'!$A$1:$G$14</definedName>
    <definedName name="Externadata_134" localSheetId="6">'Data från webbimport'!$A$1:$G$14</definedName>
    <definedName name="Externadata_135" localSheetId="6">'Data från webbimport'!$A$1:$G$14</definedName>
    <definedName name="Externadata_136" localSheetId="6">'Data från webbimport'!$A$1:$G$14</definedName>
    <definedName name="Externadata_137" localSheetId="6">'Data från webbimport'!$A$1:$G$30</definedName>
    <definedName name="Externadata_138" localSheetId="6">'Data från webbimport'!$A$1:$G$76</definedName>
    <definedName name="Externadata_139" localSheetId="6">'Data från webbimport'!$A$1:$G$111</definedName>
    <definedName name="Externadata_14" localSheetId="6">'Data från webbimport'!#REF!</definedName>
    <definedName name="Externadata_140" localSheetId="6">'Data från webbimport'!$A$1:$G$123</definedName>
    <definedName name="Externadata_141" localSheetId="6">'Data från webbimport'!$A$1:$G$129</definedName>
    <definedName name="Externadata_142" localSheetId="6">'Data från webbimport'!$A$1:$G$129</definedName>
    <definedName name="Externadata_143" localSheetId="6">'Data från webbimport'!$A$1:$G$134</definedName>
    <definedName name="Externadata_144" localSheetId="6">'Data från webbimport'!$A$1:$G$118</definedName>
    <definedName name="Externadata_145" localSheetId="6">'Data från webbimport'!$A$1:$G$15</definedName>
    <definedName name="Externadata_146" localSheetId="6">'Data från webbimport'!$A$1:$G$15</definedName>
    <definedName name="Externadata_147" localSheetId="6">'Data från webbimport'!$A$1:$G$15</definedName>
    <definedName name="Externadata_148" localSheetId="6">'Data från webbimport'!$A$1:$G$31</definedName>
    <definedName name="Externadata_149" localSheetId="6">'Data från webbimport'!$A$1:$G$31</definedName>
    <definedName name="Externadata_15" localSheetId="6">'Data från webbimport'!#REF!</definedName>
    <definedName name="Externadata_150" localSheetId="6">'Data från webbimport'!$A$1:$G$39</definedName>
    <definedName name="Externadata_151" localSheetId="6">'Data från webbimport'!$A$1:$G$15</definedName>
    <definedName name="Externadata_152" localSheetId="6">'Data från webbimport'!$A$1:$G$15</definedName>
    <definedName name="Externadata_153" localSheetId="6">'Data från webbimport'!$A$1:$G$15</definedName>
    <definedName name="Externadata_154" localSheetId="6">'Data från webbimport'!$A$1:$G$37</definedName>
    <definedName name="Externadata_155" localSheetId="6">'Data från webbimport'!$A$1:$G$37</definedName>
    <definedName name="Externadata_156" localSheetId="6">'Data från webbimport'!$A$1:$G$37</definedName>
    <definedName name="Externadata_157" localSheetId="6">'Data från webbimport'!$A$1:$G$15</definedName>
    <definedName name="Externadata_158" localSheetId="6">'Data från webbimport'!$A$1:$G$15</definedName>
    <definedName name="Externadata_159" localSheetId="6">'Data från webbimport'!$A$1:$G$15</definedName>
    <definedName name="Externadata_16" localSheetId="6">'Data från webbimport'!#REF!</definedName>
    <definedName name="Externadata_160" localSheetId="6">'Data från webbimport'!$A$1:$G$41</definedName>
    <definedName name="Externadata_161" localSheetId="6">'Data från webbimport'!$A$1:$G$41</definedName>
    <definedName name="Externadata_162" localSheetId="6">'Data från webbimport'!$A$1:$G$41</definedName>
    <definedName name="Externadata_163" localSheetId="6">'Data från webbimport'!$A$1:$G$15</definedName>
    <definedName name="Externadata_164" localSheetId="6">'Data från webbimport'!$A$1:$G$15</definedName>
    <definedName name="Externadata_165" localSheetId="6">'Data från webbimport'!$A$1:$G$15</definedName>
    <definedName name="Externadata_166" localSheetId="6">'Data från webbimport'!$A$1:$G$41</definedName>
    <definedName name="Externadata_167" localSheetId="6">'Data från webbimport'!$A$1:$G$43</definedName>
    <definedName name="Externadata_168" localSheetId="6">'Data från webbimport'!$A$1:$G$43</definedName>
    <definedName name="Externadata_169" localSheetId="6">'Data från webbimport'!$A$1:$G$15</definedName>
    <definedName name="Externadata_17" localSheetId="6">'Data från webbimport'!#REF!</definedName>
    <definedName name="Externadata_170" localSheetId="6">'Data från webbimport'!$A$1:$G$15</definedName>
    <definedName name="Externadata_171" localSheetId="6">'Data från webbimport'!$A$1:$G$15</definedName>
    <definedName name="Externadata_172" localSheetId="6">'Data från webbimport'!$A$1:$G$39</definedName>
    <definedName name="Externadata_173" localSheetId="6">'Data från webbimport'!$A$1:$G$41</definedName>
    <definedName name="Externadata_174" localSheetId="6">'Data från webbimport'!$A$1:$G$41</definedName>
    <definedName name="Externadata_175" localSheetId="6">'Data från webbimport'!$A$1:$G$15</definedName>
    <definedName name="Externadata_176" localSheetId="6">'Data från webbimport'!$A$1:$G$15</definedName>
    <definedName name="Externadata_177" localSheetId="6">'Data från webbimport'!$A$1:$G$15</definedName>
    <definedName name="Externadata_178" localSheetId="6">'Data från webbimport'!$A$1:$G$31</definedName>
    <definedName name="Externadata_179" localSheetId="6">'Data från webbimport'!$A$1:$G$39</definedName>
    <definedName name="Externadata_18" localSheetId="6">'Data från webbimport'!#REF!</definedName>
    <definedName name="Externadata_180" localSheetId="6">'Data från webbimport'!$A$1:$G$39</definedName>
    <definedName name="Externadata_181" localSheetId="6">'Data från webbimport'!$A$1:$G$15</definedName>
    <definedName name="Externadata_182" localSheetId="6">'Data från webbimport'!$A$1:$G$15</definedName>
    <definedName name="Externadata_183" localSheetId="6">'Data från webbimport'!$A$1:$G$15</definedName>
    <definedName name="Externadata_184" localSheetId="6">'Data från webbimport'!$A$1:$G$35</definedName>
    <definedName name="Externadata_185" localSheetId="6">'Data från webbimport'!$A$1:$G$41</definedName>
    <definedName name="Externadata_186" localSheetId="6">'Data från webbimport'!$A$1:$G$37</definedName>
    <definedName name="Externadata_187" localSheetId="6">'Data från webbimport'!$A$1:$G$15</definedName>
    <definedName name="Externadata_188" localSheetId="6">'Data från webbimport'!$A$1:$G$15</definedName>
    <definedName name="Externadata_189" localSheetId="6">'Data från webbimport'!$A$1:$G$15</definedName>
    <definedName name="Externadata_19" localSheetId="6">'Data från webbimport'!#REF!</definedName>
    <definedName name="Externadata_190" localSheetId="6">'Data från webbimport'!$A$1:$G$15</definedName>
    <definedName name="Externadata_191" localSheetId="6">'Data från webbimport'!$A$1:$G$23</definedName>
    <definedName name="Externadata_192" localSheetId="6">'Data från webbimport'!$A$1:$G$49</definedName>
    <definedName name="Externadata_193" localSheetId="6">'Data från webbimport'!$A$1:$G$198</definedName>
    <definedName name="Externadata_194" localSheetId="6">'Data från webbimport'!$A$1:$G$190</definedName>
    <definedName name="Externadata_195" localSheetId="6">'Data från webbimport'!$A$1:$G$198</definedName>
    <definedName name="Externadata_196" localSheetId="6">'Data från webbimport'!$A$1:$G$205</definedName>
    <definedName name="Externadata_197" localSheetId="6">'Data från webbimport'!$A$1:$G$202</definedName>
    <definedName name="Externadata_198" localSheetId="6">'Data från webbimport'!$A$1:$G$213</definedName>
    <definedName name="Externadata_199" localSheetId="6">'Data från webbimport'!$A$1:$G$106</definedName>
    <definedName name="Externadata_20" localSheetId="6">'Data från webbimport'!#REF!</definedName>
    <definedName name="Externadata_200" localSheetId="6">'Data från webbimport'!$A$1:$G$105</definedName>
    <definedName name="Externadata_201" localSheetId="6">'Data från webbimport'!$A$1:$G$111</definedName>
    <definedName name="Externadata_202" localSheetId="6">'Data från webbimport'!$A$1:$G$115</definedName>
    <definedName name="Externadata_203" localSheetId="6">'Data från webbimport'!$A$1:$G$120</definedName>
    <definedName name="Externadata_204" localSheetId="6">'Data från webbimport'!$A$1:$G$120</definedName>
    <definedName name="Externadata_21" localSheetId="6">'Data från webbimport'!#REF!</definedName>
    <definedName name="Externadata_22" localSheetId="6">'Data från webbimport'!#REF!</definedName>
    <definedName name="Externadata_23" localSheetId="6">'Data från webbimport'!#REF!</definedName>
    <definedName name="Externadata_24" localSheetId="6">'Data från webbimport'!#REF!</definedName>
    <definedName name="Externadata_25" localSheetId="6">'Data från webbimport'!#REF!</definedName>
    <definedName name="Externadata_26" localSheetId="6">'Data från webbimport'!#REF!</definedName>
    <definedName name="Externadata_27" localSheetId="6">'Data från webbimport'!#REF!</definedName>
    <definedName name="Externadata_28" localSheetId="6">'Data från webbimport'!$A$1:$G$2</definedName>
    <definedName name="Externadata_29" localSheetId="6">'Data från webbimport'!$A$1:$G$68</definedName>
    <definedName name="Externadata_30" localSheetId="6">'Data från webbimport'!$A$1:$G$68</definedName>
    <definedName name="Externadata_31" localSheetId="6">'Data från webbimport'!$A$1:$G$68</definedName>
    <definedName name="Externadata_32" localSheetId="6">'Data från webbimport'!$A$1:$G$68</definedName>
    <definedName name="Externadata_33" localSheetId="6">'Data från webbimport'!$A$1:$G$68</definedName>
    <definedName name="Externadata_34" localSheetId="6">'Data från webbimport'!$A$1:$G$68</definedName>
    <definedName name="Externadata_35" localSheetId="6">'Data från webbimport'!$A$1:$G$68</definedName>
    <definedName name="Externadata_4" localSheetId="6">'Data från webbimport'!#REF!</definedName>
    <definedName name="Externadata_41" localSheetId="6">'Data från webbimport'!$A$1:$G$14</definedName>
    <definedName name="Externadata_42" localSheetId="6">'Data från webbimport'!$A$1:$G$14</definedName>
    <definedName name="Externadata_43" localSheetId="6">'Data från webbimport'!$A$1:$G$14</definedName>
    <definedName name="Externadata_44" localSheetId="6">'Data från webbimport'!$A$1:$G$14</definedName>
    <definedName name="Externadata_45" localSheetId="6">'Data från webbimport'!$A$1:$G$14</definedName>
    <definedName name="Externadata_46" localSheetId="6">'Data från webbimport'!$A$1:$G$14</definedName>
    <definedName name="Externadata_47" localSheetId="6">'Data från webbimport'!$A$1:$G$14</definedName>
    <definedName name="Externadata_48" localSheetId="6">'Data från webbimport'!$A$1:$G$14</definedName>
    <definedName name="Externadata_49" localSheetId="6">'Data från webbimport'!$A$1:$G$14</definedName>
    <definedName name="Externadata_5" localSheetId="6">'Data från webbimport'!#REF!</definedName>
    <definedName name="Externadata_50" localSheetId="6">'Data från webbimport'!$A$1:$G$14</definedName>
    <definedName name="Externadata_51" localSheetId="6">'Data från webbimport'!$A$1:$G$14</definedName>
    <definedName name="Externadata_52" localSheetId="6">'Data från webbimport'!$A$1:$G$14</definedName>
    <definedName name="Externadata_53" localSheetId="6">'Data från webbimport'!$A$1:$G$14</definedName>
    <definedName name="Externadata_54" localSheetId="6">'Data från webbimport'!$A$1:$G$14</definedName>
    <definedName name="Externadata_55" localSheetId="6">'Data från webbimport'!$A$1:$G$14</definedName>
    <definedName name="Externadata_56" localSheetId="6">'Data från webbimport'!$A$1:$G$14</definedName>
    <definedName name="Externadata_57" localSheetId="6">'Data från webbimport'!$A$1:$G$14</definedName>
    <definedName name="Externadata_58" localSheetId="6">'Data från webbimport'!$A$1:$G$14</definedName>
    <definedName name="Externadata_59" localSheetId="6">'Data från webbimport'!$A$1:$G$14</definedName>
    <definedName name="Externadata_6" localSheetId="6">'Data från webbimport'!#REF!</definedName>
    <definedName name="Externadata_60" localSheetId="6">'Data från webbimport'!$A$1:$G$14</definedName>
    <definedName name="Externadata_61" localSheetId="6">'Data från webbimport'!$A$1:$G$14</definedName>
    <definedName name="Externadata_62" localSheetId="6">'Data från webbimport'!$A$1:$G$14</definedName>
    <definedName name="Externadata_63" localSheetId="6">'Data från webbimport'!$A$1:$G$14</definedName>
    <definedName name="Externadata_64" localSheetId="6">'Data från webbimport'!$A$1:$G$14</definedName>
    <definedName name="Externadata_65" localSheetId="6">'Data från webbimport'!$A$1:$G$14</definedName>
    <definedName name="Externadata_66" localSheetId="6">'Data från webbimport'!$A$1:$G$14</definedName>
    <definedName name="Externadata_67" localSheetId="6">'Data från webbimport'!$A$1:$G$14</definedName>
    <definedName name="Externadata_68" localSheetId="6">'Data från webbimport'!$A$1:$G$14</definedName>
    <definedName name="Externadata_69" localSheetId="6">'Data från webbimport'!$A$1:$G$14</definedName>
    <definedName name="Externadata_7" localSheetId="6">'Data från webbimport'!#REF!</definedName>
    <definedName name="Externadata_70" localSheetId="6">'Data från webbimport'!$A$1:$G$14</definedName>
    <definedName name="Externadata_71" localSheetId="6">'Data från webbimport'!$A$1:$G$14</definedName>
    <definedName name="Externadata_72" localSheetId="6">'Data från webbimport'!$A$1:$G$14</definedName>
    <definedName name="Externadata_73" localSheetId="6">'Data från webbimport'!$A$1:$G$14</definedName>
    <definedName name="Externadata_74" localSheetId="6">'Data från webbimport'!$A$1:$G$14</definedName>
    <definedName name="Externadata_75" localSheetId="6">'Data från webbimport'!$A$1:$G$14</definedName>
    <definedName name="Externadata_76" localSheetId="6">'Data från webbimport'!$A$1:$G$14</definedName>
    <definedName name="Externadata_77" localSheetId="6">'Data från webbimport'!$A$1:$G$14</definedName>
    <definedName name="Externadata_78" localSheetId="6">'Data från webbimport'!$A$1:$G$14</definedName>
    <definedName name="Externadata_79" localSheetId="6">'Data från webbimport'!$A$1:$G$14</definedName>
    <definedName name="Externadata_8" localSheetId="6">'Data från webbimport'!#REF!</definedName>
    <definedName name="Externadata_80" localSheetId="6">'Data från webbimport'!$A$1:$G$14</definedName>
    <definedName name="Externadata_81" localSheetId="6">'Data från webbimport'!$A$1:$G$14</definedName>
    <definedName name="Externadata_82" localSheetId="6">'Data från webbimport'!$A$1:$G$14</definedName>
    <definedName name="Externadata_83" localSheetId="6">'Data från webbimport'!$A$1:$G$99</definedName>
    <definedName name="Externadata_84" localSheetId="6">'Data från webbimport'!$A$1:$G$95</definedName>
    <definedName name="Externadata_85" localSheetId="6">'Data från webbimport'!$A$1:$G$93</definedName>
    <definedName name="Externadata_86" localSheetId="6">'Data från webbimport'!$A$1:$G$93</definedName>
    <definedName name="Externadata_87" localSheetId="6">'Data från webbimport'!$A$1:$G$100</definedName>
    <definedName name="Externadata_88" localSheetId="6">'Data från webbimport'!$A$1:$G$104</definedName>
    <definedName name="Externadata_89" localSheetId="6">'Data från webbimport'!$A$1:$G$99</definedName>
    <definedName name="Externadata_9" localSheetId="6">'Data från webbimport'!#REF!</definedName>
    <definedName name="Externadata_90" localSheetId="6">'Data från webbimport'!$A$1:$G$95</definedName>
    <definedName name="Externadata_91" localSheetId="6">'Data från webbimport'!$A$1:$G$93</definedName>
    <definedName name="Externadata_92" localSheetId="6">'Data från webbimport'!$A$1:$G$93</definedName>
    <definedName name="Externadata_93" localSheetId="6">'Data från webbimport'!$A$1:$G$100</definedName>
    <definedName name="Externadata_94" localSheetId="6">'Data från webbimport'!$A$1:$G$104</definedName>
    <definedName name="Externadata_95" localSheetId="6">'Data från webbimport'!$A$1:$G$129</definedName>
    <definedName name="Externadata_96" localSheetId="6">'Data från webbimport'!$A$1:$G$133</definedName>
    <definedName name="Externadata_97" localSheetId="6">'Data från webbimport'!$A$1:$G$111</definedName>
    <definedName name="Externadata_98" localSheetId="6">'Data från webbimport'!$A$1:$G$123</definedName>
    <definedName name="Externadata_99" localSheetId="6">'Data från webbimport'!$A$1:$G$129</definedName>
    <definedName name="Import_Program">'Automatiserad import'!$E$6</definedName>
    <definedName name="Import_Spec">'Automatiserad import'!$E$7:$H$7</definedName>
    <definedName name="Import_year">'Automatiserad import'!$E$8</definedName>
    <definedName name="ImportStart">'Automatiserad import'!#REF!</definedName>
    <definedName name="Intjänade_kurspoäng">Examenskrav[[#Totals],[TAGNA]]</definedName>
    <definedName name="KurskodForNyKurs">Programkurser!$C$6</definedName>
    <definedName name="KursnamnForNyKurs" localSheetId="2">Programkurser!$A$6</definedName>
    <definedName name="Kurspoang">Programkurser!$F$6</definedName>
    <definedName name="Kurspoäng">Programkurser!$F$6</definedName>
    <definedName name="Kurspoäng_som_krävs">Examenskrav[[#Totals],[SUMMA]]</definedName>
    <definedName name="name">'Program och examenskrav'!$A$5</definedName>
    <definedName name="NewProgram">'Program och examenskrav'!$A$5</definedName>
    <definedName name="NewProgramCredits">'Program och examenskrav'!$B$6</definedName>
    <definedName name="NewProgramToAdd">'Program och examenskrav'!$A$6</definedName>
    <definedName name="NewProgramYears">'Program och examenskrav'!$C$6</definedName>
    <definedName name="newTechP">'Program och examenskrav'!$H$21</definedName>
    <definedName name="NewTechSpec">'Program och examenskrav'!$A$25</definedName>
    <definedName name="Niva">Programkurser!$E$6</definedName>
    <definedName name="Nivå">Programkurser!$E$6</definedName>
    <definedName name="Period">Programkurser!$I$6</definedName>
    <definedName name="Program">'Ditt informationsblad'!$C$6</definedName>
    <definedName name="ProgramForNewCourse">Programkurser!$D$8</definedName>
    <definedName name="SearchField">'Ditt informationsblad'!$F$5</definedName>
    <definedName name="SearchResult">'Ditt informationsblad'!$F$7</definedName>
    <definedName name="SearchResultBlock">'Ditt informationsblad'!$N$7</definedName>
    <definedName name="SearchResultCode">'Ditt informationsblad'!$O$7</definedName>
    <definedName name="SearchResultCredits">'Ditt informationsblad'!$S$7</definedName>
    <definedName name="SearchResultLevel">'Ditt informationsblad'!$Q$7</definedName>
    <definedName name="SearchResultSemester">'Ditt informationsblad'!$T$7</definedName>
    <definedName name="SearchResultSemesterPart">'Ditt informationsblad'!$U$7</definedName>
    <definedName name="SearchResultTech">'Ditt informationsblad'!$P$7</definedName>
    <definedName name="SearchResultYear">'Ditt informationsblad'!$R$7</definedName>
    <definedName name="Sök_efter_examenskrav" localSheetId="1">#REF!</definedName>
    <definedName name="Sök_efter_examenskrav" localSheetId="4">#REF!</definedName>
    <definedName name="Sök_efter_examenskrav" localSheetId="2">#REF!</definedName>
    <definedName name="Sök_efter_examenskrav">Examenskrav[KURSPOÄNGSKRAV]</definedName>
    <definedName name="TechProgram">'Program och examenskrav'!$B$22</definedName>
    <definedName name="TechSpec">'Ditt informationsblad'!$C$7</definedName>
    <definedName name="TekniskInriktning">Programkurser!$D$6</definedName>
    <definedName name="Termin">Programkurser!$G$6</definedName>
    <definedName name="URL">'Automatiserad import'!$C$9</definedName>
    <definedName name="_xlnm.Print_Titles" localSheetId="1">'Ditt informationsblad'!#REF!</definedName>
    <definedName name="_xlnm.Print_Titles" localSheetId="4">'Program och examenskrav'!$18:$19</definedName>
    <definedName name="_xlnm.Print_Titles" localSheetId="2">Programkurser!$1051:$1051</definedName>
    <definedName name="_xlnm.Print_Titles" localSheetId="0">Sammanställning!#REF!</definedName>
    <definedName name="ValidLevels">Konstanter!$F$6:$F$7</definedName>
    <definedName name="ValidPerioder">Konstanter!$J$6:$J$8</definedName>
    <definedName name="ValidSemester">Konstanter!$H$6:$H$8</definedName>
    <definedName name="ValidSemesterParts">Konstanter!$J$6:$J$7</definedName>
    <definedName name="ValidSemesters">Konstanter!$H$6:$H$7</definedName>
    <definedName name="Year">Programkurser!$K$6</definedName>
    <definedName name="Återstående_kurspoäng">Examenskrav[[#Totals],[KVAR ATT TA]]</definedName>
  </definedNames>
  <calcPr calcId="152511" iterateDelta="1E-4"/>
  <pivotCaches>
    <pivotCache cacheId="0" r:id="rId11"/>
  </pivotCaches>
  <extLst>
    <ext xmlns:x15="http://schemas.microsoft.com/office/spreadsheetml/2010/11/main" uri="{FCE2AD5D-F65C-4FA6-A056-5C36A1767C68}">
      <x15:dataModel>
        <x15:modelTables>
          <x15:modelTable id="Programplan-da6b1a88-ccff-47a9-9a3d-f262ce90417b" name="Programplan" connection="WorksheetConnection_Högskolepoängsspårare.xlsm!Programplan"/>
          <x15:modelTable id="ProgramKurser-63389b59-6696-438a-9aed-29a9ba87c27f" name="ProgramKurser" connection="WorksheetConnection_Högskolepoängsspårare.xlsm!ProgramKurser"/>
        </x15:modelTables>
        <x15:modelRelationships>
          <x15:modelRelationship fromTable="Programplan" fromColumn="KURSNAMN" toTable="ProgramKurser" toColumn="KURSNAMN"/>
        </x15:modelRelationships>
      </x15:dataModel>
    </ext>
  </extLst>
</workbook>
</file>

<file path=xl/calcChain.xml><?xml version="1.0" encoding="utf-8"?>
<calcChain xmlns="http://schemas.openxmlformats.org/spreadsheetml/2006/main">
  <c r="B36" i="1" l="1"/>
  <c r="B42" i="1"/>
  <c r="B48" i="1"/>
  <c r="B54" i="1"/>
  <c r="B60" i="1"/>
  <c r="B66" i="1"/>
  <c r="B72" i="1"/>
  <c r="B78" i="1"/>
  <c r="B84" i="1"/>
  <c r="E39" i="1"/>
  <c r="E45" i="1"/>
  <c r="L24" i="8"/>
  <c r="M24" i="8"/>
  <c r="N24" i="8"/>
  <c r="O24" i="8"/>
  <c r="L38" i="8"/>
  <c r="M38" i="8"/>
  <c r="N38" i="8"/>
  <c r="O38" i="8"/>
  <c r="L37" i="8"/>
  <c r="M37" i="8"/>
  <c r="N37" i="8"/>
  <c r="O37" i="8"/>
  <c r="L36" i="8"/>
  <c r="M36" i="8"/>
  <c r="N36" i="8"/>
  <c r="O36" i="8"/>
  <c r="L35" i="8"/>
  <c r="M35" i="8"/>
  <c r="N35" i="8"/>
  <c r="O35" i="8"/>
  <c r="L34" i="8"/>
  <c r="M34" i="8"/>
  <c r="N34" i="8"/>
  <c r="O34" i="8"/>
  <c r="L33" i="8"/>
  <c r="M33" i="8"/>
  <c r="N33" i="8"/>
  <c r="O33" i="8"/>
  <c r="L32" i="8"/>
  <c r="M32" i="8"/>
  <c r="N32" i="8"/>
  <c r="O32" i="8"/>
  <c r="L31" i="8"/>
  <c r="M31" i="8"/>
  <c r="N31" i="8"/>
  <c r="O31" i="8"/>
  <c r="L30" i="8"/>
  <c r="M30" i="8"/>
  <c r="N30" i="8"/>
  <c r="O30" i="8"/>
  <c r="L29" i="8"/>
  <c r="M29" i="8"/>
  <c r="N29" i="8"/>
  <c r="O29" i="8"/>
  <c r="L28" i="8"/>
  <c r="M28" i="8"/>
  <c r="N28" i="8"/>
  <c r="O28" i="8"/>
  <c r="L27" i="8"/>
  <c r="M27" i="8"/>
  <c r="N27" i="8"/>
  <c r="O27" i="8"/>
  <c r="L26" i="8"/>
  <c r="M26" i="8"/>
  <c r="N26" i="8"/>
  <c r="O26" i="8"/>
  <c r="L25" i="8"/>
  <c r="M25" i="8"/>
  <c r="N25" i="8"/>
  <c r="O25" i="8"/>
  <c r="L23" i="8"/>
  <c r="M23" i="8"/>
  <c r="N23" i="8"/>
  <c r="O23" i="8"/>
  <c r="L22" i="8"/>
  <c r="M22" i="8"/>
  <c r="N22" i="8"/>
  <c r="O22" i="8"/>
  <c r="L21" i="8"/>
  <c r="M21" i="8"/>
  <c r="N21" i="8"/>
  <c r="O21" i="8"/>
  <c r="L20" i="8"/>
  <c r="M20" i="8"/>
  <c r="N20" i="8"/>
  <c r="O20" i="8"/>
  <c r="L19" i="8"/>
  <c r="M19" i="8"/>
  <c r="N19" i="8"/>
  <c r="O19" i="8"/>
  <c r="L18" i="8"/>
  <c r="M18" i="8"/>
  <c r="N18" i="8"/>
  <c r="O18" i="8"/>
  <c r="L17" i="8"/>
  <c r="M17" i="8"/>
  <c r="N17" i="8"/>
  <c r="O17" i="8"/>
  <c r="L16" i="8"/>
  <c r="E36" i="1" s="1"/>
  <c r="M16" i="8"/>
  <c r="N16" i="8"/>
  <c r="O16" i="8"/>
  <c r="E13" i="1" l="1"/>
  <c r="H57" i="1"/>
  <c r="G57" i="1"/>
  <c r="F57" i="1"/>
  <c r="E57" i="1"/>
  <c r="E51" i="1" l="1"/>
  <c r="E48" i="1"/>
  <c r="E42" i="1"/>
  <c r="G51" i="1"/>
  <c r="G48" i="1"/>
  <c r="G42" i="1"/>
  <c r="G45" i="1"/>
  <c r="G39" i="1"/>
  <c r="G36" i="1"/>
  <c r="H36" i="1"/>
  <c r="E54" i="1"/>
  <c r="F48" i="1"/>
  <c r="F42" i="1"/>
  <c r="G54" i="1"/>
  <c r="H48" i="1"/>
  <c r="H42" i="1"/>
  <c r="F51" i="1"/>
  <c r="F54" i="1"/>
  <c r="F45" i="1"/>
  <c r="F39" i="1"/>
  <c r="F36" i="1"/>
  <c r="H51" i="1"/>
  <c r="H54" i="1"/>
  <c r="H45" i="1"/>
  <c r="H39" i="1"/>
  <c r="P154" i="11"/>
  <c r="O154" i="11"/>
  <c r="P153" i="11"/>
  <c r="O153" i="11"/>
  <c r="P152" i="11"/>
  <c r="O152" i="11"/>
  <c r="P151" i="11"/>
  <c r="O151" i="11"/>
  <c r="P150" i="11"/>
  <c r="O150" i="11"/>
  <c r="P149" i="11"/>
  <c r="O149" i="11"/>
  <c r="P148" i="11"/>
  <c r="O148" i="11"/>
  <c r="P147" i="11"/>
  <c r="O147" i="11"/>
  <c r="P146" i="11"/>
  <c r="O146" i="11"/>
  <c r="P145" i="11"/>
  <c r="O145" i="11"/>
  <c r="P144" i="11"/>
  <c r="O144" i="11"/>
  <c r="P143" i="11"/>
  <c r="O143" i="11"/>
  <c r="P142" i="11"/>
  <c r="O142" i="11"/>
  <c r="P141" i="11"/>
  <c r="O141" i="11"/>
  <c r="P140" i="11"/>
  <c r="O140" i="11"/>
  <c r="P139" i="11"/>
  <c r="O139" i="11"/>
  <c r="P138" i="11"/>
  <c r="O138" i="11"/>
  <c r="P137" i="11"/>
  <c r="O137" i="11"/>
  <c r="P136" i="11"/>
  <c r="O136" i="11"/>
  <c r="P135" i="11"/>
  <c r="O135" i="11"/>
  <c r="P134" i="11"/>
  <c r="O134" i="11"/>
  <c r="P133" i="11"/>
  <c r="O133" i="11"/>
  <c r="P132" i="11"/>
  <c r="O132" i="11"/>
  <c r="P131" i="11"/>
  <c r="O131" i="11"/>
  <c r="P130" i="11"/>
  <c r="O130" i="11"/>
  <c r="P129" i="11"/>
  <c r="O129" i="11"/>
  <c r="P128" i="11"/>
  <c r="O128" i="11"/>
  <c r="P127" i="11"/>
  <c r="O127" i="11"/>
  <c r="P126" i="11"/>
  <c r="O126" i="11"/>
  <c r="P125" i="11"/>
  <c r="O125" i="11"/>
  <c r="P124" i="11"/>
  <c r="O124" i="11"/>
  <c r="P123" i="11"/>
  <c r="O123" i="11"/>
  <c r="P122" i="11"/>
  <c r="O122" i="11"/>
  <c r="P121" i="11"/>
  <c r="O121" i="11"/>
  <c r="P120" i="11"/>
  <c r="O120" i="11"/>
  <c r="P119" i="11"/>
  <c r="O119" i="11"/>
  <c r="P118" i="11"/>
  <c r="O118" i="11"/>
  <c r="P117" i="11"/>
  <c r="O117" i="11"/>
  <c r="P116" i="11"/>
  <c r="O116" i="11"/>
  <c r="P115" i="11"/>
  <c r="O115" i="11"/>
  <c r="P114" i="11"/>
  <c r="O114" i="11"/>
  <c r="P113" i="11"/>
  <c r="O113" i="11"/>
  <c r="P112" i="11"/>
  <c r="O112" i="11"/>
  <c r="P111" i="11"/>
  <c r="O111" i="11"/>
  <c r="P110" i="11"/>
  <c r="O110" i="11"/>
  <c r="P109" i="11"/>
  <c r="O109" i="11"/>
  <c r="P108" i="11"/>
  <c r="O108" i="11"/>
  <c r="P107" i="11"/>
  <c r="O107" i="11"/>
  <c r="P106" i="11"/>
  <c r="O106" i="11"/>
  <c r="P105" i="11"/>
  <c r="O105" i="11"/>
  <c r="P104" i="11"/>
  <c r="O104" i="11"/>
  <c r="P103" i="11"/>
  <c r="O103" i="11"/>
  <c r="P102" i="11"/>
  <c r="O102" i="11"/>
  <c r="P101" i="11"/>
  <c r="O101" i="11"/>
  <c r="P100" i="11"/>
  <c r="O100" i="11"/>
  <c r="P99" i="11"/>
  <c r="O99" i="11"/>
  <c r="P98" i="11"/>
  <c r="O98" i="11"/>
  <c r="P97" i="11"/>
  <c r="O97" i="11"/>
  <c r="P96" i="11"/>
  <c r="O96" i="11"/>
  <c r="P95" i="11"/>
  <c r="O95" i="11"/>
  <c r="P94" i="11"/>
  <c r="O94" i="11"/>
  <c r="P93" i="11"/>
  <c r="O93" i="11"/>
  <c r="P92" i="11"/>
  <c r="O92" i="11"/>
  <c r="P91" i="11"/>
  <c r="O91" i="11"/>
  <c r="P90" i="11"/>
  <c r="O90" i="11"/>
  <c r="P89" i="11"/>
  <c r="O89" i="11"/>
  <c r="P88" i="11"/>
  <c r="O88" i="11"/>
  <c r="P87" i="11"/>
  <c r="O87" i="11"/>
  <c r="P86" i="11"/>
  <c r="O86" i="11"/>
  <c r="P85" i="11"/>
  <c r="O85" i="11"/>
  <c r="P84" i="11"/>
  <c r="O84" i="11"/>
  <c r="P83" i="11"/>
  <c r="O83" i="11"/>
  <c r="P82" i="11"/>
  <c r="O82" i="11"/>
  <c r="P81" i="11"/>
  <c r="O81" i="11"/>
  <c r="P80" i="11"/>
  <c r="O80" i="11"/>
  <c r="P79" i="11"/>
  <c r="O79" i="11"/>
  <c r="P78" i="11"/>
  <c r="O78" i="11"/>
  <c r="P77" i="11"/>
  <c r="O77" i="11"/>
  <c r="P76" i="11"/>
  <c r="O76" i="11"/>
  <c r="P75" i="11"/>
  <c r="O75" i="11"/>
  <c r="P74" i="11"/>
  <c r="O74" i="11"/>
  <c r="P73" i="11"/>
  <c r="O73" i="11"/>
  <c r="P72" i="11"/>
  <c r="O72" i="11"/>
  <c r="P71" i="11"/>
  <c r="O71" i="11"/>
  <c r="P70" i="11"/>
  <c r="O70" i="11"/>
  <c r="P69" i="11"/>
  <c r="O69" i="11"/>
  <c r="P68" i="11"/>
  <c r="O68" i="11"/>
  <c r="P67" i="11"/>
  <c r="O67" i="11"/>
  <c r="P66" i="11"/>
  <c r="O66" i="11"/>
  <c r="P65" i="11"/>
  <c r="O65" i="11"/>
  <c r="P64" i="11"/>
  <c r="O64" i="11"/>
  <c r="P63" i="11"/>
  <c r="O63" i="11"/>
  <c r="P62" i="11"/>
  <c r="O62" i="11"/>
  <c r="P61" i="11"/>
  <c r="O61" i="11"/>
  <c r="P60" i="11"/>
  <c r="O60" i="11"/>
  <c r="P59" i="11"/>
  <c r="O59" i="11"/>
  <c r="P58" i="11"/>
  <c r="O58" i="11"/>
  <c r="P57" i="11"/>
  <c r="O57" i="11"/>
  <c r="P56" i="11"/>
  <c r="O56" i="11"/>
  <c r="P55" i="11"/>
  <c r="O55" i="11"/>
  <c r="P54" i="11"/>
  <c r="O54" i="11"/>
  <c r="P53" i="11"/>
  <c r="O53" i="11"/>
  <c r="P52" i="11"/>
  <c r="O52" i="11"/>
  <c r="P51" i="11"/>
  <c r="O51" i="11"/>
  <c r="P50" i="11"/>
  <c r="O50" i="11"/>
  <c r="P49" i="11"/>
  <c r="O49" i="11"/>
  <c r="P48" i="11"/>
  <c r="O48" i="11"/>
  <c r="P47" i="11"/>
  <c r="O47" i="11"/>
  <c r="P46" i="11"/>
  <c r="O46" i="11"/>
  <c r="P45" i="11"/>
  <c r="O45" i="11"/>
  <c r="P44" i="11"/>
  <c r="O44" i="11"/>
  <c r="P43" i="11"/>
  <c r="O43" i="11"/>
  <c r="P42" i="11"/>
  <c r="O42" i="11"/>
  <c r="P41" i="11"/>
  <c r="O41" i="11"/>
  <c r="P40" i="11"/>
  <c r="O40" i="11"/>
  <c r="P39" i="11"/>
  <c r="O39" i="11"/>
  <c r="P38" i="11"/>
  <c r="O38" i="11"/>
  <c r="P37" i="11"/>
  <c r="O37" i="11"/>
  <c r="P36" i="11"/>
  <c r="O36" i="11"/>
  <c r="P35" i="11"/>
  <c r="O35" i="11"/>
  <c r="P34" i="11"/>
  <c r="O34" i="11"/>
  <c r="P33" i="11"/>
  <c r="O33" i="11"/>
  <c r="P32" i="11"/>
  <c r="O32" i="11"/>
  <c r="P31" i="11"/>
  <c r="O31" i="11"/>
  <c r="P30" i="11"/>
  <c r="O30" i="11"/>
  <c r="P29" i="11"/>
  <c r="O29" i="11"/>
  <c r="P28" i="11"/>
  <c r="O28" i="11"/>
  <c r="P27" i="11"/>
  <c r="O27" i="11"/>
  <c r="P26" i="11"/>
  <c r="O26" i="11"/>
  <c r="P25" i="11"/>
  <c r="O25" i="11"/>
  <c r="P24" i="11"/>
  <c r="O24" i="11"/>
  <c r="P23" i="11"/>
  <c r="O23" i="11"/>
  <c r="P22" i="11"/>
  <c r="O22" i="11"/>
  <c r="P21" i="11"/>
  <c r="O21" i="11"/>
  <c r="P20" i="11"/>
  <c r="O20" i="11"/>
  <c r="P19" i="11"/>
  <c r="O19" i="11"/>
  <c r="P18" i="11"/>
  <c r="O18" i="11"/>
  <c r="P17" i="11"/>
  <c r="O17" i="11"/>
  <c r="P16" i="11"/>
  <c r="O16" i="11"/>
  <c r="P15" i="11"/>
  <c r="O15" i="11"/>
  <c r="N15" i="11" s="1"/>
  <c r="P14" i="11"/>
  <c r="O14" i="11"/>
  <c r="P13" i="11"/>
  <c r="O13" i="11"/>
  <c r="N13" i="11" s="1"/>
  <c r="D13" i="11"/>
  <c r="P12" i="11"/>
  <c r="O12" i="11"/>
  <c r="N12" i="11" s="1"/>
  <c r="D12" i="11"/>
  <c r="P11" i="11"/>
  <c r="O11" i="11"/>
  <c r="N11" i="11" s="1"/>
  <c r="D11" i="11"/>
  <c r="P10" i="11"/>
  <c r="O10" i="11"/>
  <c r="N10" i="11" s="1"/>
  <c r="D10" i="11"/>
  <c r="P9" i="11"/>
  <c r="O9" i="11"/>
  <c r="N9" i="11" s="1"/>
  <c r="D9" i="11"/>
  <c r="P8" i="11"/>
  <c r="O8" i="11"/>
  <c r="N8" i="11" s="1"/>
  <c r="D8" i="11"/>
  <c r="P7" i="11"/>
  <c r="O7" i="11"/>
  <c r="N7" i="11" s="1"/>
  <c r="D7" i="11"/>
  <c r="D6" i="11"/>
  <c r="C174" i="13"/>
  <c r="C173" i="13"/>
  <c r="C172" i="13"/>
  <c r="C171" i="13"/>
  <c r="B171" i="13"/>
  <c r="C170" i="13"/>
  <c r="B170" i="13"/>
  <c r="C169" i="13"/>
  <c r="B169" i="13"/>
  <c r="C168" i="13"/>
  <c r="B168" i="13"/>
  <c r="C167" i="13"/>
  <c r="B167" i="13"/>
  <c r="C166" i="13"/>
  <c r="B166" i="13"/>
  <c r="C165" i="13"/>
  <c r="B165" i="13"/>
  <c r="C164" i="13"/>
  <c r="B164" i="13"/>
  <c r="C163" i="13"/>
  <c r="B163" i="13"/>
  <c r="C162" i="13"/>
  <c r="B162" i="13"/>
  <c r="C161" i="13"/>
  <c r="B161" i="13"/>
  <c r="C160" i="13"/>
  <c r="B160" i="13"/>
  <c r="C159" i="13"/>
  <c r="B159" i="13"/>
  <c r="C158" i="13"/>
  <c r="B158" i="13"/>
  <c r="C157" i="13"/>
  <c r="B157" i="13"/>
  <c r="C156" i="13"/>
  <c r="B156" i="13"/>
  <c r="C155" i="13"/>
  <c r="B155" i="13"/>
  <c r="C154" i="13"/>
  <c r="B154" i="13"/>
  <c r="C153" i="13"/>
  <c r="B153" i="13"/>
  <c r="C152" i="13"/>
  <c r="B152" i="13"/>
  <c r="C151" i="13"/>
  <c r="B151" i="13"/>
  <c r="C150" i="13"/>
  <c r="B150" i="13"/>
  <c r="C149" i="13"/>
  <c r="B149" i="13"/>
  <c r="C148" i="13"/>
  <c r="B148" i="13"/>
  <c r="C147" i="13"/>
  <c r="B147" i="13"/>
  <c r="C146" i="13"/>
  <c r="B146" i="13"/>
  <c r="C145" i="13"/>
  <c r="B145" i="13"/>
  <c r="C144" i="13"/>
  <c r="B144" i="13"/>
  <c r="C143" i="13"/>
  <c r="B143" i="13"/>
  <c r="C142" i="13"/>
  <c r="B142" i="13"/>
  <c r="C141" i="13"/>
  <c r="B141" i="13"/>
  <c r="C140" i="13"/>
  <c r="B140" i="13"/>
  <c r="C139" i="13"/>
  <c r="B139" i="13"/>
  <c r="C138" i="13"/>
  <c r="B138" i="13"/>
  <c r="C137" i="13"/>
  <c r="B137" i="13"/>
  <c r="C136" i="13"/>
  <c r="B136" i="13"/>
  <c r="C135" i="13"/>
  <c r="B135" i="13"/>
  <c r="C134" i="13"/>
  <c r="B134" i="13"/>
  <c r="C133" i="13"/>
  <c r="B133" i="13"/>
  <c r="C132" i="13"/>
  <c r="B132" i="13"/>
  <c r="C131" i="13"/>
  <c r="B131" i="13"/>
  <c r="C130" i="13"/>
  <c r="B130" i="13"/>
  <c r="C129" i="13"/>
  <c r="B129" i="13"/>
  <c r="C128" i="13"/>
  <c r="B128" i="13"/>
  <c r="C127" i="13"/>
  <c r="B127" i="13"/>
  <c r="C126" i="13"/>
  <c r="B126" i="13"/>
  <c r="C125" i="13"/>
  <c r="B125" i="13"/>
  <c r="C124" i="13"/>
  <c r="B124" i="13"/>
  <c r="C123" i="13"/>
  <c r="B123" i="13"/>
  <c r="C122" i="13"/>
  <c r="B122" i="13"/>
  <c r="C121" i="13"/>
  <c r="B121" i="13"/>
  <c r="C120" i="13"/>
  <c r="B120" i="13"/>
  <c r="C119" i="13"/>
  <c r="B119" i="13"/>
  <c r="C118" i="13"/>
  <c r="B118" i="13"/>
  <c r="C117" i="13"/>
  <c r="B117" i="13"/>
  <c r="C116" i="13"/>
  <c r="B116" i="13"/>
  <c r="C115" i="13"/>
  <c r="B115" i="13"/>
  <c r="C114" i="13"/>
  <c r="B114" i="13"/>
  <c r="C113" i="13"/>
  <c r="B113" i="13"/>
  <c r="C112" i="13"/>
  <c r="B112" i="13"/>
  <c r="C111" i="13"/>
  <c r="B111" i="13"/>
  <c r="C110" i="13"/>
  <c r="B110" i="13"/>
  <c r="C109" i="13"/>
  <c r="B109" i="13"/>
  <c r="C108" i="13"/>
  <c r="B108" i="13"/>
  <c r="C107" i="13"/>
  <c r="B107" i="13"/>
  <c r="C106" i="13"/>
  <c r="B106" i="13"/>
  <c r="C105" i="13"/>
  <c r="B105" i="13"/>
  <c r="C104" i="13"/>
  <c r="B104" i="13"/>
  <c r="C103" i="13"/>
  <c r="B103" i="13"/>
  <c r="C102" i="13"/>
  <c r="B102" i="13"/>
  <c r="C101" i="13"/>
  <c r="B101" i="13"/>
  <c r="C100" i="13"/>
  <c r="B100" i="13"/>
  <c r="C99" i="13"/>
  <c r="B99" i="13"/>
  <c r="C98" i="13"/>
  <c r="B98" i="13"/>
  <c r="C97" i="13"/>
  <c r="B97" i="13"/>
  <c r="C96" i="13"/>
  <c r="B96" i="13"/>
  <c r="C95" i="13"/>
  <c r="B95" i="13"/>
  <c r="C94" i="13"/>
  <c r="B94" i="13"/>
  <c r="C93" i="13"/>
  <c r="B93" i="13"/>
  <c r="C92" i="13"/>
  <c r="B92" i="13"/>
  <c r="C91" i="13"/>
  <c r="B91" i="13"/>
  <c r="C90" i="13"/>
  <c r="B90" i="13"/>
  <c r="C89" i="13"/>
  <c r="B89" i="13"/>
  <c r="C88" i="13"/>
  <c r="B88" i="13"/>
  <c r="C87" i="13"/>
  <c r="B87" i="13"/>
  <c r="C86" i="13"/>
  <c r="B86" i="13"/>
  <c r="C85" i="13"/>
  <c r="B85" i="13"/>
  <c r="C84" i="13"/>
  <c r="B84" i="13"/>
  <c r="C83" i="13"/>
  <c r="B83" i="13"/>
  <c r="C82" i="13"/>
  <c r="B82" i="13"/>
  <c r="C81" i="13"/>
  <c r="B81" i="13"/>
  <c r="C80" i="13"/>
  <c r="B80" i="13"/>
  <c r="C79" i="13"/>
  <c r="B79" i="13"/>
  <c r="C78" i="13"/>
  <c r="B78" i="13"/>
  <c r="C77" i="13"/>
  <c r="B77" i="13"/>
  <c r="C76" i="13"/>
  <c r="B76" i="13"/>
  <c r="C75" i="13"/>
  <c r="B75" i="13"/>
  <c r="C74" i="13"/>
  <c r="B74" i="13"/>
  <c r="C73" i="13"/>
  <c r="B73" i="13"/>
  <c r="C72" i="13"/>
  <c r="B72" i="13"/>
  <c r="C71" i="13"/>
  <c r="B71" i="13"/>
  <c r="C70" i="13"/>
  <c r="B70" i="13"/>
  <c r="C69" i="13"/>
  <c r="B69" i="13"/>
  <c r="C68" i="13"/>
  <c r="B68" i="13"/>
  <c r="C67" i="13"/>
  <c r="B67" i="13"/>
  <c r="C66" i="13"/>
  <c r="B66" i="13"/>
  <c r="C65" i="13"/>
  <c r="B65" i="13"/>
  <c r="C64" i="13"/>
  <c r="B64" i="13"/>
  <c r="C63" i="13"/>
  <c r="B63" i="13"/>
  <c r="C62" i="13"/>
  <c r="B62" i="13"/>
  <c r="C61" i="13"/>
  <c r="B61" i="13"/>
  <c r="C60" i="13"/>
  <c r="B60" i="13"/>
  <c r="C59" i="13"/>
  <c r="B59" i="13"/>
  <c r="C58" i="13"/>
  <c r="B58" i="13"/>
  <c r="C57" i="13"/>
  <c r="B57" i="13"/>
  <c r="C56" i="13"/>
  <c r="B56" i="13"/>
  <c r="C55" i="13"/>
  <c r="B55" i="13"/>
  <c r="C54" i="13"/>
  <c r="B54" i="13"/>
  <c r="C53" i="13"/>
  <c r="B53" i="13"/>
  <c r="C52" i="13"/>
  <c r="B52" i="13"/>
  <c r="C51" i="13"/>
  <c r="B51" i="13"/>
  <c r="C50" i="13"/>
  <c r="B50" i="13"/>
  <c r="C49" i="13"/>
  <c r="B49" i="13"/>
  <c r="C48" i="13"/>
  <c r="B48" i="13"/>
  <c r="C47" i="13"/>
  <c r="B47" i="13"/>
  <c r="C46" i="13"/>
  <c r="B46" i="13"/>
  <c r="C45" i="13"/>
  <c r="B45" i="13"/>
  <c r="C44" i="13"/>
  <c r="B44" i="13"/>
  <c r="C43" i="13"/>
  <c r="B43" i="13"/>
  <c r="C42" i="13"/>
  <c r="B42" i="13"/>
  <c r="C41" i="13"/>
  <c r="B41" i="13"/>
  <c r="C40" i="13"/>
  <c r="B40" i="13"/>
  <c r="C39" i="13"/>
  <c r="B39" i="13"/>
  <c r="C38" i="13"/>
  <c r="B38" i="13"/>
  <c r="C37" i="13"/>
  <c r="B37" i="13"/>
  <c r="C36" i="13"/>
  <c r="B36" i="13"/>
  <c r="C35" i="13"/>
  <c r="B35" i="13"/>
  <c r="C34" i="13"/>
  <c r="B34" i="13"/>
  <c r="C33" i="13"/>
  <c r="B33" i="13"/>
  <c r="C32" i="13"/>
  <c r="B32" i="13"/>
  <c r="C31" i="13"/>
  <c r="B31" i="13"/>
  <c r="C30" i="13"/>
  <c r="B30" i="13"/>
  <c r="C29" i="13"/>
  <c r="B29" i="13"/>
  <c r="C28" i="13"/>
  <c r="B28" i="13"/>
  <c r="C27" i="13"/>
  <c r="B27" i="13"/>
  <c r="C26" i="13"/>
  <c r="B26" i="13"/>
  <c r="C25" i="13"/>
  <c r="B25" i="13"/>
  <c r="C24" i="13"/>
  <c r="B24" i="13"/>
  <c r="C23" i="13"/>
  <c r="B23" i="13"/>
  <c r="C22" i="13"/>
  <c r="B22" i="13"/>
  <c r="C21" i="13"/>
  <c r="B21" i="13"/>
  <c r="C20" i="13"/>
  <c r="B20" i="13"/>
  <c r="C19" i="13"/>
  <c r="B19" i="13"/>
  <c r="C18" i="13"/>
  <c r="B18" i="13"/>
  <c r="C17" i="13"/>
  <c r="B17" i="13"/>
  <c r="C16" i="13"/>
  <c r="B16" i="13"/>
  <c r="M2" i="14"/>
  <c r="D2" i="10"/>
  <c r="D2" i="6"/>
  <c r="E2" i="8"/>
  <c r="D13" i="6" s="1"/>
  <c r="Q32" i="1"/>
  <c r="Q31" i="1"/>
  <c r="Q30" i="1"/>
  <c r="Q29" i="1"/>
  <c r="Q28" i="1"/>
  <c r="Q27" i="1"/>
  <c r="Q26" i="1"/>
  <c r="Q25" i="1"/>
  <c r="Q24" i="1"/>
  <c r="Q23" i="1"/>
  <c r="I11" i="1"/>
  <c r="M13" i="1" s="1"/>
  <c r="E11" i="1"/>
  <c r="B10" i="1"/>
  <c r="E10" i="1" s="1"/>
  <c r="I10" i="1" s="1"/>
  <c r="M9" i="1" s="1"/>
  <c r="N9" i="1" s="1"/>
  <c r="K9" i="1"/>
  <c r="E9" i="1"/>
  <c r="I9" i="1" s="1"/>
  <c r="M8" i="1" s="1"/>
  <c r="B9" i="1"/>
  <c r="L8" i="1"/>
  <c r="K8" i="1"/>
  <c r="E8" i="1"/>
  <c r="I8" i="1" s="1"/>
  <c r="M10" i="1" s="1"/>
  <c r="N10" i="1" s="1"/>
  <c r="L7" i="1"/>
  <c r="E7" i="1"/>
  <c r="I7" i="1" s="1"/>
  <c r="M26" i="1"/>
  <c r="R27" i="1"/>
  <c r="X31" i="1"/>
  <c r="M30" i="1"/>
  <c r="S24" i="1"/>
  <c r="V23" i="1"/>
  <c r="S25" i="1"/>
  <c r="M31" i="1"/>
  <c r="R29" i="1"/>
  <c r="R26" i="1"/>
  <c r="W24" i="1"/>
  <c r="M29" i="1"/>
  <c r="U29" i="1"/>
  <c r="U23" i="1"/>
  <c r="V30" i="1"/>
  <c r="V27" i="1"/>
  <c r="R24" i="1"/>
  <c r="R31" i="1"/>
  <c r="L32" i="1"/>
  <c r="U32" i="1"/>
  <c r="Y26" i="1"/>
  <c r="Y23" i="1"/>
  <c r="V32" i="1"/>
  <c r="U26" i="1"/>
  <c r="U30" i="1"/>
  <c r="L25" i="1"/>
  <c r="R23" i="1"/>
  <c r="Y32" i="1"/>
  <c r="Y24" i="1"/>
  <c r="Y28" i="1"/>
  <c r="U28" i="1"/>
  <c r="Y31" i="1"/>
  <c r="U24" i="1"/>
  <c r="X23" i="1"/>
  <c r="L26" i="1"/>
  <c r="L23" i="1"/>
  <c r="M23" i="1"/>
  <c r="W23" i="1"/>
  <c r="L31" i="1"/>
  <c r="W28" i="1"/>
  <c r="S27" i="1"/>
  <c r="W27" i="1"/>
  <c r="X25" i="1"/>
  <c r="U25" i="1"/>
  <c r="M27" i="1"/>
  <c r="R30" i="1"/>
  <c r="M25" i="1"/>
  <c r="L29" i="1"/>
  <c r="X26" i="1"/>
  <c r="V26" i="1"/>
  <c r="T28" i="1"/>
  <c r="R32" i="1"/>
  <c r="M28" i="1"/>
  <c r="V28" i="1"/>
  <c r="X29" i="1"/>
  <c r="W32" i="1"/>
  <c r="L28" i="1"/>
  <c r="V25" i="1"/>
  <c r="S26" i="1"/>
  <c r="S28" i="1"/>
  <c r="S23" i="1"/>
  <c r="Y27" i="1"/>
  <c r="M24" i="1"/>
  <c r="R28" i="1"/>
  <c r="S31" i="1"/>
  <c r="L27" i="1"/>
  <c r="X28" i="1"/>
  <c r="T24" i="1"/>
  <c r="U31" i="1"/>
  <c r="V29" i="1"/>
  <c r="S29" i="1"/>
  <c r="V24" i="1"/>
  <c r="Y25" i="1"/>
  <c r="W31" i="1"/>
  <c r="T27" i="1"/>
  <c r="T31" i="1"/>
  <c r="W29" i="1"/>
  <c r="X27" i="1"/>
  <c r="Y29" i="1"/>
  <c r="T32" i="1"/>
  <c r="Y30" i="1"/>
  <c r="T26" i="1"/>
  <c r="M32" i="1"/>
  <c r="S30" i="1"/>
  <c r="V31" i="1"/>
  <c r="W26" i="1"/>
  <c r="L30" i="1"/>
  <c r="S32" i="1"/>
  <c r="W30" i="1"/>
  <c r="W25" i="1"/>
  <c r="T25" i="1"/>
  <c r="X24" i="1"/>
  <c r="T30" i="1"/>
  <c r="X30" i="1"/>
  <c r="T29" i="1"/>
  <c r="U27" i="1"/>
  <c r="X32" i="1"/>
  <c r="R25" i="1"/>
  <c r="T23" i="1"/>
  <c r="L24" i="1"/>
  <c r="N65" i="11" l="1"/>
  <c r="N16" i="11"/>
  <c r="N17" i="11"/>
  <c r="N18" i="11"/>
  <c r="N19" i="11"/>
  <c r="N20" i="11"/>
  <c r="N21" i="11"/>
  <c r="N22" i="11"/>
  <c r="N23" i="11"/>
  <c r="N24" i="11"/>
  <c r="N25" i="11"/>
  <c r="N26" i="11"/>
  <c r="N27" i="11"/>
  <c r="N28" i="11"/>
  <c r="N30" i="11"/>
  <c r="N31" i="11"/>
  <c r="N32" i="11"/>
  <c r="N33" i="11"/>
  <c r="N34" i="11"/>
  <c r="N35" i="11"/>
  <c r="N36" i="11"/>
  <c r="N37" i="11"/>
  <c r="N38" i="11"/>
  <c r="N39" i="11"/>
  <c r="N40" i="11"/>
  <c r="N41" i="11"/>
  <c r="N42" i="11"/>
  <c r="N43" i="11"/>
  <c r="N44" i="11"/>
  <c r="N45" i="11"/>
  <c r="N46" i="11"/>
  <c r="N47" i="11"/>
  <c r="N48" i="11"/>
  <c r="N49" i="11"/>
  <c r="N50" i="11"/>
  <c r="N51" i="11"/>
  <c r="N52" i="11"/>
  <c r="N53" i="11"/>
  <c r="N54" i="11"/>
  <c r="N55" i="11"/>
  <c r="N56" i="11"/>
  <c r="N57" i="11"/>
  <c r="N58" i="11"/>
  <c r="N59" i="11"/>
  <c r="N60" i="11"/>
  <c r="N61" i="11"/>
  <c r="N62" i="11"/>
  <c r="N63" i="11"/>
  <c r="N64" i="11"/>
  <c r="N66" i="11"/>
  <c r="N67" i="11"/>
  <c r="N68" i="11"/>
  <c r="N69" i="11"/>
  <c r="N70" i="11"/>
  <c r="N71" i="11"/>
  <c r="N72" i="11"/>
  <c r="N73" i="11"/>
  <c r="N74" i="11"/>
  <c r="N75" i="11"/>
  <c r="N76" i="11"/>
  <c r="N77" i="11"/>
  <c r="N78" i="11"/>
  <c r="N79" i="11"/>
  <c r="N80" i="11"/>
  <c r="N81" i="11"/>
  <c r="N82" i="11"/>
  <c r="N83" i="11"/>
  <c r="N84" i="11"/>
  <c r="N85" i="11"/>
  <c r="N86" i="11"/>
  <c r="N87" i="11"/>
  <c r="N88" i="11"/>
  <c r="N89" i="11"/>
  <c r="N90" i="11"/>
  <c r="N91" i="11"/>
  <c r="N92" i="11"/>
  <c r="N96" i="11"/>
  <c r="N97" i="11"/>
  <c r="N98" i="11"/>
  <c r="N99" i="11"/>
  <c r="N100" i="11"/>
  <c r="N101" i="11"/>
  <c r="N102" i="11"/>
  <c r="N103" i="11"/>
  <c r="N104" i="11"/>
  <c r="N105" i="11"/>
  <c r="N106" i="11"/>
  <c r="N107" i="11"/>
  <c r="N108" i="11"/>
  <c r="N109" i="11"/>
  <c r="N110" i="11"/>
  <c r="N111" i="11"/>
  <c r="N112" i="11"/>
  <c r="N113" i="11"/>
  <c r="N114" i="11"/>
  <c r="N115" i="11"/>
  <c r="N116" i="11"/>
  <c r="N117" i="11"/>
  <c r="N118" i="11"/>
  <c r="N119" i="11"/>
  <c r="N120" i="11"/>
  <c r="N121" i="11"/>
  <c r="N122" i="11"/>
  <c r="N123" i="11"/>
  <c r="N124" i="11"/>
  <c r="N125" i="11"/>
  <c r="N126" i="11"/>
  <c r="N127" i="11"/>
  <c r="N128" i="11"/>
  <c r="N129" i="11"/>
  <c r="N130" i="11"/>
  <c r="N132" i="11"/>
  <c r="N133" i="11"/>
  <c r="N134" i="11"/>
  <c r="N135" i="11"/>
  <c r="N136" i="11"/>
  <c r="N137" i="11"/>
  <c r="N138" i="11"/>
  <c r="N139" i="11"/>
  <c r="N140" i="11"/>
  <c r="N141" i="11"/>
  <c r="N142" i="11"/>
  <c r="N143" i="11"/>
  <c r="N144" i="11"/>
  <c r="N145" i="11"/>
  <c r="N146" i="11"/>
  <c r="N147" i="11"/>
  <c r="N148" i="11"/>
  <c r="N149" i="11"/>
  <c r="N150" i="11"/>
  <c r="N151" i="11"/>
  <c r="N152" i="11"/>
  <c r="N153" i="11"/>
  <c r="N154" i="11"/>
  <c r="B11" i="13"/>
  <c r="D172" i="13" s="1" a="1"/>
  <c r="D172" i="13" s="1"/>
  <c r="M7" i="1"/>
  <c r="N7" i="1" s="1"/>
  <c r="N6" i="11"/>
  <c r="N8" i="1"/>
  <c r="K2" i="1"/>
  <c r="N24" i="1"/>
  <c r="N26" i="1"/>
  <c r="N28" i="1"/>
  <c r="N30" i="1"/>
  <c r="N23" i="1"/>
  <c r="N25" i="1"/>
  <c r="N27" i="1"/>
  <c r="N29" i="1"/>
  <c r="N31" i="1"/>
  <c r="N32" i="1"/>
  <c r="H2" i="16"/>
  <c r="E2" i="12"/>
  <c r="N14" i="11"/>
  <c r="N93" i="11"/>
  <c r="N29" i="11"/>
  <c r="N94" i="11"/>
  <c r="N95" i="11"/>
  <c r="N131" i="11"/>
  <c r="D168" i="13" l="1" a="1"/>
  <c r="D168" i="13" s="1"/>
  <c r="D174" i="13" a="1"/>
  <c r="D174" i="13" s="1"/>
  <c r="D37" i="13" a="1"/>
  <c r="D37" i="13" s="1"/>
  <c r="D21" i="13" a="1"/>
  <c r="D21" i="13" s="1"/>
  <c r="D65" i="13" a="1"/>
  <c r="D65" i="13" s="1"/>
  <c r="D170" i="13" a="1"/>
  <c r="D170" i="13" s="1"/>
  <c r="D29" i="13" a="1"/>
  <c r="D29" i="13" s="1"/>
  <c r="D47" i="13" a="1"/>
  <c r="D47" i="13" s="1"/>
  <c r="D105" i="13" a="1"/>
  <c r="D105" i="13" s="1"/>
  <c r="D17" i="13" a="1"/>
  <c r="D17" i="13" s="1"/>
  <c r="D25" i="13" a="1"/>
  <c r="D25" i="13" s="1"/>
  <c r="D33" i="13" a="1"/>
  <c r="D33" i="13" s="1"/>
  <c r="D41" i="13" a="1"/>
  <c r="D41" i="13" s="1"/>
  <c r="D55" i="13" a="1"/>
  <c r="D55" i="13" s="1"/>
  <c r="D81" i="13" a="1"/>
  <c r="D81" i="13" s="1"/>
  <c r="D137" i="13" a="1"/>
  <c r="D137" i="13" s="1"/>
  <c r="D162" i="13" a="1"/>
  <c r="D162" i="13" s="1"/>
  <c r="D19" i="13" a="1"/>
  <c r="D19" i="13" s="1"/>
  <c r="D23" i="13" a="1"/>
  <c r="D23" i="13" s="1"/>
  <c r="D27" i="13" a="1"/>
  <c r="D27" i="13" s="1"/>
  <c r="D31" i="13" a="1"/>
  <c r="D31" i="13" s="1"/>
  <c r="D35" i="13" a="1"/>
  <c r="D35" i="13" s="1"/>
  <c r="D39" i="13" a="1"/>
  <c r="D39" i="13" s="1"/>
  <c r="D43" i="13" a="1"/>
  <c r="D43" i="13" s="1"/>
  <c r="D51" i="13" a="1"/>
  <c r="D51" i="13" s="1"/>
  <c r="D59" i="13" a="1"/>
  <c r="D59" i="13" s="1"/>
  <c r="D73" i="13" a="1"/>
  <c r="D73" i="13" s="1"/>
  <c r="D89" i="13" a="1"/>
  <c r="D89" i="13" s="1"/>
  <c r="D121" i="13" a="1"/>
  <c r="D121" i="13" s="1"/>
  <c r="D153" i="13" a="1"/>
  <c r="D153" i="13" s="1"/>
  <c r="D45" i="13" a="1"/>
  <c r="D45" i="13" s="1"/>
  <c r="D49" i="13" a="1"/>
  <c r="D49" i="13" s="1"/>
  <c r="D53" i="13" a="1"/>
  <c r="D53" i="13" s="1"/>
  <c r="D57" i="13" a="1"/>
  <c r="D57" i="13" s="1"/>
  <c r="D61" i="13" a="1"/>
  <c r="D61" i="13" s="1"/>
  <c r="D69" i="13" a="1"/>
  <c r="D69" i="13" s="1"/>
  <c r="D77" i="13" a="1"/>
  <c r="D77" i="13" s="1"/>
  <c r="D85" i="13" a="1"/>
  <c r="D85" i="13" s="1"/>
  <c r="D97" i="13" a="1"/>
  <c r="D97" i="13" s="1"/>
  <c r="D113" i="13" a="1"/>
  <c r="D113" i="13" s="1"/>
  <c r="D129" i="13" a="1"/>
  <c r="D129" i="13" s="1"/>
  <c r="D145" i="13" a="1"/>
  <c r="D145" i="13" s="1"/>
  <c r="D161" i="13" a="1"/>
  <c r="D161" i="13" s="1"/>
  <c r="D63" i="13" a="1"/>
  <c r="D63" i="13" s="1"/>
  <c r="D67" i="13" a="1"/>
  <c r="D67" i="13" s="1"/>
  <c r="D71" i="13" a="1"/>
  <c r="D71" i="13" s="1"/>
  <c r="D75" i="13" a="1"/>
  <c r="D75" i="13" s="1"/>
  <c r="D79" i="13" a="1"/>
  <c r="D79" i="13" s="1"/>
  <c r="D83" i="13" a="1"/>
  <c r="D83" i="13" s="1"/>
  <c r="D87" i="13" a="1"/>
  <c r="D87" i="13" s="1"/>
  <c r="D93" i="13" a="1"/>
  <c r="D93" i="13" s="1"/>
  <c r="D101" i="13" a="1"/>
  <c r="D101" i="13" s="1"/>
  <c r="D109" i="13" a="1"/>
  <c r="D109" i="13" s="1"/>
  <c r="D117" i="13" a="1"/>
  <c r="D117" i="13" s="1"/>
  <c r="D125" i="13" a="1"/>
  <c r="D125" i="13" s="1"/>
  <c r="D133" i="13" a="1"/>
  <c r="D133" i="13" s="1"/>
  <c r="D141" i="13" a="1"/>
  <c r="D141" i="13" s="1"/>
  <c r="D149" i="13" a="1"/>
  <c r="D149" i="13" s="1"/>
  <c r="D157" i="13" a="1"/>
  <c r="D157" i="13" s="1"/>
  <c r="D169" i="13" a="1"/>
  <c r="D169" i="13" s="1"/>
  <c r="D91" i="13" a="1"/>
  <c r="D91" i="13" s="1"/>
  <c r="D95" i="13" a="1"/>
  <c r="D95" i="13" s="1"/>
  <c r="D99" i="13" a="1"/>
  <c r="D99" i="13" s="1"/>
  <c r="D103" i="13" a="1"/>
  <c r="D103" i="13" s="1"/>
  <c r="D107" i="13" a="1"/>
  <c r="D107" i="13" s="1"/>
  <c r="D111" i="13" a="1"/>
  <c r="D111" i="13" s="1"/>
  <c r="D115" i="13" a="1"/>
  <c r="D115" i="13" s="1"/>
  <c r="D119" i="13" a="1"/>
  <c r="D119" i="13" s="1"/>
  <c r="D123" i="13" a="1"/>
  <c r="D123" i="13" s="1"/>
  <c r="D127" i="13" a="1"/>
  <c r="D127" i="13" s="1"/>
  <c r="D131" i="13" a="1"/>
  <c r="D131" i="13" s="1"/>
  <c r="D135" i="13" a="1"/>
  <c r="D135" i="13" s="1"/>
  <c r="D139" i="13" a="1"/>
  <c r="D139" i="13" s="1"/>
  <c r="D143" i="13" a="1"/>
  <c r="D143" i="13" s="1"/>
  <c r="D147" i="13" a="1"/>
  <c r="D147" i="13" s="1"/>
  <c r="D151" i="13" a="1"/>
  <c r="D151" i="13" s="1"/>
  <c r="D155" i="13" a="1"/>
  <c r="D155" i="13" s="1"/>
  <c r="D159" i="13" a="1"/>
  <c r="D159" i="13" s="1"/>
  <c r="D165" i="13" a="1"/>
  <c r="D165" i="13" s="1"/>
  <c r="D173" i="13" a="1"/>
  <c r="D173" i="13" s="1"/>
  <c r="D164" i="13" a="1"/>
  <c r="D164" i="13" s="1"/>
  <c r="D166" i="13" a="1"/>
  <c r="D166" i="13" s="1"/>
  <c r="D16" i="13" a="1"/>
  <c r="D16" i="13" s="1"/>
  <c r="D18" i="13" a="1"/>
  <c r="D18" i="13" s="1"/>
  <c r="D20" i="13" a="1"/>
  <c r="D20" i="13" s="1"/>
  <c r="D22" i="13" a="1"/>
  <c r="D22" i="13" s="1"/>
  <c r="D24" i="13" a="1"/>
  <c r="D24" i="13" s="1"/>
  <c r="D26" i="13" a="1"/>
  <c r="D26" i="13" s="1"/>
  <c r="D28" i="13" a="1"/>
  <c r="D28" i="13" s="1"/>
  <c r="D30" i="13" a="1"/>
  <c r="D30" i="13" s="1"/>
  <c r="D32" i="13" a="1"/>
  <c r="D32" i="13" s="1"/>
  <c r="D34" i="13" a="1"/>
  <c r="D34" i="13" s="1"/>
  <c r="D36" i="13" a="1"/>
  <c r="D36" i="13" s="1"/>
  <c r="D38" i="13" a="1"/>
  <c r="D38" i="13" s="1"/>
  <c r="D40" i="13" a="1"/>
  <c r="D40" i="13" s="1"/>
  <c r="D42" i="13" a="1"/>
  <c r="D42" i="13" s="1"/>
  <c r="D44" i="13" a="1"/>
  <c r="D44" i="13" s="1"/>
  <c r="D46" i="13" a="1"/>
  <c r="D46" i="13" s="1"/>
  <c r="D48" i="13" a="1"/>
  <c r="D48" i="13" s="1"/>
  <c r="D50" i="13" a="1"/>
  <c r="D50" i="13" s="1"/>
  <c r="D52" i="13" a="1"/>
  <c r="D52" i="13" s="1"/>
  <c r="D54" i="13" a="1"/>
  <c r="D54" i="13" s="1"/>
  <c r="D56" i="13" a="1"/>
  <c r="D56" i="13" s="1"/>
  <c r="D58" i="13" a="1"/>
  <c r="D58" i="13" s="1"/>
  <c r="D60" i="13" a="1"/>
  <c r="D60" i="13" s="1"/>
  <c r="D62" i="13" a="1"/>
  <c r="D62" i="13" s="1"/>
  <c r="D64" i="13" a="1"/>
  <c r="D64" i="13" s="1"/>
  <c r="D66" i="13" a="1"/>
  <c r="D66" i="13" s="1"/>
  <c r="D68" i="13" a="1"/>
  <c r="D68" i="13" s="1"/>
  <c r="D70" i="13" a="1"/>
  <c r="D70" i="13" s="1"/>
  <c r="D72" i="13" a="1"/>
  <c r="D72" i="13" s="1"/>
  <c r="D74" i="13" a="1"/>
  <c r="D74" i="13" s="1"/>
  <c r="D76" i="13" a="1"/>
  <c r="D76" i="13" s="1"/>
  <c r="D78" i="13" a="1"/>
  <c r="D78" i="13" s="1"/>
  <c r="D80" i="13" a="1"/>
  <c r="D80" i="13" s="1"/>
  <c r="D82" i="13" a="1"/>
  <c r="D82" i="13" s="1"/>
  <c r="D84" i="13" a="1"/>
  <c r="D84" i="13" s="1"/>
  <c r="D86" i="13" a="1"/>
  <c r="D86" i="13" s="1"/>
  <c r="D88" i="13" a="1"/>
  <c r="D88" i="13" s="1"/>
  <c r="D90" i="13" a="1"/>
  <c r="D90" i="13" s="1"/>
  <c r="D92" i="13" a="1"/>
  <c r="D92" i="13" s="1"/>
  <c r="D94" i="13" a="1"/>
  <c r="D94" i="13" s="1"/>
  <c r="D96" i="13" a="1"/>
  <c r="D96" i="13" s="1"/>
  <c r="D98" i="13" a="1"/>
  <c r="D98" i="13" s="1"/>
  <c r="D100" i="13" a="1"/>
  <c r="D100" i="13" s="1"/>
  <c r="D102" i="13" a="1"/>
  <c r="D102" i="13" s="1"/>
  <c r="D104" i="13" a="1"/>
  <c r="D104" i="13" s="1"/>
  <c r="D106" i="13" a="1"/>
  <c r="D106" i="13" s="1"/>
  <c r="D108" i="13" a="1"/>
  <c r="D108" i="13" s="1"/>
  <c r="D110" i="13" a="1"/>
  <c r="D110" i="13" s="1"/>
  <c r="D112" i="13" a="1"/>
  <c r="D112" i="13" s="1"/>
  <c r="D114" i="13" a="1"/>
  <c r="D114" i="13" s="1"/>
  <c r="D116" i="13" a="1"/>
  <c r="D116" i="13" s="1"/>
  <c r="D118" i="13" a="1"/>
  <c r="D118" i="13" s="1"/>
  <c r="D120" i="13" a="1"/>
  <c r="D120" i="13" s="1"/>
  <c r="D122" i="13" a="1"/>
  <c r="D122" i="13" s="1"/>
  <c r="D124" i="13" a="1"/>
  <c r="D124" i="13" s="1"/>
  <c r="D126" i="13" a="1"/>
  <c r="D126" i="13" s="1"/>
  <c r="D128" i="13" a="1"/>
  <c r="D128" i="13" s="1"/>
  <c r="D130" i="13" a="1"/>
  <c r="D130" i="13" s="1"/>
  <c r="D132" i="13" a="1"/>
  <c r="D132" i="13" s="1"/>
  <c r="D134" i="13" a="1"/>
  <c r="D134" i="13" s="1"/>
  <c r="D136" i="13" a="1"/>
  <c r="D136" i="13" s="1"/>
  <c r="D138" i="13" a="1"/>
  <c r="D138" i="13" s="1"/>
  <c r="D140" i="13" a="1"/>
  <c r="D140" i="13" s="1"/>
  <c r="D142" i="13" a="1"/>
  <c r="D142" i="13" s="1"/>
  <c r="D144" i="13" a="1"/>
  <c r="D144" i="13" s="1"/>
  <c r="D146" i="13" a="1"/>
  <c r="D146" i="13" s="1"/>
  <c r="D148" i="13" a="1"/>
  <c r="D148" i="13" s="1"/>
  <c r="D150" i="13" a="1"/>
  <c r="D150" i="13" s="1"/>
  <c r="D152" i="13" a="1"/>
  <c r="D152" i="13" s="1"/>
  <c r="D154" i="13" a="1"/>
  <c r="D154" i="13" s="1"/>
  <c r="D156" i="13" a="1"/>
  <c r="D156" i="13" s="1"/>
  <c r="D158" i="13" a="1"/>
  <c r="D158" i="13" s="1"/>
  <c r="D160" i="13" a="1"/>
  <c r="D160" i="13" s="1"/>
  <c r="D163" i="13" a="1"/>
  <c r="D163" i="13" s="1"/>
  <c r="D167" i="13" a="1"/>
  <c r="D167" i="13" s="1"/>
  <c r="D171" i="13" a="1"/>
  <c r="D171" i="13" s="1"/>
  <c r="O13" i="1"/>
</calcChain>
</file>

<file path=xl/connections.xml><?xml version="1.0" encoding="utf-8"?>
<connections xmlns="http://schemas.openxmlformats.org/spreadsheetml/2006/main">
  <connection id="1" name="Anslutning" type="4" refreshedVersion="5" background="1" saveData="1">
    <webPr xl2000="1" url="http://kdb-5.liu.se/liu/lith/studiehandboken/action.lasso?&amp;-response=lot_response.lasso&amp;-op=eq&amp;kp_budget_year=2009-op=eq&amp;kp_programkod=I&amp;-op=ct&amp;kp_programprofil=system" htmlTables="1" htmlFormat="all">
      <tables count="1">
        <x v="1"/>
      </tables>
    </webPr>
  </connection>
  <connection id="2" name="Anslutning1" type="4" refreshedVersion="5" background="1" saveData="1">
    <webPr xl2000="1" url="http://kdb-5.liu.se/liu/lith/studiehandboken/action.lasso?&amp;-response=lot_response.lasso&amp;-op=eq&amp;kp_budget_year=2010-op=eq&amp;kp_programkod=I&amp;-op=ct&amp;kp_programprofil=system" htmlTables="1" htmlFormat="all">
      <tables count="1">
        <x v="1"/>
      </tables>
    </webPr>
  </connection>
  <connection id="3" name="Anslutning10" type="4" refreshedVersion="5" background="1" saveData="1">
    <webPr xl2000="1" url="http://kdb-5.liu.se/liu/lith/studiehandboken/action.lasso?&amp;-response=lot_response.lasso&amp;-op=eq&amp;kp_budget_year=2011-op=eq&amp;kp_programkod=I&amp;-op=ct&amp;kp_programprofil=energi" htmlTables="1" htmlFormat="all">
      <tables count="1">
        <x v="1"/>
      </tables>
    </webPr>
  </connection>
  <connection id="4" name="Anslutning100" type="4" refreshedVersion="5" background="1" saveData="1">
    <webPr xl2000="1" url="http://kdb-5.liu.se/liu/lith/studiehandboken/action.lasso?&amp;-response=lot_response.lasso&amp;-op=eq&amp;kp_budget_year=2009-op=eq&amp;kp_programkod=I&amp;-op=ct&amp;kp_programprofil=energi" htmlTables="1" htmlFormat="all">
      <tables count="1">
        <x v="1"/>
      </tables>
    </webPr>
  </connection>
  <connection id="5" name="Anslutning101" type="4" refreshedVersion="5" background="1" saveData="1">
    <webPr xl2000="1" url="http://kdb-5.liu.se/liu/lith/studiehandboken/action.lasso?&amp;-response=lot_response.lasso&amp;-op=eq&amp;kp_budget_year=2010-op=eq&amp;kp_programkod=I&amp;-op=ct&amp;kp_programprofil=energi" htmlTables="1" htmlFormat="all">
      <tables count="1">
        <x v="1"/>
      </tables>
    </webPr>
  </connection>
  <connection id="6" name="Anslutning102" type="4" refreshedVersion="5" background="1" saveData="1">
    <webPr xl2000="1" url="http://kdb-5.liu.se/liu/lith/studiehandboken/action.lasso?&amp;-response=lot_response.lasso&amp;-op=eq&amp;kp_budget_year=2011-op=eq&amp;kp_programkod=I&amp;-op=ct&amp;kp_programprofil=energi" htmlTables="1" htmlFormat="all">
      <tables count="1">
        <x v="1"/>
      </tables>
    </webPr>
  </connection>
  <connection id="7" name="Anslutning103" type="4" refreshedVersion="5" background="1" saveData="1">
    <webPr xl2000="1" url="http://kdb-5.liu.se/liu/lith/studiehandboken/action.lasso?&amp;-response=lot_response.lasso&amp;-op=eq&amp;kp_budget_year=2012-op=eq&amp;kp_programkod=I&amp;-op=ct&amp;kp_programprofil=energi" htmlTables="1" htmlFormat="all">
      <tables count="1">
        <x v="1"/>
      </tables>
    </webPr>
  </connection>
  <connection id="8" name="Anslutning104" type="4" refreshedVersion="5" background="1" saveData="1">
    <webPr xl2000="1" url="http://kdb-5.liu.se/liu/lith/studiehandboken/action.lasso?&amp;-response=lot_response.lasso&amp;-op=eq&amp;kp_budget_year=2013-op=eq&amp;kp_programkod=I&amp;-op=ct&amp;kp_programprofil=energi" htmlTables="1" htmlFormat="all">
      <tables count="1">
        <x v="1"/>
      </tables>
    </webPr>
  </connection>
  <connection id="9" name="Anslutning105" type="4" refreshedVersion="5" background="1" saveData="1">
    <webPr xl2000="1" url="http://kdb-5.liu.se/liu/lith/studiehandboken/action.lasso?&amp;-response=lot_response.lasso&amp;-op=eq&amp;kp_budget_year=2014-op=eq&amp;kp_programkod=I&amp;-op=ct&amp;kp_programprofil=energi" htmlTables="1" htmlFormat="all">
      <tables count="1">
        <x v="1"/>
      </tables>
    </webPr>
  </connection>
  <connection id="10" name="Anslutning106" type="4" refreshedVersion="5" background="1" saveData="1">
    <webPr xl2000="1" url="http://kdb-5.liu.se/liu/lith/studiehandboken/action.lasso?&amp;-response=lot_response.lasso&amp;-op=eq&amp;kp_budget_year=2009-op=eq&amp;kp_programkod=I&amp;-op=ct&amp;kp_programprofil=maskin" htmlTables="1" htmlFormat="all">
      <tables count="1">
        <x v="1"/>
      </tables>
    </webPr>
  </connection>
  <connection id="11" name="Anslutning107" type="4" refreshedVersion="5" background="1" saveData="1">
    <webPr xl2000="1" url="http://kdb-5.liu.se/liu/lith/studiehandboken/action.lasso?&amp;-response=lot_response.lasso&amp;-op=eq&amp;kp_budget_year=2010-op=eq&amp;kp_programkod=I&amp;-op=ct&amp;kp_programprofil=maskin" htmlTables="1" htmlFormat="all">
      <tables count="1">
        <x v="1"/>
      </tables>
    </webPr>
  </connection>
  <connection id="12" name="Anslutning108" type="4" refreshedVersion="5" background="1" saveData="1">
    <webPr xl2000="1" url="http://kdb-5.liu.se/liu/lith/studiehandboken/action.lasso?&amp;-response=lot_response.lasso&amp;-op=eq&amp;kp_budget_year=2011-op=eq&amp;kp_programkod=I&amp;-op=ct&amp;kp_programprofil=maskin" htmlTables="1" htmlFormat="all">
      <tables count="1">
        <x v="1"/>
      </tables>
    </webPr>
  </connection>
  <connection id="13" name="Anslutning109" type="4" refreshedVersion="5" background="1" saveData="1">
    <webPr xl2000="1" url="http://kdb-5.liu.se/liu/lith/studiehandboken/action.lasso?&amp;-response=lot_response.lasso&amp;-op=eq&amp;kp_budget_year=2012-op=eq&amp;kp_programkod=I&amp;-op=ct&amp;kp_programprofil=maskin" htmlTables="1" htmlFormat="all">
      <tables count="1">
        <x v="1"/>
      </tables>
    </webPr>
  </connection>
  <connection id="14" name="Anslutning11" type="4" refreshedVersion="5" background="1" saveData="1">
    <webPr xl2000="1" url="http://kdb-5.liu.se/liu/lith/studiehandboken/action.lasso?&amp;-response=lot_response.lasso&amp;-op=eq&amp;kp_budget_year=2012-op=eq&amp;kp_programkod=I&amp;-op=ct&amp;kp_programprofil=energi" htmlTables="1" htmlFormat="all">
      <tables count="1">
        <x v="1"/>
      </tables>
    </webPr>
  </connection>
  <connection id="15" name="Anslutning110" type="4" refreshedVersion="5" background="1" saveData="1">
    <webPr xl2000="1" url="http://kdb-5.liu.se/liu/lith/studiehandboken/action.lasso?&amp;-response=lot_response.lasso&amp;-op=eq&amp;kp_budget_year=2013-op=eq&amp;kp_programkod=I&amp;-op=ct&amp;kp_programprofil=maskin" htmlTables="1" htmlFormat="all">
      <tables count="1">
        <x v="1"/>
      </tables>
    </webPr>
  </connection>
  <connection id="16" name="Anslutning111" type="4" refreshedVersion="5" background="1" saveData="1">
    <webPr xl2000="1" url="http://kdb-5.liu.se/liu/lith/studiehandboken/action.lasso?&amp;-response=lot_response.lasso&amp;-op=eq&amp;kp_budget_year=2014-op=eq&amp;kp_programkod=I&amp;-op=ct&amp;kp_programprofil=maskin" htmlTables="1" htmlFormat="all">
      <tables count="1">
        <x v="1"/>
      </tables>
    </webPr>
  </connection>
  <connection id="17" name="Anslutning112" type="4" refreshedVersion="5" background="1" saveData="1">
    <webPr xl2000="1" url="http://kdb-5.liu.se/liu/lith/studiehandboken/action.lasso?&amp;-response=lot_response_hu.lasso&amp;-op=eq&amp;kp_budget_year=2009-op=eq&amp;kp_programkod=I&amp;-op=ct&amp;kp_programprofil=ei&amp;-Token.homr=Industriell%20ekonomi" htmlTables="1" htmlFormat="all">
      <tables count="1">
        <x v="1"/>
      </tables>
    </webPr>
  </connection>
  <connection id="18" name="Anslutning113" type="4" refreshedVersion="5" background="1" saveData="1">
    <webPr xl2000="1" url="http://kdb-5.liu.se/liu/lith/studiehandboken/action.lasso?&amp;-response=lot_response_hu.lasso&amp;-op=eq&amp;kp_budget_year=2010-op=eq&amp;kp_programkod=I&amp;-op=ct&amp;kp_programprofil=ei&amp;-Token.homr=Industriell%20ekonomi" htmlTables="1" htmlFormat="all">
      <tables count="1">
        <x v="1"/>
      </tables>
    </webPr>
  </connection>
  <connection id="19" name="Anslutning114" type="4" refreshedVersion="5" background="1" saveData="1">
    <webPr xl2000="1" url="http://kdb-5.liu.se/liu/lith/studiehandboken/action.lasso?&amp;-response=lot_response_hu.lasso&amp;-op=eq&amp;kp_budget_year=2011-op=eq&amp;kp_programkod=I&amp;-op=ct&amp;kp_programprofil=ei&amp;-Token.homr=Industriell%20ekonomi" htmlTables="1" htmlFormat="all">
      <tables count="1">
        <x v="1"/>
      </tables>
    </webPr>
  </connection>
  <connection id="20" name="Anslutning115" type="4" refreshedVersion="5" background="1" saveData="1">
    <webPr xl2000="1" url="http://kdb-5.liu.se/liu/lith/studiehandboken/action.lasso?&amp;-response=lot_response_hu.lasso&amp;-op=eq&amp;kp_budget_year=2012-op=eq&amp;kp_programkod=I&amp;-op=ct&amp;kp_programprofil=ei&amp;-Token.homr=Industriell%20ekonomi" htmlTables="1" htmlFormat="all">
      <tables count="1">
        <x v="1"/>
      </tables>
    </webPr>
  </connection>
  <connection id="21" name="Anslutning116" type="4" refreshedVersion="5" background="1" saveData="1">
    <webPr xl2000="1" url="http://kdb-5.liu.se/liu/lith/studiehandboken/action.lasso?&amp;-response=lot_response_hu.lasso&amp;-op=eq&amp;kp_budget_year=2013-op=eq&amp;kp_programkod=I&amp;-op=ct&amp;kp_programprofil=ei&amp;-Token.homr=Industriell%20ekonomi" htmlTables="1" htmlFormat="all">
      <tables count="1">
        <x v="1"/>
      </tables>
    </webPr>
  </connection>
  <connection id="22" name="Anslutning117" type="4" refreshedVersion="5" background="1" saveData="1">
    <webPr xl2000="1" url="http://kdb-5.liu.se/liu/lith/studiehandboken/action.lasso?&amp;-response=lot_response_hu.lasso&amp;-op=eq&amp;kp_budget_year=2014-op=eq&amp;kp_programkod=I&amp;-op=ct&amp;kp_programprofil=ei&amp;-Token.homr=Industriell%20ekonomi" htmlTables="1" htmlFormat="all">
      <tables count="1">
        <x v="1"/>
      </tables>
    </webPr>
  </connection>
  <connection id="23" name="Anslutning118" type="4" refreshedVersion="5" background="1" saveData="1">
    <webPr xl2000="1" url="http://kdb-5.liu.se/liu/lith/studiehandboken/action.lasso?&amp;-response=lot_response_hu.lasso&amp;-op=eq&amp;kp_budget_year=2009-op=eq&amp;kp_programkod=I&amp;-op=ct&amp;kp_programprofil=fin&amp;-Token.homr=Industriell%20ekonomi" htmlTables="1" htmlFormat="all">
      <tables count="1">
        <x v="1"/>
      </tables>
    </webPr>
  </connection>
  <connection id="24" name="Anslutning119" type="4" refreshedVersion="5" background="1" saveData="1">
    <webPr xl2000="1" url="http://kdb-5.liu.se/liu/lith/studiehandboken/action.lasso?&amp;-response=lot_response_hu.lasso&amp;-op=eq&amp;kp_budget_year=2010-op=eq&amp;kp_programkod=I&amp;-op=ct&amp;kp_programprofil=fin&amp;-Token.homr=Industriell%20ekonomi" htmlTables="1" htmlFormat="all">
      <tables count="1">
        <x v="1"/>
      </tables>
    </webPr>
  </connection>
  <connection id="25" name="Anslutning12" type="4" refreshedVersion="5" background="1" saveData="1">
    <webPr xl2000="1" url="http://kdb-5.liu.se/liu/lith/studiehandboken/action.lasso?&amp;-response=lot_response.lasso&amp;-op=eq&amp;kp_budget_year=2013-op=eq&amp;kp_programkod=I&amp;-op=ct&amp;kp_programprofil=energi" htmlTables="1" htmlFormat="all">
      <tables count="1">
        <x v="1"/>
      </tables>
    </webPr>
  </connection>
  <connection id="26" name="Anslutning120" type="4" refreshedVersion="5" background="1" saveData="1">
    <webPr xl2000="1" url="http://kdb-5.liu.se/liu/lith/studiehandboken/action.lasso?&amp;-response=lot_response_hu.lasso&amp;-op=eq&amp;kp_budget_year=2011-op=eq&amp;kp_programkod=I&amp;-op=ct&amp;kp_programprofil=fin&amp;-Token.homr=Industriell%20ekonomi" htmlTables="1" htmlFormat="all">
      <tables count="1">
        <x v="1"/>
      </tables>
    </webPr>
  </connection>
  <connection id="27" name="Anslutning121" type="4" refreshedVersion="5" background="1" saveData="1">
    <webPr xl2000="1" url="http://kdb-5.liu.se/liu/lith/studiehandboken/action.lasso?&amp;-response=lot_response_hu.lasso&amp;-op=eq&amp;kp_budget_year=2012-op=eq&amp;kp_programkod=I&amp;-op=ct&amp;kp_programprofil=fin&amp;-Token.homr=Industriell%20ekonomi" htmlTables="1" htmlFormat="all">
      <tables count="1">
        <x v="1"/>
      </tables>
    </webPr>
  </connection>
  <connection id="28" name="Anslutning122" type="4" refreshedVersion="5" background="1" saveData="1">
    <webPr xl2000="1" url="http://kdb-5.liu.se/liu/lith/studiehandboken/action.lasso?&amp;-response=lot_response_hu.lasso&amp;-op=eq&amp;kp_budget_year=2013-op=eq&amp;kp_programkod=I&amp;-op=ct&amp;kp_programprofil=fin&amp;-Token.homr=Industriell%20ekonomi" htmlTables="1" htmlFormat="all">
      <tables count="1">
        <x v="1"/>
      </tables>
    </webPr>
  </connection>
  <connection id="29" name="Anslutning123" type="4" refreshedVersion="5" background="1" saveData="1">
    <webPr xl2000="1" url="http://kdb-5.liu.se/liu/lith/studiehandboken/action.lasso?&amp;-response=lot_response_hu.lasso&amp;-op=eq&amp;kp_budget_year=2014-op=eq&amp;kp_programkod=I&amp;-op=ct&amp;kp_programprofil=fin&amp;-Token.homr=Industriell%20ekonomi" htmlTables="1" htmlFormat="all">
      <tables count="1">
        <x v="1"/>
      </tables>
    </webPr>
  </connection>
  <connection id="30" name="Anslutning124" type="4" refreshedVersion="5" background="1" saveData="1">
    <webPr xl2000="1" url="http://kdb-5.liu.se/liu/lith/studiehandboken/action.lasso?&amp;-response=lot_response_hu.lasso&amp;-op=eq&amp;kp_budget_year=2009-op=eq&amp;kp_programkod=I&amp;-op=ct&amp;kp_programprofil=imf&amp;-Token.homr=Industriell%20ekonomi" htmlTables="1" htmlFormat="all">
      <tables count="1">
        <x v="1"/>
      </tables>
    </webPr>
  </connection>
  <connection id="31" name="Anslutning125" type="4" refreshedVersion="5" background="1" saveData="1">
    <webPr xl2000="1" url="http://kdb-5.liu.se/liu/lith/studiehandboken/action.lasso?&amp;-response=lot_response_hu.lasso&amp;-op=eq&amp;kp_budget_year=2010-op=eq&amp;kp_programkod=I&amp;-op=ct&amp;kp_programprofil=imf&amp;-Token.homr=Industriell%20ekonomi" htmlTables="1" htmlFormat="all">
      <tables count="1">
        <x v="1"/>
      </tables>
    </webPr>
  </connection>
  <connection id="32" name="Anslutning126" type="4" refreshedVersion="5" background="1" saveData="1">
    <webPr xl2000="1" url="http://kdb-5.liu.se/liu/lith/studiehandboken/action.lasso?&amp;-response=lot_response_hu.lasso&amp;-op=eq&amp;kp_budget_year=2011-op=eq&amp;kp_programkod=I&amp;-op=ct&amp;kp_programprofil=imf&amp;-Token.homr=Industriell%20ekonomi" htmlTables="1" htmlFormat="all">
      <tables count="1">
        <x v="1"/>
      </tables>
    </webPr>
  </connection>
  <connection id="33" name="Anslutning127" type="4" refreshedVersion="5" background="1" saveData="1">
    <webPr xl2000="1" url="http://kdb-5.liu.se/liu/lith/studiehandboken/action.lasso?&amp;-response=lot_response_hu.lasso&amp;-op=eq&amp;kp_budget_year=2012-op=eq&amp;kp_programkod=I&amp;-op=ct&amp;kp_programprofil=imf&amp;-Token.homr=Industriell%20ekonomi" htmlTables="1" htmlFormat="all">
      <tables count="1">
        <x v="1"/>
      </tables>
    </webPr>
  </connection>
  <connection id="34" name="Anslutning128" type="4" refreshedVersion="5" background="1" saveData="1">
    <webPr xl2000="1" url="http://kdb-5.liu.se/liu/lith/studiehandboken/action.lasso?&amp;-response=lot_response_hu.lasso&amp;-op=eq&amp;kp_budget_year=2013-op=eq&amp;kp_programkod=I&amp;-op=ct&amp;kp_programprofil=imf&amp;-Token.homr=Industriell%20ekonomi" htmlTables="1" htmlFormat="all">
      <tables count="1">
        <x v="1"/>
      </tables>
    </webPr>
  </connection>
  <connection id="35" name="Anslutning129" type="4" refreshedVersion="5" background="1" saveData="1">
    <webPr xl2000="1" url="http://kdb-5.liu.se/liu/lith/studiehandboken/action.lasso?&amp;-response=lot_response_hu.lasso&amp;-op=eq&amp;kp_budget_year=2014-op=eq&amp;kp_programkod=I&amp;-op=ct&amp;kp_programprofil=imf&amp;-Token.homr=Industriell%20ekonomi" htmlTables="1" htmlFormat="all">
      <tables count="1">
        <x v="1"/>
      </tables>
    </webPr>
  </connection>
  <connection id="36" name="Anslutning13" type="4" refreshedVersion="5" background="1" saveData="1">
    <webPr xl2000="1" url="http://kdb-5.liu.se/liu/lith/studiehandboken/action.lasso?&amp;-response=lot_response.lasso&amp;-op=eq&amp;kp_budget_year=2014-op=eq&amp;kp_programkod=I&amp;-op=ct&amp;kp_programprofil=energi" htmlTables="1" htmlFormat="all">
      <tables count="1">
        <x v="1"/>
      </tables>
    </webPr>
  </connection>
  <connection id="37" name="Anslutning130" type="4" refreshedVersion="5" background="1" saveData="1">
    <webPr xl2000="1" url="http://kdb-5.liu.se/liu/lith/studiehandboken/action.lasso?&amp;-response=lot_response_hu.lasso&amp;-op=eq&amp;kp_budget_year=2009-op=eq&amp;kp_programkod=I&amp;-op=ct&amp;kp_programprofil=kvu&amp;-Token.homr=Industriell%20ekonomi" htmlTables="1" htmlFormat="all">
      <tables count="1">
        <x v="1"/>
      </tables>
    </webPr>
  </connection>
  <connection id="38" name="Anslutning131" type="4" refreshedVersion="5" background="1" saveData="1">
    <webPr xl2000="1" url="http://kdb-5.liu.se/liu/lith/studiehandboken/action.lasso?&amp;-response=lot_response_hu.lasso&amp;-op=eq&amp;kp_budget_year=2010-op=eq&amp;kp_programkod=I&amp;-op=ct&amp;kp_programprofil=kvu&amp;-Token.homr=Industriell%20ekonomi" htmlTables="1" htmlFormat="all">
      <tables count="1">
        <x v="1"/>
      </tables>
    </webPr>
  </connection>
  <connection id="39" name="Anslutning132" type="4" refreshedVersion="5" background="1" saveData="1">
    <webPr xl2000="1" url="http://kdb-5.liu.se/liu/lith/studiehandboken/action.lasso?&amp;-response=lot_response_hu.lasso&amp;-op=eq&amp;kp_budget_year=2011-op=eq&amp;kp_programkod=I&amp;-op=ct&amp;kp_programprofil=kvu&amp;-Token.homr=Industriell%20ekonomi" htmlTables="1" htmlFormat="all">
      <tables count="1">
        <x v="1"/>
      </tables>
    </webPr>
  </connection>
  <connection id="40" name="Anslutning133" type="4" refreshedVersion="5" background="1" saveData="1">
    <webPr xl2000="1" url="http://kdb-5.liu.se/liu/lith/studiehandboken/action.lasso?&amp;-response=lot_response_hu.lasso&amp;-op=eq&amp;kp_budget_year=2012-op=eq&amp;kp_programkod=I&amp;-op=ct&amp;kp_programprofil=kvu&amp;-Token.homr=Industriell%20ekonomi" htmlTables="1" htmlFormat="all">
      <tables count="1">
        <x v="1"/>
      </tables>
    </webPr>
  </connection>
  <connection id="41" name="Anslutning134" type="4" refreshedVersion="5" background="1" saveData="1">
    <webPr xl2000="1" url="http://kdb-5.liu.se/liu/lith/studiehandboken/action.lasso?&amp;-response=lot_response_hu.lasso&amp;-op=eq&amp;kp_budget_year=2013-op=eq&amp;kp_programkod=I&amp;-op=ct&amp;kp_programprofil=kvu&amp;-Token.homr=Industriell%20ekonomi" htmlTables="1" htmlFormat="all">
      <tables count="1">
        <x v="1"/>
      </tables>
    </webPr>
  </connection>
  <connection id="42" name="Anslutning135" type="4" refreshedVersion="5" background="1" saveData="1">
    <webPr xl2000="1" url="http://kdb-5.liu.se/liu/lith/studiehandboken/action.lasso?&amp;-response=lot_response_hu.lasso&amp;-op=eq&amp;kp_budget_year=2014-op=eq&amp;kp_programkod=I&amp;-op=ct&amp;kp_programprofil=kvu&amp;-Token.homr=Industriell%20ekonomi" htmlTables="1" htmlFormat="all">
      <tables count="1">
        <x v="1"/>
      </tables>
    </webPr>
  </connection>
  <connection id="43" name="Anslutning136" type="4" refreshedVersion="5" background="1" saveData="1">
    <webPr xl2000="1" url="http://kdb-5.liu.se/liu/lith/studiehandboken/action.lasso?&amp;-response=lot_response_hu.lasso&amp;-op=eq&amp;kp_budget_year=2009-op=eq&amp;kp_programkod=I&amp;-op=ct&amp;kp_programprofil=log&amp;-Token.homr=Industriell%20ekonomi" htmlTables="1" htmlFormat="all">
      <tables count="1">
        <x v="1"/>
      </tables>
    </webPr>
  </connection>
  <connection id="44" name="Anslutning137" type="4" refreshedVersion="5" background="1" saveData="1">
    <webPr xl2000="1" url="http://kdb-5.liu.se/liu/lith/studiehandboken/action.lasso?&amp;-response=lot_response_hu.lasso&amp;-op=eq&amp;kp_budget_year=2010-op=eq&amp;kp_programkod=I&amp;-op=ct&amp;kp_programprofil=log&amp;-Token.homr=Industriell%20ekonomi" htmlTables="1" htmlFormat="all">
      <tables count="1">
        <x v="1"/>
      </tables>
    </webPr>
  </connection>
  <connection id="45" name="Anslutning138" type="4" refreshedVersion="5" background="1" saveData="1">
    <webPr xl2000="1" url="http://kdb-5.liu.se/liu/lith/studiehandboken/action.lasso?&amp;-response=lot_response_hu.lasso&amp;-op=eq&amp;kp_budget_year=2011-op=eq&amp;kp_programkod=I&amp;-op=ct&amp;kp_programprofil=log&amp;-Token.homr=Industriell%20ekonomi" htmlTables="1" htmlFormat="all">
      <tables count="1">
        <x v="1"/>
      </tables>
    </webPr>
  </connection>
  <connection id="46" name="Anslutning139" type="4" refreshedVersion="5" background="1" saveData="1">
    <webPr xl2000="1" url="http://kdb-5.liu.se/liu/lith/studiehandboken/action.lasso?&amp;-response=lot_response_hu.lasso&amp;-op=eq&amp;kp_budget_year=2012-op=eq&amp;kp_programkod=I&amp;-op=ct&amp;kp_programprofil=log&amp;-Token.homr=Industriell%20ekonomi" htmlTables="1" htmlFormat="all">
      <tables count="1">
        <x v="1"/>
      </tables>
    </webPr>
  </connection>
  <connection id="47" name="Anslutning14" type="4" refreshedVersion="5" background="1" saveData="1">
    <webPr xl2000="1" url="http://kdb-5.liu.se/liu/lith/studiehandboken/action.lasso?&amp;-response=lot_response.lasso&amp;-op=eq&amp;kp_budget_year=2009-op=eq&amp;kp_programkod=I&amp;-op=ct&amp;kp_programprofil=bio" htmlTables="1" htmlFormat="all">
      <tables count="1">
        <x v="1"/>
      </tables>
    </webPr>
  </connection>
  <connection id="48" name="Anslutning140" type="4" refreshedVersion="5" background="1" saveData="1">
    <webPr xl2000="1" url="http://kdb-5.liu.se/liu/lith/studiehandboken/action.lasso?&amp;-response=lot_response_hu.lasso&amp;-op=eq&amp;kp_budget_year=2013-op=eq&amp;kp_programkod=I&amp;-op=ct&amp;kp_programprofil=log&amp;-Token.homr=Industriell%20ekonomi" htmlTables="1" htmlFormat="all">
      <tables count="1">
        <x v="1"/>
      </tables>
    </webPr>
  </connection>
  <connection id="49" name="Anslutning141" type="4" refreshedVersion="5" background="1" saveData="1">
    <webPr xl2000="1" url="http://kdb-5.liu.se/liu/lith/studiehandboken/action.lasso?&amp;-response=lot_response_hu.lasso&amp;-op=eq&amp;kp_budget_year=2014-op=eq&amp;kp_programkod=I&amp;-op=ct&amp;kp_programprofil=log&amp;-Token.homr=Industriell%20ekonomi" htmlTables="1" htmlFormat="all">
      <tables count="1">
        <x v="1"/>
      </tables>
    </webPr>
  </connection>
  <connection id="50" name="Anslutning142" type="4" refreshedVersion="5" background="1" saveData="1">
    <webPr xl2000="1" url="http://kdb-5.liu.se/liu/lith/studiehandboken/action.lasso?&amp;-response=lot_response_hu.lasso&amp;-op=eq&amp;kp_budget_year=2009-op=eq&amp;kp_programkod=I&amp;-op=ct&amp;kp_programprofil=pl&amp;-Token.homr=Industriell%20ekonomi" htmlTables="1" htmlFormat="all">
      <tables count="1">
        <x v="1"/>
      </tables>
    </webPr>
  </connection>
  <connection id="51" name="Anslutning143" type="4" refreshedVersion="5" background="1" saveData="1">
    <webPr xl2000="1" url="http://kdb-5.liu.se/liu/lith/studiehandboken/action.lasso?&amp;-response=lot_response_hu.lasso&amp;-op=eq&amp;kp_budget_year=2010-op=eq&amp;kp_programkod=I&amp;-op=ct&amp;kp_programprofil=pl&amp;-Token.homr=Industriell%20ekonomi" htmlTables="1" htmlFormat="all">
      <tables count="1">
        <x v="1"/>
      </tables>
    </webPr>
  </connection>
  <connection id="52" name="Anslutning144" type="4" refreshedVersion="5" background="1" saveData="1">
    <webPr xl2000="1" url="http://kdb-5.liu.se/liu/lith/studiehandboken/action.lasso?&amp;-response=lot_response_hu.lasso&amp;-op=eq&amp;kp_budget_year=2011-op=eq&amp;kp_programkod=I&amp;-op=ct&amp;kp_programprofil=pl&amp;-Token.homr=Industriell%20ekonomi" htmlTables="1" htmlFormat="all">
      <tables count="1">
        <x v="1"/>
      </tables>
    </webPr>
  </connection>
  <connection id="53" name="Anslutning145" type="4" refreshedVersion="5" background="1" saveData="1">
    <webPr xl2000="1" url="http://kdb-5.liu.se/liu/lith/studiehandboken/action.lasso?&amp;-response=lot_response_hu.lasso&amp;-op=eq&amp;kp_budget_year=2012-op=eq&amp;kp_programkod=I&amp;-op=ct&amp;kp_programprofil=pl&amp;-Token.homr=Industriell%20ekonomi" htmlTables="1" htmlFormat="all">
      <tables count="1">
        <x v="1"/>
      </tables>
    </webPr>
  </connection>
  <connection id="54" name="Anslutning146" type="4" refreshedVersion="5" background="1" saveData="1">
    <webPr xl2000="1" url="http://kdb-5.liu.se/liu/lith/studiehandboken/action.lasso?&amp;-response=lot_response_hu.lasso&amp;-op=eq&amp;kp_budget_year=2013-op=eq&amp;kp_programkod=I&amp;-op=ct&amp;kp_programprofil=pl&amp;-Token.homr=Industriell%20ekonomi" htmlTables="1" htmlFormat="all">
      <tables count="1">
        <x v="1"/>
      </tables>
    </webPr>
  </connection>
  <connection id="55" name="Anslutning147" type="4" refreshedVersion="5" background="1" saveData="1">
    <webPr xl2000="1" url="http://kdb-5.liu.se/liu/lith/studiehandboken/action.lasso?&amp;-response=lot_response_hu.lasso&amp;-op=eq&amp;kp_budget_year=2014-op=eq&amp;kp_programkod=I&amp;-op=ct&amp;kp_programprofil=pl&amp;-Token.homr=Industriell%20ekonomi" htmlTables="1" htmlFormat="all">
      <tables count="1">
        <x v="1"/>
      </tables>
    </webPr>
  </connection>
  <connection id="56" name="Anslutning148" type="4" refreshedVersion="5" background="1" saveData="1">
    <webPr xl2000="1" url="http://kdb-5.liu.se/liu/lith/studiehandboken/action.lasso?&amp;-response=lot_response_hu.lasso&amp;-op=eq&amp;kp_budget_year=2009-op=eq&amp;kp_programkod=I&amp;-op=ct&amp;kp_programprofil=pie&amp;-Token.homr=Industriell%20ekonomi" htmlTables="1" htmlFormat="all">
      <tables count="1">
        <x v="1"/>
      </tables>
    </webPr>
  </connection>
  <connection id="57" name="Anslutning149" type="4" refreshedVersion="5" background="1" saveData="1">
    <webPr xl2000="1" url="http://kdb-5.liu.se/liu/lith/studiehandboken/action.lasso?&amp;-response=lot_response_hu.lasso&amp;-op=eq&amp;kp_budget_year=2010-op=eq&amp;kp_programkod=I&amp;-op=ct&amp;kp_programprofil=pie&amp;-Token.homr=Industriell%20ekonomi" htmlTables="1" htmlFormat="all">
      <tables count="1">
        <x v="1"/>
      </tables>
    </webPr>
  </connection>
  <connection id="58" name="Anslutning15" type="4" refreshedVersion="5" background="1" saveData="1">
    <webPr xl2000="1" url="http://kdb-5.liu.se/liu/lith/studiehandboken/action.lasso?&amp;-response=lot_response.lasso&amp;-op=eq&amp;kp_budget_year=2010-op=eq&amp;kp_programkod=I&amp;-op=ct&amp;kp_programprofil=bio" htmlTables="1" htmlFormat="all">
      <tables count="1">
        <x v="1"/>
      </tables>
    </webPr>
  </connection>
  <connection id="59" name="Anslutning150" type="4" refreshedVersion="5" background="1" saveData="1">
    <webPr xl2000="1" url="http://kdb-5.liu.se/liu/lith/studiehandboken/action.lasso?&amp;-response=lot_response_hu.lasso&amp;-op=eq&amp;kp_budget_year=2011-op=eq&amp;kp_programkod=I&amp;-op=ct&amp;kp_programprofil=pie&amp;-Token.homr=Industriell%20ekonomi" htmlTables="1" htmlFormat="all">
      <tables count="1">
        <x v="1"/>
      </tables>
    </webPr>
  </connection>
  <connection id="60" name="Anslutning151" type="4" refreshedVersion="5" background="1" saveData="1">
    <webPr xl2000="1" url="http://kdb-5.liu.se/liu/lith/studiehandboken/action.lasso?&amp;-response=lot_response_hu.lasso&amp;-op=eq&amp;kp_budget_year=2012-op=eq&amp;kp_programkod=I&amp;-op=ct&amp;kp_programprofil=pie&amp;-Token.homr=Industriell%20ekonomi" htmlTables="1" htmlFormat="all">
      <tables count="1">
        <x v="1"/>
      </tables>
    </webPr>
  </connection>
  <connection id="61" name="Anslutning152" type="4" refreshedVersion="5" background="1" saveData="1">
    <webPr xl2000="1" url="http://kdb-5.liu.se/liu/lith/studiehandboken/action.lasso?&amp;-response=lot_response_hu.lasso&amp;-op=eq&amp;kp_budget_year=2013-op=eq&amp;kp_programkod=I&amp;-op=ct&amp;kp_programprofil=pie&amp;-Token.homr=Industriell%20ekonomi" htmlTables="1" htmlFormat="all">
      <tables count="1">
        <x v="1"/>
      </tables>
    </webPr>
  </connection>
  <connection id="62" name="Anslutning153" type="4" refreshedVersion="5" background="1" saveData="1">
    <webPr xl2000="1" url="http://kdb-5.liu.se/liu/lith/studiehandboken/action.lasso?&amp;-response=lot_response_hu.lasso&amp;-op=eq&amp;kp_budget_year=2014-op=eq&amp;kp_programkod=I&amp;-op=ct&amp;kp_programprofil=pie&amp;-Token.homr=Industriell%20ekonomi" htmlTables="1" htmlFormat="all">
      <tables count="1">
        <x v="1"/>
      </tables>
    </webPr>
  </connection>
  <connection id="63" name="Anslutning154" type="4" refreshedVersion="5" background="1" saveData="1">
    <webPr xl2000="1" url="http://kdb-5.liu.se/liu/lith/studiehandboken/action.lasso?&amp;-response=lot_response_hu.lasso&amp;-op=eq&amp;kp_budget_year=2009-op=eq&amp;kp_programkod=I&amp;-op=ct&amp;kp_programprofil=ss&amp;-Token.homr=Industriell%20ekonomi" htmlTables="1" htmlFormat="all">
      <tables count="1">
        <x v="1"/>
      </tables>
    </webPr>
  </connection>
  <connection id="64" name="Anslutning155" type="4" refreshedVersion="5" background="1" saveData="1">
    <webPr xl2000="1" url="http://kdb-5.liu.se/liu/lith/studiehandboken/action.lasso?&amp;-response=lot_response_hu.lasso&amp;-op=eq&amp;kp_budget_year=2010-op=eq&amp;kp_programkod=I&amp;-op=ct&amp;kp_programprofil=ss&amp;-Token.homr=Industriell%20ekonomi" htmlTables="1" htmlFormat="all">
      <tables count="1">
        <x v="1"/>
      </tables>
    </webPr>
  </connection>
  <connection id="65" name="Anslutning156" type="4" refreshedVersion="5" background="1" saveData="1">
    <webPr xl2000="1" url="http://kdb-5.liu.se/liu/lith/studiehandboken/action.lasso?&amp;-response=lot_response_hu.lasso&amp;-op=eq&amp;kp_budget_year=2011-op=eq&amp;kp_programkod=I&amp;-op=ct&amp;kp_programprofil=ss&amp;-Token.homr=Industriell%20ekonomi" htmlTables="1" htmlFormat="all">
      <tables count="1">
        <x v="1"/>
      </tables>
    </webPr>
  </connection>
  <connection id="66" name="Anslutning157" type="4" refreshedVersion="5" background="1" saveData="1">
    <webPr xl2000="1" url="http://kdb-5.liu.se/liu/lith/studiehandboken/action.lasso?&amp;-response=lot_response_hu.lasso&amp;-op=eq&amp;kp_budget_year=2012-op=eq&amp;kp_programkod=I&amp;-op=ct&amp;kp_programprofil=ss&amp;-Token.homr=Industriell%20ekonomi" htmlTables="1" htmlFormat="all">
      <tables count="1">
        <x v="1"/>
      </tables>
    </webPr>
  </connection>
  <connection id="67" name="Anslutning158" type="4" refreshedVersion="5" background="1" saveData="1">
    <webPr xl2000="1" url="http://kdb-5.liu.se/liu/lith/studiehandboken/action.lasso?&amp;-response=lot_response_hu.lasso&amp;-op=eq&amp;kp_budget_year=2013-op=eq&amp;kp_programkod=I&amp;-op=ct&amp;kp_programprofil=ss&amp;-Token.homr=Industriell%20ekonomi" htmlTables="1" htmlFormat="all">
      <tables count="1">
        <x v="1"/>
      </tables>
    </webPr>
  </connection>
  <connection id="68" name="Anslutning159" type="4" refreshedVersion="5" background="1" saveData="1">
    <webPr xl2000="1" url="http://kdb-5.liu.se/liu/lith/studiehandboken/action.lasso?&amp;-response=lot_response_hu.lasso&amp;-op=eq&amp;kp_budget_year=2014-op=eq&amp;kp_programkod=I&amp;-op=ct&amp;kp_programprofil=ss&amp;-Token.homr=Industriell%20ekonomi" htmlTables="1" htmlFormat="all">
      <tables count="1">
        <x v="1"/>
      </tables>
    </webPr>
  </connection>
  <connection id="69" name="Anslutning16" type="4" refreshedVersion="5" background="1" saveData="1">
    <webPr xl2000="1" url="http://kdb-5.liu.se/liu/lith/studiehandboken/action.lasso?&amp;-response=lot_response.lasso&amp;-op=eq&amp;kp_budget_year=2011-op=eq&amp;kp_programkod=I&amp;-op=ct&amp;kp_programprofil=bio" htmlTables="1" htmlFormat="all">
      <tables count="1">
        <x v="1"/>
      </tables>
    </webPr>
  </connection>
  <connection id="70" name="Anslutning160" type="4" refreshedVersion="5" background="1" saveData="1">
    <webPr xl2000="1" url="http://kdb-5.liu.se/liu/lith/studiehandboken/action.lasso?&amp;-response=lot_response.lasso&amp;-op=eq&amp;kp_budget_year=2009-op=eq&amp;kp_programkod=I&amp;-op=eq&amp;kp_programprofil=I&amp;-op=gt&amp;kp_termin=6" htmlTables="1" htmlFormat="all">
      <tables count="1">
        <x v="1"/>
      </tables>
    </webPr>
  </connection>
  <connection id="71" name="Anslutning161" type="4" refreshedVersion="5" background="1" saveData="1">
    <webPr xl2000="1" url="http://kdb-5.liu.se/liu/lith/studiehandboken/action.lasso?&amp;-response=lot_response.lasso&amp;-op=eq&amp;kp_budget_year=2010-op=eq&amp;kp_programkod=I&amp;-op=eq&amp;kp_programprofil=I&amp;-op=gt&amp;kp_termin=6" htmlTables="1" htmlFormat="all">
      <tables count="1">
        <x v="1"/>
      </tables>
    </webPr>
  </connection>
  <connection id="72" name="Anslutning162" type="4" refreshedVersion="5" background="1" saveData="1">
    <webPr xl2000="1" url="http://kdb-5.liu.se/liu/lith/studiehandboken/action.lasso?&amp;-response=lot_response.lasso&amp;-op=eq&amp;kp_budget_year=2011-op=eq&amp;kp_programkod=I&amp;-op=eq&amp;kp_programprofil=I&amp;-op=gt&amp;kp_termin=6" htmlTables="1" htmlFormat="all">
      <tables count="1">
        <x v="1"/>
      </tables>
    </webPr>
  </connection>
  <connection id="73" name="Anslutning163" type="4" refreshedVersion="5" background="1" saveData="1">
    <webPr xl2000="1" url="http://kdb-5.liu.se/liu/lith/studiehandboken/action.lasso?&amp;-response=lot_response.lasso&amp;-op=eq&amp;kp_budget_year=2012-op=eq&amp;kp_programkod=I&amp;-op=eq&amp;kp_programprofil=I&amp;-op=gt&amp;kp_termin=6" htmlTables="1" htmlFormat="all">
      <tables count="1">
        <x v="1"/>
      </tables>
    </webPr>
  </connection>
  <connection id="74" name="Anslutning164" type="4" refreshedVersion="5" background="1" saveData="1">
    <webPr xl2000="1" url="http://kdb-5.liu.se/liu/lith/studiehandboken/action.lasso?&amp;-response=lot_response.lasso&amp;-op=eq&amp;kp_budget_year=2013-op=eq&amp;kp_programkod=I&amp;-op=eq&amp;kp_programprofil=I&amp;-op=gt&amp;kp_termin=6" htmlTables="1" htmlFormat="all">
      <tables count="1">
        <x v="1"/>
      </tables>
    </webPr>
  </connection>
  <connection id="75" name="Anslutning165" type="4" refreshedVersion="5" background="1" saveData="1">
    <webPr xl2000="1" url="http://kdb-5.liu.se/liu/lith/studiehandboken/action.lasso?&amp;-response=lot_response.lasso&amp;-op=eq&amp;kp_budget_year=2014-op=eq&amp;kp_programkod=I&amp;-op=eq&amp;kp_programprofil=I&amp;-op=gt&amp;kp_termin=6" htmlTables="1" htmlFormat="all">
      <tables count="1">
        <x v="1"/>
      </tables>
    </webPr>
  </connection>
  <connection id="76" name="Anslutning166" type="4" refreshedVersion="5" background="1" saveData="1">
    <webPr xl2000="1" url="http://kdb-5.liu.se/liu/lith/studiehandboken/action.lasso?&amp;-response=lot_response.lasso&amp;-op=eq&amp;kp_budget_year=2009-op=eq&amp;kp_programkod=I&amp;-op=eq&amp;kp_programprofil=I&amp;-op=lt&amp;kp_termin=7" htmlTables="1" htmlFormat="all">
      <tables count="1">
        <x v="1"/>
      </tables>
    </webPr>
  </connection>
  <connection id="77" name="Anslutning167" type="4" refreshedVersion="5" background="1" saveData="1">
    <webPr xl2000="1" url="http://kdb-5.liu.se/liu/lith/studiehandboken/action.lasso?&amp;-response=lot_response.lasso&amp;-op=eq&amp;kp_budget_year=2010-op=eq&amp;kp_programkod=I&amp;-op=eq&amp;kp_programprofil=I&amp;-op=lt&amp;kp_termin=7" htmlTables="1" htmlFormat="all">
      <tables count="1">
        <x v="1"/>
      </tables>
    </webPr>
  </connection>
  <connection id="78" name="Anslutning168" type="4" refreshedVersion="5" background="1" saveData="1">
    <webPr xl2000="1" url="http://kdb-5.liu.se/liu/lith/studiehandboken/action.lasso?&amp;-response=lot_response.lasso&amp;-op=eq&amp;kp_budget_year=2011-op=eq&amp;kp_programkod=I&amp;-op=eq&amp;kp_programprofil=I&amp;-op=lt&amp;kp_termin=7" htmlTables="1" htmlFormat="all">
      <tables count="1">
        <x v="1"/>
      </tables>
    </webPr>
  </connection>
  <connection id="79" name="Anslutning169" type="4" refreshedVersion="5" background="1" saveData="1">
    <webPr xl2000="1" url="http://kdb-5.liu.se/liu/lith/studiehandboken/action.lasso?&amp;-response=lot_response.lasso&amp;-op=eq&amp;kp_budget_year=2012-op=eq&amp;kp_programkod=I&amp;-op=eq&amp;kp_programprofil=I&amp;-op=lt&amp;kp_termin=7" htmlTables="1" htmlFormat="all">
      <tables count="1">
        <x v="1"/>
      </tables>
    </webPr>
  </connection>
  <connection id="80" name="Anslutning17" type="4" refreshedVersion="5" background="1" saveData="1">
    <webPr xl2000="1" url="http://kdb-5.liu.se/liu/lith/studiehandboken/action.lasso?&amp;-response=lot_response.lasso&amp;-op=eq&amp;kp_budget_year=2012-op=eq&amp;kp_programkod=I&amp;-op=ct&amp;kp_programprofil=bio" htmlTables="1" htmlFormat="all">
      <tables count="1">
        <x v="1"/>
      </tables>
    </webPr>
  </connection>
  <connection id="81" name="Anslutning170" type="4" refreshedVersion="5" background="1" saveData="1">
    <webPr xl2000="1" url="http://kdb-5.liu.se/liu/lith/studiehandboken/action.lasso?&amp;-response=lot_response.lasso&amp;-op=eq&amp;kp_budget_year=2013-op=eq&amp;kp_programkod=I&amp;-op=eq&amp;kp_programprofil=I&amp;-op=lt&amp;kp_termin=7" htmlTables="1" htmlFormat="all">
      <tables count="1">
        <x v="1"/>
      </tables>
    </webPr>
  </connection>
  <connection id="82" name="Anslutning171" type="4" refreshedVersion="5" background="1" saveData="1">
    <webPr xl2000="1" url="http://kdb-5.liu.se/liu/lith/studiehandboken/action.lasso?&amp;-response=lot_response.lasso&amp;-op=eq&amp;kp_budget_year=2014-op=eq&amp;kp_programkod=I&amp;-op=eq&amp;kp_programprofil=I&amp;-op=lt&amp;kp_termin=7" htmlTables="1" htmlFormat="all">
      <tables count="1">
        <x v="1"/>
      </tables>
    </webPr>
  </connection>
  <connection id="83" name="Anslutning18" type="4" refreshedVersion="5" background="1" saveData="1">
    <webPr xl2000="1" url="http://kdb-5.liu.se/liu/lith/studiehandboken/action.lasso?&amp;-response=lot_response.lasso&amp;-op=eq&amp;kp_budget_year=2013-op=eq&amp;kp_programkod=I&amp;-op=ct&amp;kp_programprofil=bio" htmlTables="1" htmlFormat="all">
      <tables count="1">
        <x v="1"/>
      </tables>
    </webPr>
  </connection>
  <connection id="84" name="Anslutning19" type="4" refreshedVersion="5" background="1" saveData="1">
    <webPr xl2000="1" url="http://kdb-5.liu.se/liu/lith/studiehandboken/action.lasso?&amp;-response=lot_response.lasso&amp;-op=eq&amp;kp_budget_year=2014-op=eq&amp;kp_programkod=I&amp;-op=ct&amp;kp_programprofil=bio" htmlTables="1" htmlFormat="all">
      <tables count="1">
        <x v="1"/>
      </tables>
    </webPr>
  </connection>
  <connection id="85" name="Anslutning2" type="4" refreshedVersion="5" background="1" saveData="1">
    <webPr xl2000="1" url="http://kdb-5.liu.se/liu/lith/studiehandboken/action.lasso?&amp;-response=lot_response.lasso&amp;-op=eq&amp;kp_budget_year=2009-op=eq&amp;kp_programkod=I&amp;-op=ct&amp;kp_programprofil=maskin" htmlTables="1" htmlFormat="all">
      <tables count="1">
        <x v="1"/>
      </tables>
    </webPr>
  </connection>
  <connection id="86" name="Anslutning20" type="4" refreshedVersion="5" background="1" saveData="1">
    <webPr xl2000="1" url="http://kdb-5.liu.se/liu/lith/studiehandboken/action.lasso?&amp;-response=lot_response.lasso&amp;-op=eq&amp;kp_budget_year=2009-op=eq&amp;kp_programkod=I&amp;-op=ct&amp;kp_programprofil=bio" htmlTables="1" htmlFormat="all">
      <tables count="1">
        <x v="1"/>
      </tables>
    </webPr>
  </connection>
  <connection id="87" name="Anslutning21" type="4" refreshedVersion="5" background="1" saveData="1">
    <webPr xl2000="1" url="http://kdb-5.liu.se/liu/lith/studiehandboken/action.lasso?&amp;-response=lot_response.lasso&amp;-op=eq&amp;kp_budget_year=2010-op=eq&amp;kp_programkod=I&amp;-op=ct&amp;kp_programprofil=bio" htmlTables="1" htmlFormat="all">
      <tables count="1">
        <x v="1"/>
      </tables>
    </webPr>
  </connection>
  <connection id="88" name="Anslutning22" type="4" refreshedVersion="5" background="1" saveData="1">
    <webPr xl2000="1" url="http://kdb-5.liu.se/liu/lith/studiehandboken/action.lasso?&amp;-response=lot_response.lasso&amp;-op=eq&amp;kp_budget_year=2011-op=eq&amp;kp_programkod=I&amp;-op=ct&amp;kp_programprofil=bio" htmlTables="1" htmlFormat="all">
      <tables count="1">
        <x v="1"/>
      </tables>
    </webPr>
  </connection>
  <connection id="89" name="Anslutning23" type="4" refreshedVersion="5" background="1" saveData="1">
    <webPr xl2000="1" url="http://kdb-5.liu.se/liu/lith/studiehandboken/action.lasso?&amp;-response=lot_response.lasso&amp;-op=eq&amp;kp_budget_year=2012-op=eq&amp;kp_programkod=I&amp;-op=ct&amp;kp_programprofil=bio" htmlTables="1" htmlFormat="all">
      <tables count="1">
        <x v="1"/>
      </tables>
    </webPr>
  </connection>
  <connection id="90" name="Anslutning24" type="4" refreshedVersion="5" background="1" saveData="1">
    <webPr xl2000="1" url="http://kdb-5.liu.se/liu/lith/studiehandboken/action.lasso?&amp;-response=lot_response.lasso&amp;-op=eq&amp;kp_budget_year=2013-op=eq&amp;kp_programkod=I&amp;-op=ct&amp;kp_programprofil=bio" htmlTables="1" htmlFormat="all">
      <tables count="1">
        <x v="1"/>
      </tables>
    </webPr>
  </connection>
  <connection id="91" name="Anslutning25" type="4" refreshedVersion="5" background="1" saveData="1">
    <webPr xl2000="1" url="http://kdb-5.liu.se/liu/lith/studiehandboken/action.lasso?&amp;-response=lot_response.lasso&amp;-op=eq&amp;kp_budget_year=2014-op=eq&amp;kp_programkod=I&amp;-op=ct&amp;kp_programprofil=bio" htmlTables="1" htmlFormat="all">
      <tables count="1">
        <x v="1"/>
      </tables>
    </webPr>
  </connection>
  <connection id="92" name="Anslutning26" type="4" refreshedVersion="5" background="1" saveData="1">
    <webPr xl2000="1" url="http://kdb-5.liu.se/liu/lith/studiehandboken/action.lasso?&amp;-response=lot_response.lasso&amp;-op=eq&amp;kp_budget_year=2009-op=eq&amp;kp_programkod=I&amp;-op=ct&amp;kp_programprofil=bio" htmlTables="1" htmlFormat="all">
      <tables count="1">
        <x v="1"/>
      </tables>
    </webPr>
  </connection>
  <connection id="93" name="Anslutning27"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94" name="Anslutning28"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95" name="Anslutning29"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96" name="Anslutning3" type="4" refreshedVersion="5" background="1" saveData="1">
    <webPr xl2000="1" url="http://kdb-5.liu.se/liu/lith/studiehandboken/action.lasso?&amp;-response=lot_response.lasso&amp;-op=eq&amp;kp_budget_year=2010-op=eq&amp;kp_programkod=I&amp;-op=ct&amp;kp_programprofil=maskin" htmlTables="1" htmlFormat="all">
      <tables count="1">
        <x v="1"/>
      </tables>
    </webPr>
  </connection>
  <connection id="97" name="Anslutning30"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98" name="Anslutning31"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99" name="Anslutning32"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100" name="Anslutning33"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101" name="Anslutning34" type="4" refreshedVersion="5" background="1" saveData="1">
    <webPr xl2000="1" url="http://kdb-5.liu.se/liu/lith/studiehandboken/action.lasso?&amp;-response=lot_response.lasso&amp;-op=eq&amp;kp_budget_year=2013&amp;-op=eq&amp;kp_programkod=I&amp;-op=ct&amp;kp_programprofil=data" htmlTables="1" htmlFormat="all">
      <tables count="1">
        <x v="1"/>
      </tables>
    </webPr>
  </connection>
  <connection id="102" name="Anslutning35" type="4" refreshedVersion="5" background="1" saveData="1">
    <webPr xl2000="1" url="http://kdb-5.liu.se/liu/lith/studiehandboken/action.lasso?&amp;-response=lot_response.lasso&amp;-op=eq&amp;kp_budget_year=2010-op=eq&amp;kp_programkod=I&amp;-op=ct&amp;kp_programprofil=bio" htmlTables="1" htmlFormat="all">
      <tables count="1">
        <x v="1"/>
      </tables>
    </webPr>
  </connection>
  <connection id="103" name="Anslutning36" type="4" refreshedVersion="5" background="1" saveData="1">
    <webPr xl2000="1" url="http://kdb-5.liu.se/liu/lith/studiehandboken/action.lasso?&amp;-response=lot_response.lasso&amp;-op=eq&amp;kp_budget_year=2011-op=eq&amp;kp_programkod=I&amp;-op=ct&amp;kp_programprofil=bio" htmlTables="1" htmlFormat="all">
      <tables count="1">
        <x v="1"/>
      </tables>
    </webPr>
  </connection>
  <connection id="104" name="Anslutning37" type="4" refreshedVersion="5" background="1" saveData="1">
    <webPr xl2000="1" url="http://kdb-5.liu.se/liu/lith/studiehandboken/action.lasso?&amp;-response=lot_response.lasso&amp;-op=eq&amp;kp_budget_year=2012-op=eq&amp;kp_programkod=I&amp;-op=ct&amp;kp_programprofil=bio" htmlTables="1" htmlFormat="all">
      <tables count="1">
        <x v="1"/>
      </tables>
    </webPr>
  </connection>
  <connection id="105" name="Anslutning38" type="4" refreshedVersion="5" background="1" saveData="1">
    <webPr xl2000="1" url="http://kdb-5.liu.se/liu/lith/studiehandboken/action.lasso?&amp;-response=lot_response.lasso&amp;-op=eq&amp;kp_budget_year=2013-op=eq&amp;kp_programkod=I&amp;-op=ct&amp;kp_programprofil=bio" htmlTables="1" htmlFormat="all">
      <tables count="1">
        <x v="1"/>
      </tables>
    </webPr>
  </connection>
  <connection id="106" name="Anslutning39" type="4" refreshedVersion="5" background="1" saveData="1">
    <webPr xl2000="1" url="http://kdb-5.liu.se/liu/lith/studiehandboken/action.lasso?&amp;-response=lot_response.lasso&amp;-op=eq&amp;kp_budget_year=2014-op=eq&amp;kp_programkod=I&amp;-op=ct&amp;kp_programprofil=bio" htmlTables="1" htmlFormat="all">
      <tables count="1">
        <x v="1"/>
      </tables>
    </webPr>
  </connection>
  <connection id="107" name="Anslutning4" type="4" refreshedVersion="5" background="1" saveData="1">
    <webPr xl2000="1" url="http://kdb-5.liu.se/liu/lith/studiehandboken/action.lasso?&amp;-response=lot_response.lasso&amp;-op=eq&amp;kp_budget_year=2011-op=eq&amp;kp_programkod=I&amp;-op=ct&amp;kp_programprofil=maskin" htmlTables="1" htmlFormat="all">
      <tables count="1">
        <x v="1"/>
      </tables>
    </webPr>
  </connection>
  <connection id="108" name="Anslutning40" type="4" refreshedVersion="5" background="1" saveData="1">
    <webPr xl2000="1" url="http://kdb-5.liu.se/liu/lith/studiehandboken/action.lasso?&amp;-response=lot_response.lasso&amp;-op=eq&amp;kp_budget_year=2013&amp;-op=eq2009oken/action.lasso?&amp;-response=lot_response.lasso&amp;-op=eq&amp;kp_budget_year=2013&amp;-op=eq&amp;kp_programkod=I&amp;-op=ct&amp;kp_programprofil=data" htmlTables="1" htmlFormat="all">
      <tables count="1">
        <x v="1"/>
      </tables>
    </webPr>
  </connection>
  <connection id="109" name="Anslutning41" type="4" refreshedVersion="5" background="1" saveData="1">
    <webPr xl2000="1" url="http://kdb-5.liu.se/liu/lith/studiehandboken/action.lasso?&amp;-response=lot_response.lasso&amp;-op=eq&amp;kp_budget_year=2013&amp;-op=eq2010oken/action.lasso?&amp;-response=lot_response.lasso&amp;-op=eq&amp;kp_budget_year=2013&amp;-op=eq&amp;kp_programkod=I&amp;-op=ct&amp;kp_programprofil=data" htmlTables="1" htmlFormat="all">
      <tables count="1">
        <x v="1"/>
      </tables>
    </webPr>
  </connection>
  <connection id="110" name="Anslutning42" type="4" refreshedVersion="5" background="1" saveData="1">
    <webPr xl2000="1" url="http://kdb-5.liu.se/liu/lith/studiehandboken/action.lasso?&amp;-response=lot_response.lasso&amp;-op=eq&amp;kp_budget_year=2013&amp;-op=eq2011oken/action.lasso?&amp;-response=lot_response.lasso&amp;-op=eq&amp;kp_budget_year=2013&amp;-op=eq&amp;kp_programkod=I&amp;-op=ct&amp;kp_programprofil=data" htmlTables="1" htmlFormat="all">
      <tables count="1">
        <x v="1"/>
      </tables>
    </webPr>
  </connection>
  <connection id="111" name="Anslutning43" type="4" refreshedVersion="5" background="1" saveData="1">
    <webPr xl2000="1" url="http://kdb-5.liu.se/liu/lith/studiehandboken/action.lasso?&amp;-response=lot_response.lasso&amp;-op=eq&amp;kp_budget_year=2013&amp;-op=eq2012oken/action.lasso?&amp;-response=lot_response.lasso&amp;-op=eq&amp;kp_budget_year=2013&amp;-op=eq&amp;kp_programkod=I&amp;-op=ct&amp;kp_programprofil=data" htmlTables="1" htmlFormat="all">
      <tables count="1">
        <x v="1"/>
      </tables>
    </webPr>
  </connection>
  <connection id="112" name="Anslutning44" type="4" refreshedVersion="5" background="1" saveData="1">
    <webPr xl2000="1" url="http://kdb-5.liu.se/liu/lith/studiehandboken/action.lasso?&amp;-response=lot_response.lasso&amp;-op=eq&amp;kp_budget_year=2013&amp;-op=eq2013oken/action.lasso?&amp;-response=lot_response.lasso&amp;-op=eq&amp;kp_budget_year=2013&amp;-op=eq&amp;kp_programkod=I&amp;-op=ct&amp;kp_programprofil=data" htmlTables="1" htmlFormat="all">
      <tables count="1">
        <x v="1"/>
      </tables>
    </webPr>
  </connection>
  <connection id="113" name="Anslutning45" type="4" refreshedVersion="5" background="1" saveData="1">
    <webPr xl2000="1" url="http://kdb-5.liu.se/liu/lith/studiehandboken/action.lasso?&amp;-response=lot_response.lasso&amp;-op=eq&amp;kp_budget_year=2013&amp;-op=eq2014oken/action.lasso?&amp;-response=lot_response.lasso&amp;-op=eq&amp;kp_budget_year=2013&amp;-op=eq&amp;kp_programkod=I&amp;-op=ct&amp;kp_programprofil=data" htmlTables="1" htmlFormat="all">
      <tables count="1">
        <x v="1"/>
      </tables>
    </webPr>
  </connection>
  <connection id="114" name="Anslutning46" type="4" refreshedVersion="5" background="1" saveData="1">
    <webPr xl2000="1" url="http://kdb-5.liu.se/liu/lith/studiehandboken/action.lasso?&amp;-response=lot_response.lasso&amp;-op=eq&amp;kp_budget_year=2013&amp;-op=eq&amp;2009boken/action.lasso?&amp;-response=lot_response.lasso&amp;-op=eq&amp;kp_budget_year=2013&amp;-op=eq&amp;kp_programkod=I&amp;-op=ct&amp;kp_programprofil=data" htmlTables="1" htmlFormat="all">
      <tables count="1">
        <x v="1"/>
      </tables>
    </webPr>
  </connection>
  <connection id="115" name="Anslutning47" type="4" refreshedVersion="5" background="1" saveData="1">
    <webPr xl2000="1" url="http://kdb-5.liu.se/liu/lith/studiehandboken/action.lasso?&amp;-response=lot_response.lasso&amp;-op=eq&amp;kp_budget_year=2013&amp;-op=eq&amp;2010boken/action.lasso?&amp;-response=lot_response.lasso&amp;-op=eq&amp;kp_budget_year=2013&amp;-op=eq&amp;kp_programkod=I&amp;-op=ct&amp;kp_programprofil=data" htmlTables="1" htmlFormat="all">
      <tables count="1">
        <x v="1"/>
      </tables>
    </webPr>
  </connection>
  <connection id="116" name="Anslutning48" type="4" refreshedVersion="5" background="1" saveData="1">
    <webPr xl2000="1" url="http://kdb-5.liu.se/liu/lith/studiehandboken/action.lasso?&amp;-response=lot_response.lasso&amp;-op=eq&amp;kp_budget_year=2013&amp;-op=eq&amp;2011boken/action.lasso?&amp;-response=lot_response.lasso&amp;-op=eq&amp;kp_budget_year=2013&amp;-op=eq&amp;kp_programkod=I&amp;-op=ct&amp;kp_programprofil=data" htmlTables="1" htmlFormat="all">
      <tables count="1">
        <x v="1"/>
      </tables>
    </webPr>
  </connection>
  <connection id="117" name="Anslutning49" type="4" refreshedVersion="5" background="1" saveData="1">
    <webPr xl2000="1" url="http://kdb-5.liu.se/liu/lith/studiehandboken/action.lasso?&amp;-response=lot_response.lasso&amp;-op=eq&amp;kp_budget_year=2013&amp;-op=eq&amp;2012boken/action.lasso?&amp;-response=lot_response.lasso&amp;-op=eq&amp;kp_budget_year=2013&amp;-op=eq&amp;kp_programkod=I&amp;-op=ct&amp;kp_programprofil=data" htmlTables="1" htmlFormat="all">
      <tables count="1">
        <x v="1"/>
      </tables>
    </webPr>
  </connection>
  <connection id="118" name="Anslutning5" type="4" refreshedVersion="5" background="1" saveData="1">
    <webPr xl2000="1" url="http://kdb-5.liu.se/liu/lith/studiehandboken/action.lasso?&amp;-response=lot_response.lasso&amp;-op=eq&amp;kp_budget_year=2012-op=eq&amp;kp_programkod=I&amp;-op=ct&amp;kp_programprofil=maskin" htmlTables="1" htmlFormat="all">
      <tables count="1">
        <x v="1"/>
      </tables>
    </webPr>
  </connection>
  <connection id="119" name="Anslutning50" type="4" refreshedVersion="5" background="1" saveData="1">
    <webPr xl2000="1" url="http://kdb-5.liu.se/liu/lith/studiehandboken/action.lasso?&amp;-response=lot_response.lasso&amp;-op=eq&amp;kp_budget_year=2013&amp;-op=eq&amp;2013boken/action.lasso?&amp;-response=lot_response.lasso&amp;-op=eq&amp;kp_budget_year=2013&amp;-op=eq&amp;kp_programkod=I&amp;-op=ct&amp;kp_programprofil=data" htmlTables="1" htmlFormat="all">
      <tables count="1">
        <x v="1"/>
      </tables>
    </webPr>
  </connection>
  <connection id="120" name="Anslutning51" type="4" refreshedVersion="5" background="1" saveData="1">
    <webPr xl2000="1" url="http://kdb-5.liu.se/liu/lith/studiehandboken/action.lasso?&amp;-response=lot_response.lasso&amp;-op=eq&amp;kp_budget_year=2013&amp;-op=eq&amp;2014boken/action.lasso?&amp;-response=lot_response.lasso&amp;-op=eq&amp;kp_budget_year=2013&amp;-op=eq&amp;kp_programkod=I&amp;-op=ct&amp;kp_programprofil=data" htmlTables="1" htmlFormat="all">
      <tables count="1">
        <x v="1"/>
      </tables>
    </webPr>
  </connection>
  <connection id="121" name="Anslutning52" type="4" refreshedVersion="5" background="1" saveData="1">
    <webPr xl2000="1" url="http://kdb-5.liu.se/liu/lith/studiehandboken/action.lasso?&amp;-response=lot_response.lasso&amp;-op=eq&amp;kp_budget_year=2013&amp;-op=eq&amp;2009ar=2013&amp;-op=eq&amp;kp_programkod=I&amp;-op=ct&amp;kp_programprofil=data" htmlTables="1" htmlFormat="all">
      <tables count="1">
        <x v="1"/>
      </tables>
    </webPr>
  </connection>
  <connection id="122" name="Anslutning53" type="4" refreshedVersion="5" background="1" saveData="1">
    <webPr xl2000="1" url="http://kdb-5.liu.se/liu/lith/studiehandboken/action.lasso?&amp;-response=lot_response.lasso&amp;-op=eq&amp;kp_budget_year=2013&amp;-op=eq&amp;2010ar=2013&amp;-op=eq&amp;2009ar=2013&amp;-op=eq&amp;kp_programkod=I&amp;-op=ct&amp;kp_programprofil=data" htmlTables="1" htmlFormat="all">
      <tables count="1">
        <x v="1"/>
      </tables>
    </webPr>
  </connection>
  <connection id="123" name="Anslutning54" type="4" refreshedVersion="5" background="1" saveData="1">
    <webPr xl2000="1" url="http://kdb-5.liu.se/liu/lith/studiehandboken/action.lasso?&amp;-response=lot_response.lasso&amp;-op=eq&amp;kp_budget_year=2013&amp;-op=eq&amp;2011ar=2013&amp;-op=eq&amp;2010ar=2013&amp;-op=eq&amp;2009ar=2013&amp;-op=eq&amp;kp_programkod=I&amp;-op=ct&amp;kp_programprofil=data" htmlTables="1" htmlFormat="all">
      <tables count="1">
        <x v="1"/>
      </tables>
    </webPr>
  </connection>
  <connection id="124" name="Anslutning55" type="4" refreshedVersion="5" background="1" saveData="1">
    <webPr xl2000="1" url="http://kdb-5.liu.se/liu/lith/studiehandboken/action.lasso?&amp;-response=lot_response.lasso&amp;-op=eq&amp;kp_budget_year=2013&amp;-op=eq&amp;2012ar=2013&amp;-op=eq&amp;2011ar=2013&amp;-op=eq&amp;2010ar=2013&amp;-op=eq&amp;2009ar=2013&amp;-op=eq&amp;kp_programkod=I&amp;-op=ct&amp;kp_programprofil=data" htmlTables="1" htmlFormat="all">
      <tables count="1">
        <x v="1"/>
      </tables>
    </webPr>
  </connection>
  <connection id="125" name="Anslutning56" type="4" refreshedVersion="5" background="1" saveData="1">
    <webPr xl2000="1" url="http://kdb-5.liu.se/liu/lith/studiehandboken/action.lasso?&amp;-response=lot_response.lasso&amp;-op=eq&amp;kp_budget_year=2013&amp;-op=eq&amp;2013ar=2013&amp;-op=eq&amp;2012ar=2013&amp;-op=eq&amp;2011ar=2013&amp;-op=eq&amp;2010ar=2013&amp;-op=eq&amp;2009ar=2013&amp;-op=eq&amp;kp_programkod=I&amp;-op=ct&amp;kp_programprofil=data" htmlTables="1" htmlFormat="all">
      <tables count="1">
        <x v="1"/>
      </tables>
    </webPr>
  </connection>
  <connection id="126" name="Anslutning57" type="4" refreshedVersion="5" background="1" saveData="1">
    <webPr xl2000="1" url="http://kdb-5.liu.se/liu/lith/studiehandboken/action.lasso?&amp;-response=lot_response.lasso&amp;-op=eq&amp;kp_budget_year=2013&amp;-op=eq&amp;2014ar=2013&amp;-op=eq&amp;2013ar=2013&amp;-op=eq&amp;2012ar=2013&amp;-op=eq&amp;2011ar=2013&amp;-op=eq&amp;2010ar=2013&amp;-op=eq&amp;2009ar=2013&amp;-op=eq&amp;kp_programkod=I&amp;-op=ct&amp;kp_programprofil=data" htmlTables="1" htmlFormat="all">
      <tables count="1">
        <x v="1"/>
      </tables>
    </webPr>
  </connection>
  <connection id="127" name="Anslutning58" type="4" refreshedVersion="5" background="1" saveData="1">
    <webPr xl2000="1" url="http://kdb-5.liu.se/liu/lith/studiehandboken/action.lasso?&amp;-response=lot_response.lasso&amp;-op=eq&amp;kp_budget_year=22009ar=2013&amp;-op=eq&amp;kp_programkod=I&amp;-op=ct&amp;kp_programprofil=data" htmlTables="1" htmlFormat="all">
      <tables count="1">
        <x v="1"/>
      </tables>
    </webPr>
  </connection>
  <connection id="128" name="Anslutning59" type="4" refreshedVersion="5" background="1" saveData="1">
    <webPr xl2000="1" url="http://kdb-5.liu.se/liu/lith/studiehandboken/action.lasso?&amp;-response=lot_response.lasso&amp;-op=eq&amp;kp_budget_year=22010ar=22009ar=2013&amp;-op=eq&amp;kp_programkod=I&amp;-op=ct&amp;kp_programprofil=data" htmlTables="1" htmlFormat="all">
      <tables count="1">
        <x v="1"/>
      </tables>
    </webPr>
  </connection>
  <connection id="129" name="Anslutning6" type="4" refreshedVersion="5" background="1" saveData="1">
    <webPr xl2000="1" url="http://kdb-5.liu.se/liu/lith/studiehandboken/action.lasso?&amp;-response=lot_response.lasso&amp;-op=eq&amp;kp_budget_year=2013-op=eq&amp;kp_programkod=I&amp;-op=ct&amp;kp_programprofil=maskin" htmlTables="1" htmlFormat="all">
      <tables count="1">
        <x v="1"/>
      </tables>
    </webPr>
  </connection>
  <connection id="130" name="Anslutning60" type="4" refreshedVersion="5" background="1" saveData="1">
    <webPr xl2000="1" url="http://kdb-5.liu.se/liu/lith/studiehandboken/action.lasso?&amp;-response=lot_response.lasso&amp;-op=eq&amp;kp_budget_year=22011ar=22010ar=22009ar=2013&amp;-op=eq&amp;kp_programkod=I&amp;-op=ct&amp;kp_programprofil=data" htmlTables="1" htmlFormat="all">
      <tables count="1">
        <x v="1"/>
      </tables>
    </webPr>
  </connection>
  <connection id="131" name="Anslutning61" type="4" refreshedVersion="5" background="1" saveData="1">
    <webPr xl2000="1" url="http://kdb-5.liu.se/liu/lith/studiehandboken/action.lasso?&amp;-response=lot_response.lasso&amp;-op=eq&amp;kp_budget_year=22012ar=22011ar=22010ar=22009ar=2013&amp;-op=eq&amp;kp_programkod=I&amp;-op=ct&amp;kp_programprofil=data" htmlTables="1" htmlFormat="all">
      <tables count="1">
        <x v="1"/>
      </tables>
    </webPr>
  </connection>
  <connection id="132" name="Anslutning62" type="4" refreshedVersion="5" background="1" saveData="1">
    <webPr xl2000="1" url="http://kdb-5.liu.se/liu/lith/studiehandboken/action.lasso?&amp;-response=lot_response.lasso&amp;-op=eq&amp;kp_budget_year=22013ar=22012ar=22011ar=22010ar=22009ar=2013&amp;-op=eq&amp;kp_programkod=I&amp;-op=ct&amp;kp_programprofil=data" htmlTables="1" htmlFormat="all">
      <tables count="1">
        <x v="1"/>
      </tables>
    </webPr>
  </connection>
  <connection id="133" name="Anslutning63" type="4" refreshedVersion="5" background="1" saveData="1">
    <webPr xl2000="1" url="http://kdb-5.liu.se/liu/lith/studiehandboken/action.lasso?&amp;-response=lot_response.lasso&amp;-op=eq&amp;kp_budget_year=22014ar=22013ar=22012ar=22011ar=22010ar=22009ar=2013&amp;-op=eq&amp;kp_programkod=I&amp;-op=ct&amp;kp_programprofil=data" htmlTables="1" htmlFormat="all">
      <tables count="1">
        <x v="1"/>
      </tables>
    </webPr>
  </connection>
  <connection id="134" name="Anslutning64" type="4" refreshedVersion="5" background="1" saveData="1">
    <webPr xl2000="1" url="http://kdb-5.liu.se/liu/lith/studiehandboken/action.lasso?&amp;-response=lot_response.lasso&amp;-op=eq&amp;kp_budget_year=2009ar=2013&amp;-op=eq&amp;kp_programkod=I&amp;-op=ct&amp;kp_programprofil=data" htmlTables="1" htmlFormat="all">
      <tables count="1">
        <x v="1"/>
      </tables>
    </webPr>
  </connection>
  <connection id="135" name="Anslutning65" type="4" refreshedVersion="5" background="1" saveData="1">
    <webPr xl2000="1" url="http://kdb-5.liu.se/liu/lith/studiehandboken/action.lasso?&amp;-response=lot_response.lasso&amp;-op=eq&amp;kp_budget_year=2010ar=2009ar=2013&amp;-op=eq&amp;kp_programkod=I&amp;-op=ct&amp;kp_programprofil=data" htmlTables="1" htmlFormat="all">
      <tables count="1">
        <x v="1"/>
      </tables>
    </webPr>
  </connection>
  <connection id="136" name="Anslutning66" type="4" refreshedVersion="5" background="1" saveData="1">
    <webPr xl2000="1" url="http://kdb-5.liu.se/liu/lith/studiehandboken/action.lasso?&amp;-response=lot_response.lasso&amp;-op=eq&amp;kp_budget_year=2011ar=2010ar=2009ar=2013&amp;-op=eq&amp;kp_programkod=I&amp;-op=ct&amp;kp_programprofil=data" htmlTables="1" htmlFormat="all">
      <tables count="1">
        <x v="1"/>
      </tables>
    </webPr>
  </connection>
  <connection id="137" name="Anslutning67" type="4" refreshedVersion="5" background="1" saveData="1">
    <webPr xl2000="1" url="http://kdb-5.liu.se/liu/lith/studiehandboken/action.lasso?&amp;-response=lot_response.lasso&amp;-op=eq&amp;kp_budget_year=2012ar=2011ar=2010ar=2009ar=2013&amp;-op=eq&amp;kp_programkod=I&amp;-op=ct&amp;kp_programprofil=data" htmlTables="1" htmlFormat="all">
      <tables count="1">
        <x v="1"/>
      </tables>
    </webPr>
  </connection>
  <connection id="138" name="Anslutning68" type="4" refreshedVersion="5" background="1" saveData="1">
    <webPr xl2000="1" url="http://kdb-5.liu.se/liu/lith/studiehandboken/action.lasso?&amp;-response=lot_response.lasso&amp;-op=eq&amp;kp_budget_year=2013ar=2012ar=2011ar=2010ar=2009ar=2013&amp;-op=eq&amp;kp_programkod=I&amp;-op=ct&amp;kp_programprofil=data" htmlTables="1" htmlFormat="all">
      <tables count="1">
        <x v="1"/>
      </tables>
    </webPr>
  </connection>
  <connection id="139" name="Anslutning69" type="4" refreshedVersion="5" background="1" saveData="1">
    <webPr xl2000="1" url="http://kdb-5.liu.se/liu/lith/studiehandboken/action.lasso?&amp;-response=lot_response.lasso&amp;-op=eq&amp;kp_budget_year=2014ar=2013ar=2012ar=2011ar=2010ar=2009ar=2013&amp;-op=eq&amp;kp_programkod=I&amp;-op=ct&amp;kp_programprofil=data" htmlTables="1" htmlFormat="all">
      <tables count="1">
        <x v="1"/>
      </tables>
    </webPr>
  </connection>
  <connection id="140" name="Anslutning7" type="4" refreshedVersion="5" background="1" saveData="1">
    <webPr xl2000="1" url="http://kdb-5.liu.se/liu/lith/studiehandboken/action.lasso?&amp;-response=lot_response.lasso&amp;-op=eq&amp;kp_budget_year=2014-op=eq&amp;kp_programkod=I&amp;-op=ct&amp;kp_programprofil=maskin" htmlTables="1" htmlFormat="all">
      <tables count="1">
        <x v="1"/>
      </tables>
    </webPr>
  </connection>
  <connection id="141" name="Anslutning70" type="4" refreshedVersion="5" background="1" saveData="1">
    <webPr xl2000="1" url="http://kdb-5.liu.se/liu/lith/studiehandboken/action.lasso?&amp;-response=lot_response.lasso&amp;-op=eq&amp;kp_budget_year=2009ar=2013&amp;-op=eq&amp;kp_programkod=I&amp;-op=ct&amp;kp_programprofil=data" htmlTables="1" htmlFormat="all">
      <tables count="1">
        <x v="1"/>
      </tables>
    </webPr>
  </connection>
  <connection id="142" name="Anslutning71" type="4" refreshedVersion="5" background="1" saveData="1">
    <webPr xl2000="1" url="http://kdb-5.liu.se/liu/lith/studiehandboken/action.lasso?&amp;-response=lot_response.lasso&amp;-op=eq&amp;kp_budget_year=2010ar=2013&amp;-op=eq&amp;kp_programkod=I&amp;-op=ct&amp;kp_programprofil=data" htmlTables="1" htmlFormat="all">
      <tables count="1">
        <x v="1"/>
      </tables>
    </webPr>
  </connection>
  <connection id="143" name="Anslutning72" type="4" refreshedVersion="5" background="1" saveData="1">
    <webPr xl2000="1" url="http://kdb-5.liu.se/liu/lith/studiehandboken/action.lasso?&amp;-response=lot_response.lasso&amp;-op=eq&amp;kp_budget_year=2011ar=2013&amp;-op=eq&amp;kp_programkod=I&amp;-op=ct&amp;kp_programprofil=data" htmlTables="1" htmlFormat="all">
      <tables count="1">
        <x v="1"/>
      </tables>
    </webPr>
  </connection>
  <connection id="144" name="Anslutning73" type="4" refreshedVersion="5" background="1" saveData="1">
    <webPr xl2000="1" url="http://kdb-5.liu.se/liu/lith/studiehandboken/action.lasso?&amp;-response=lot_response.lasso&amp;-op=eq&amp;kp_budget_year=2012ar=2013&amp;-op=eq&amp;kp_programkod=I&amp;-op=ct&amp;kp_programprofil=data" htmlTables="1" htmlFormat="all">
      <tables count="1">
        <x v="1"/>
      </tables>
    </webPr>
  </connection>
  <connection id="145" name="Anslutning74" type="4" refreshedVersion="5" background="1" saveData="1">
    <webPr xl2000="1" url="http://kdb-5.liu.se/liu/lith/studiehandboken/action.lasso?&amp;-response=lot_response.lasso&amp;-op=eq&amp;kp_budget_year=2013ar=2013&amp;-op=eq&amp;kp_programkod=I&amp;-op=ct&amp;kp_programprofil=data" htmlTables="1" htmlFormat="all">
      <tables count="1">
        <x v="1"/>
      </tables>
    </webPr>
  </connection>
  <connection id="146" name="Anslutning75" type="4" refreshedVersion="5" background="1" saveData="1">
    <webPr xl2000="1" url="http://kdb-5.liu.se/liu/lith/studiehandboken/action.lasso?&amp;-response=lot_response.lasso&amp;-op=eq&amp;kp_budget_year=2014ar=2013&amp;-op=eq&amp;kp_programkod=I&amp;-op=ct&amp;kp_programprofil=data" htmlTables="1" htmlFormat="all">
      <tables count="1">
        <x v="1"/>
      </tables>
    </webPr>
  </connection>
  <connection id="147" name="Anslutning76" type="4" refreshedVersion="5" background="1" saveData="1">
    <webPr xl2000="1" url="http://kdb-5.liu.se/liu/lith/studiehandboken/action.lasso?&amp;-response=lot_response.lasso&amp;-op=eq&amp;kp_budget_year=2009ar=2013&amp;-op=eq&amp;kp_programkod=I&amp;-op=ct&amp;kp_programprofil=data" htmlTables="1" htmlFormat="all">
      <tables count="1">
        <x v="1"/>
      </tables>
    </webPr>
  </connection>
  <connection id="148" name="Anslutning77" type="4" refreshedVersion="5" background="1" saveData="1">
    <webPr xl2000="1" url="http://kdb-5.liu.se/liu/lith/studiehandboken/action.lasso?&amp;-response=lot_response.lasso&amp;-op=eq&amp;kp_budget_year=2010ar=2013&amp;-op=eq&amp;kp_programkod=I&amp;-op=ct&amp;kp_programprofil=data" htmlTables="1" htmlFormat="all">
      <tables count="1">
        <x v="1"/>
      </tables>
    </webPr>
  </connection>
  <connection id="149" name="Anslutning78" type="4" refreshedVersion="5" background="1" saveData="1">
    <webPr xl2000="1" url="http://kdb-5.liu.se/liu/lith/studiehandboken/action.lasso?&amp;-response=lot_response.lasso&amp;-op=eq&amp;kp_budget_year=2011ar=2013&amp;-op=eq&amp;kp_programkod=I&amp;-op=ct&amp;kp_programprofil=data" htmlTables="1" htmlFormat="all">
      <tables count="1">
        <x v="1"/>
      </tables>
    </webPr>
  </connection>
  <connection id="150" name="Anslutning79" type="4" refreshedVersion="5" background="1" saveData="1">
    <webPr xl2000="1" url="http://kdb-5.liu.se/liu/lith/studiehandboken/action.lasso?&amp;-response=lot_response.lasso&amp;-op=eq&amp;kp_budget_year=2012ar=2013&amp;-op=eq&amp;kp_programkod=I&amp;-op=ct&amp;kp_programprofil=data" htmlTables="1" htmlFormat="all">
      <tables count="1">
        <x v="1"/>
      </tables>
    </webPr>
  </connection>
  <connection id="151" name="Anslutning8" type="4" refreshedVersion="5" background="1" saveData="1">
    <webPr xl2000="1" url="http://kdb-5.liu.se/liu/lith/studiehandboken/action.lasso?&amp;-response=lot_response.lasso&amp;-op=eq&amp;kp_budget_year=2009-op=eq&amp;kp_programkod=I&amp;-op=ct&amp;kp_programprofil=energi" htmlTables="1" htmlFormat="all">
      <tables count="1">
        <x v="1"/>
      </tables>
    </webPr>
  </connection>
  <connection id="152" name="Anslutning80" type="4" refreshedVersion="5" background="1" saveData="1">
    <webPr xl2000="1" url="http://kdb-5.liu.se/liu/lith/studiehandboken/action.lasso?&amp;-response=lot_response.lasso&amp;-op=eq&amp;kp_budget_year=2013ar=2013&amp;-op=eq&amp;kp_programkod=I&amp;-op=ct&amp;kp_programprofil=data" htmlTables="1" htmlFormat="all">
      <tables count="1">
        <x v="1"/>
      </tables>
    </webPr>
  </connection>
  <connection id="153" name="Anslutning81" type="4" refreshedVersion="5" background="1" saveData="1">
    <webPr xl2000="1" url="http://kdb-5.liu.se/liu/lith/studiehandboken/action.lasso?&amp;-response=lot_response.lasso&amp;-op=eq&amp;kp_budget_year=2014ar=2013&amp;-op=eq&amp;kp_programkod=I&amp;-op=ct&amp;kp_programprofil=data" htmlTables="1" htmlFormat="all">
      <tables count="1">
        <x v="1"/>
      </tables>
    </webPr>
  </connection>
  <connection id="154" name="Anslutning82" type="4" refreshedVersion="5" background="1" saveData="1">
    <webPr xl2000="1" url="http://kdb-5.liu.se/liu/lith/studiehandboken/action.lasso?&amp;-response=lot_response.lasso&amp;-op=eq&amp;kp_budget_year=2009-op=eq&amp;kp_programkod=I&amp;-op=ct&amp;kp_programprofil=data" htmlTables="1" htmlFormat="all">
      <tables count="1">
        <x v="1"/>
      </tables>
    </webPr>
  </connection>
  <connection id="155" name="Anslutning83" type="4" refreshedVersion="5" background="1" saveData="1">
    <webPr xl2000="1" url="http://kdb-5.liu.se/liu/lith/studiehandboken/action.lasso?&amp;-response=lot_response.lasso&amp;-op=eq&amp;kp_budget_year=2010-op=eq&amp;kp_programkod=I&amp;-op=ct&amp;kp_programprofil=data" htmlTables="1" htmlFormat="all">
      <tables count="1">
        <x v="1"/>
      </tables>
    </webPr>
  </connection>
  <connection id="156" name="Anslutning84" type="4" refreshedVersion="5" background="1" saveData="1">
    <webPr xl2000="1" url="http://kdb-5.liu.se/liu/lith/studiehandboken/action.lasso?&amp;-response=lot_response.lasso&amp;-op=eq&amp;kp_budget_year=2011-op=eq&amp;kp_programkod=I&amp;-op=ct&amp;kp_programprofil=data" htmlTables="1" htmlFormat="all">
      <tables count="1">
        <x v="1"/>
      </tables>
    </webPr>
  </connection>
  <connection id="157" name="Anslutning85" type="4" refreshedVersion="5" background="1" saveData="1">
    <webPr xl2000="1" url="http://kdb-5.liu.se/liu/lith/studiehandboken/action.lasso?&amp;-response=lot_response.lasso&amp;-op=eq&amp;kp_budget_year=2012-op=eq&amp;kp_programkod=I&amp;-op=ct&amp;kp_programprofil=data" htmlTables="1" htmlFormat="all">
      <tables count="1">
        <x v="1"/>
      </tables>
    </webPr>
  </connection>
  <connection id="158" name="Anslutning86" type="4" refreshedVersion="5" background="1" saveData="1">
    <webPr xl2000="1" url="http://kdb-5.liu.se/liu/lith/studiehandboken/action.lasso?&amp;-response=lot_response.lasso&amp;-op=eq&amp;kp_budget_year=2013-op=eq&amp;kp_programkod=I&amp;-op=ct&amp;kp_programprofil=data" htmlTables="1" htmlFormat="all">
      <tables count="1">
        <x v="1"/>
      </tables>
    </webPr>
  </connection>
  <connection id="159" name="Anslutning87" type="4" refreshedVersion="5" background="1" saveData="1">
    <webPr xl2000="1" url="http://kdb-5.liu.se/liu/lith/studiehandboken/action.lasso?&amp;-response=lot_response.lasso&amp;-op=eq&amp;kp_budget_year=2014-op=eq&amp;kp_programkod=I&amp;-op=ct&amp;kp_programprofil=data" htmlTables="1" htmlFormat="all">
      <tables count="1">
        <x v="1"/>
      </tables>
    </webPr>
  </connection>
  <connection id="160" name="Anslutning88" type="4" refreshedVersion="5" background="1" saveData="1">
    <webPr xl2000="1" url="http://kdb-5.liu.se/liu/lith/studiehandboken/action.lasso?&amp;-response=lot_response.lasso&amp;-op=eq&amp;kp_budget_year=2009-op=eq&amp;kp_programkod=I&amp;-op=ct&amp;kp_programprofil=data" htmlTables="1" htmlFormat="all">
      <tables count="1">
        <x v="1"/>
      </tables>
    </webPr>
  </connection>
  <connection id="161" name="Anslutning89" type="4" refreshedVersion="5" background="1" saveData="1">
    <webPr xl2000="1" url="http://kdb-5.liu.se/liu/lith/studiehandboken/action.lasso?&amp;-response=lot_response.lasso&amp;-op=eq&amp;kp_budget_year=2010-op=eq&amp;kp_programkod=I&amp;-op=ct&amp;kp_programprofil=data" htmlTables="1" htmlFormat="all">
      <tables count="1">
        <x v="1"/>
      </tables>
    </webPr>
  </connection>
  <connection id="162" name="Anslutning9" type="4" refreshedVersion="5" background="1" saveData="1">
    <webPr xl2000="1" url="http://kdb-5.liu.se/liu/lith/studiehandboken/action.lasso?&amp;-response=lot_response.lasso&amp;-op=eq&amp;kp_budget_year=2010-op=eq&amp;kp_programkod=I&amp;-op=ct&amp;kp_programprofil=energi" htmlTables="1" htmlFormat="all">
      <tables count="1">
        <x v="1"/>
      </tables>
    </webPr>
  </connection>
  <connection id="163" name="Anslutning90" type="4" refreshedVersion="5" background="1" saveData="1">
    <webPr xl2000="1" url="http://kdb-5.liu.se/liu/lith/studiehandboken/action.lasso?&amp;-response=lot_response.lasso&amp;-op=eq&amp;kp_budget_year=2011-op=eq&amp;kp_programkod=I&amp;-op=ct&amp;kp_programprofil=data" htmlTables="1" htmlFormat="all">
      <tables count="1">
        <x v="1"/>
      </tables>
    </webPr>
  </connection>
  <connection id="164" name="Anslutning91" type="4" refreshedVersion="5" background="1" saveData="1">
    <webPr xl2000="1" url="http://kdb-5.liu.se/liu/lith/studiehandboken/action.lasso?&amp;-response=lot_response.lasso&amp;-op=eq&amp;kp_budget_year=2012-op=eq&amp;kp_programkod=I&amp;-op=ct&amp;kp_programprofil=data" htmlTables="1" htmlFormat="all">
      <tables count="1">
        <x v="1"/>
      </tables>
    </webPr>
  </connection>
  <connection id="165" name="Anslutning92" type="4" refreshedVersion="5" background="1" saveData="1">
    <webPr xl2000="1" url="http://kdb-5.liu.se/liu/lith/studiehandboken/action.lasso?&amp;-response=lot_response.lasso&amp;-op=eq&amp;kp_budget_year=2013-op=eq&amp;kp_programkod=I&amp;-op=ct&amp;kp_programprofil=data" htmlTables="1" htmlFormat="all">
      <tables count="1">
        <x v="1"/>
      </tables>
    </webPr>
  </connection>
  <connection id="166" name="Anslutning93" type="4" refreshedVersion="5" background="1" saveData="1">
    <webPr xl2000="1" url="http://kdb-5.liu.se/liu/lith/studiehandboken/action.lasso?&amp;-response=lot_response.lasso&amp;-op=eq&amp;kp_budget_year=2014-op=eq&amp;kp_programkod=I&amp;-op=ct&amp;kp_programprofil=data" htmlTables="1" htmlFormat="all">
      <tables count="1">
        <x v="1"/>
      </tables>
    </webPr>
  </connection>
  <connection id="167" name="Anslutning94" type="4" refreshedVersion="5" background="1" saveData="1">
    <webPr xl2000="1" url="http://kdb-5.liu.se/liu/lith/studiehandboken/action.lasso?&amp;-response=lot_response.lasso&amp;-op=eq&amp;kp_budget_year=2009-op=eq&amp;kp_programkod=I&amp;-op=ct&amp;kp_programprofil=data" htmlTables="1" htmlFormat="all">
      <tables count="1">
        <x v="1"/>
      </tables>
    </webPr>
  </connection>
  <connection id="168" name="Anslutning95" type="4" refreshedVersion="5" background="1" saveData="1">
    <webPr xl2000="1" url="http://kdb-5.liu.se/liu/lith/studiehandboken/action.lasso?&amp;-response=lot_response.lasso&amp;-op=eq&amp;kp_budget_year=2010-op=eq&amp;kp_programkod=I&amp;-op=ct&amp;kp_programprofil=data" htmlTables="1" htmlFormat="all">
      <tables count="1">
        <x v="1"/>
      </tables>
    </webPr>
  </connection>
  <connection id="169" name="Anslutning96" type="4" refreshedVersion="5" background="1" saveData="1">
    <webPr xl2000="1" url="http://kdb-5.liu.se/liu/lith/studiehandboken/action.lasso?&amp;-response=lot_response.lasso&amp;-op=eq&amp;kp_budget_year=2011-op=eq&amp;kp_programkod=I&amp;-op=ct&amp;kp_programprofil=data" htmlTables="1" htmlFormat="all">
      <tables count="1">
        <x v="1"/>
      </tables>
    </webPr>
  </connection>
  <connection id="170" name="Anslutning97" type="4" refreshedVersion="5" background="1" saveData="1">
    <webPr xl2000="1" url="http://kdb-5.liu.se/liu/lith/studiehandboken/action.lasso?&amp;-response=lot_response.lasso&amp;-op=eq&amp;kp_budget_year=2012-op=eq&amp;kp_programkod=I&amp;-op=ct&amp;kp_programprofil=data" htmlTables="1" htmlFormat="all">
      <tables count="1">
        <x v="1"/>
      </tables>
    </webPr>
  </connection>
  <connection id="171" name="Anslutning98" type="4" refreshedVersion="5" background="1" saveData="1">
    <webPr xl2000="1" url="http://kdb-5.liu.se/liu/lith/studiehandboken/action.lasso?&amp;-response=lot_response.lasso&amp;-op=eq&amp;kp_budget_year=2013-op=eq&amp;kp_programkod=I&amp;-op=ct&amp;kp_programprofil=data" htmlTables="1" htmlFormat="all">
      <tables count="1">
        <x v="1"/>
      </tables>
    </webPr>
  </connection>
  <connection id="172" name="Anslutning99" type="4" refreshedVersion="5" background="1" saveData="1">
    <webPr xl2000="1" url="http://kdb-5.liu.se/liu/lith/studiehandboken/action.lasso?&amp;-response=lot_response.lasso&amp;-op=eq&amp;kp_budget_year=2014-op=eq&amp;kp_programkod=I&amp;-op=ct&amp;kp_programprofil=data" htmlTables="1" htmlFormat="all">
      <tables count="1">
        <x v="1"/>
      </tables>
    </webPr>
  </connection>
  <connection id="173" keepAlive="1" name="ThisWorkbookDataModel" description="Datamodell" type="5" refreshedVersion="5"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74" name="WorksheetConnection_Högskolepoängsspårare.xlsm!ProgramKurser" type="102" refreshedVersion="5" minRefreshableVersion="5">
    <extLst>
      <ext xmlns:x15="http://schemas.microsoft.com/office/spreadsheetml/2010/11/main" uri="{DE250136-89BD-433C-8126-D09CA5730AF9}">
        <x15:connection id="ProgramKurser-63389b59-6696-438a-9aed-29a9ba87c27f">
          <x15:rangePr sourceName="_xlcn.WorksheetConnection_Högskolepoängsspårare.xlsmProgramKurser1"/>
        </x15:connection>
      </ext>
    </extLst>
  </connection>
  <connection id="175" name="WorksheetConnection_Högskolepoängsspårare.xlsm!Programplan" type="102" refreshedVersion="5" minRefreshableVersion="5">
    <extLst>
      <ext xmlns:x15="http://schemas.microsoft.com/office/spreadsheetml/2010/11/main" uri="{DE250136-89BD-433C-8126-D09CA5730AF9}">
        <x15:connection id="Programplan-da6b1a88-ccff-47a9-9a3d-f262ce90417b">
          <x15:rangePr sourceName="_xlcn.WorksheetConnection_Högskolepoängsspårare.xlsmProgramplan1"/>
        </x15:connection>
      </ext>
    </extLst>
  </connection>
</connections>
</file>

<file path=xl/sharedStrings.xml><?xml version="1.0" encoding="utf-8"?>
<sst xmlns="http://schemas.openxmlformats.org/spreadsheetml/2006/main" count="3580" uniqueCount="982">
  <si>
    <t>Huvudämne</t>
  </si>
  <si>
    <t>KURSPOÄNGSKRAV</t>
  </si>
  <si>
    <t>SUMMA</t>
  </si>
  <si>
    <t>TAGNA</t>
  </si>
  <si>
    <t>KVAR ATT TA</t>
  </si>
  <si>
    <t>KURSPOÄNG</t>
  </si>
  <si>
    <t>TERMIN</t>
  </si>
  <si>
    <t>ÖVERGRIPANDE FRAMSTEG</t>
  </si>
  <si>
    <t>Programkurser</t>
  </si>
  <si>
    <t>KURSNAMN</t>
  </si>
  <si>
    <t>KURSKOD</t>
  </si>
  <si>
    <t>NIVÅ</t>
  </si>
  <si>
    <t>Antagningsår</t>
  </si>
  <si>
    <t>Program</t>
  </si>
  <si>
    <t>Lägg till program</t>
  </si>
  <si>
    <t>PROGRAMNAMN</t>
  </si>
  <si>
    <t>HÖGSKOLEPOÄNG</t>
  </si>
  <si>
    <t>ÅR</t>
  </si>
  <si>
    <t>Civilingenjör i Industriell Ekonomi</t>
  </si>
  <si>
    <t>Civilingenjör i Maskinteknik</t>
  </si>
  <si>
    <t>NYTT PROGRAM</t>
  </si>
  <si>
    <t>INRIKTNING</t>
  </si>
  <si>
    <t>PROGRAM</t>
  </si>
  <si>
    <t>Datateknik</t>
  </si>
  <si>
    <t>Mitt informationsblad</t>
  </si>
  <si>
    <t xml:space="preserve">    NY INRIKTNING</t>
  </si>
  <si>
    <t xml:space="preserve">    Välj program: </t>
  </si>
  <si>
    <t>Högskoleingenjör Datateknik</t>
  </si>
  <si>
    <t>Högskoleingenjör Maskinteknik</t>
  </si>
  <si>
    <t>Logistik</t>
  </si>
  <si>
    <t>PERIOD</t>
  </si>
  <si>
    <t>Systemteknik</t>
  </si>
  <si>
    <t>Maskinteknik</t>
  </si>
  <si>
    <t>Energiteknik</t>
  </si>
  <si>
    <t>Bioteknik</t>
  </si>
  <si>
    <t>SearchRank</t>
  </si>
  <si>
    <t>Search</t>
  </si>
  <si>
    <t>NAME</t>
  </si>
  <si>
    <t>Obligatorisk</t>
  </si>
  <si>
    <t>Nivåer</t>
  </si>
  <si>
    <t>Terminer</t>
  </si>
  <si>
    <t>Perioder</t>
  </si>
  <si>
    <t>1 och 2</t>
  </si>
  <si>
    <t>År</t>
  </si>
  <si>
    <t>ÅRSKURS</t>
  </si>
  <si>
    <t>POÄNG</t>
  </si>
  <si>
    <t>BLOCK</t>
  </si>
  <si>
    <t>Frivillig</t>
  </si>
  <si>
    <t>Valbar</t>
  </si>
  <si>
    <t>Reglerteknik</t>
  </si>
  <si>
    <t>Miljöteknik</t>
  </si>
  <si>
    <t>BETYG</t>
  </si>
  <si>
    <t>U</t>
  </si>
  <si>
    <t>G</t>
  </si>
  <si>
    <t>Grundläggande poäng</t>
  </si>
  <si>
    <t>Poäng i din studieplan</t>
  </si>
  <si>
    <t>Totalt antal avslutade poäng:</t>
  </si>
  <si>
    <t>Tagna högskolepoäng</t>
  </si>
  <si>
    <t>Avancerade poäng</t>
  </si>
  <si>
    <t>Termin</t>
  </si>
  <si>
    <t>Poängfördelning i din studieplan</t>
  </si>
  <si>
    <t>Varav avslutade</t>
  </si>
  <si>
    <t>Antal av KURSNAMN</t>
  </si>
  <si>
    <t>Terminssammanfattning</t>
  </si>
  <si>
    <t>Antal kurser</t>
  </si>
  <si>
    <t>Högskolepoäng</t>
  </si>
  <si>
    <t>Summa av POÄNG</t>
  </si>
  <si>
    <t>Finans</t>
  </si>
  <si>
    <t>Finansiell matematik</t>
  </si>
  <si>
    <t>Teknisk mekanik</t>
  </si>
  <si>
    <t>Energisystem och miljöteknik</t>
  </si>
  <si>
    <t>Flygteknik</t>
  </si>
  <si>
    <t>Produktutveckling</t>
  </si>
  <si>
    <t>Industriell produktion (Industriell ekonomi)</t>
  </si>
  <si>
    <t>Industriell produktion (Maskinteknik)</t>
  </si>
  <si>
    <t>Civilingenjör i Teknisk Fysik och elektroteknik</t>
  </si>
  <si>
    <t>Kommunikation</t>
  </si>
  <si>
    <t>Mekatronik</t>
  </si>
  <si>
    <t>Signal- och bildbehandling</t>
  </si>
  <si>
    <t>Styr- och informationssystem</t>
  </si>
  <si>
    <t>Masterprofiler</t>
  </si>
  <si>
    <t>System-on-chip</t>
  </si>
  <si>
    <t>Teknisk matematik</t>
  </si>
  <si>
    <t>Medicinsk teknik</t>
  </si>
  <si>
    <t>Civilingenjör i Design och produktutveckling</t>
  </si>
  <si>
    <t>Produktutveckling och teknisk design</t>
  </si>
  <si>
    <t>Konstruktion</t>
  </si>
  <si>
    <t>Management</t>
  </si>
  <si>
    <t>Energi</t>
  </si>
  <si>
    <t xml:space="preserve">Civilingenjör i Energi - miljö - management </t>
  </si>
  <si>
    <t>Kommentarer</t>
  </si>
  <si>
    <t>Dubbelklicka celler i kolumnen nedan för att inkludera  i eller ta bort från din studieplan</t>
  </si>
  <si>
    <t>Profil 1</t>
  </si>
  <si>
    <t>Profil 2</t>
  </si>
  <si>
    <t>Block _&gt;</t>
  </si>
  <si>
    <t>Period 2</t>
  </si>
  <si>
    <r>
      <t xml:space="preserve">Den här tabellen är datakällan för pivotdiagram och grafik på arbetsbladet </t>
    </r>
    <r>
      <rPr>
        <i/>
        <sz val="10"/>
        <color theme="0"/>
        <rFont val="Century"/>
        <family val="1"/>
      </rPr>
      <t>Sammanställning.</t>
    </r>
  </si>
  <si>
    <t>Lägg till profiler</t>
  </si>
  <si>
    <t>Profiler</t>
  </si>
  <si>
    <t>Nedan visas de inriktningar som i finns inlagda för respektive program. Använd verktyget till vänster för att lägga till nya inriktningar för ett program.</t>
  </si>
  <si>
    <r>
      <t xml:space="preserve">Kommentarsfältet uppmärksammar dig på om några kurser ligger i samma block och om du inte uppfyller CSNs krav på heltidsstudier. 
Det är dock möjligt att kurser byter block eller att du väljer att läsa dem en annan termin, så kontrollera att informationen i </t>
    </r>
    <r>
      <rPr>
        <i/>
        <sz val="10"/>
        <color theme="1" tint="0.24994659260841701"/>
        <rFont val="Bookman Old Style"/>
        <family val="1"/>
        <scheme val="major"/>
      </rPr>
      <t>Ditt informationsblad</t>
    </r>
    <r>
      <rPr>
        <sz val="10"/>
        <color theme="1" tint="0.24994659260841701"/>
        <rFont val="Bookman Old Style"/>
        <family val="1"/>
        <scheme val="major"/>
      </rPr>
      <t xml:space="preserve"> verkligen stämmer.</t>
    </r>
  </si>
  <si>
    <t>Kurser i din studieplan</t>
  </si>
  <si>
    <t>INGÅR I KURSPLAN</t>
  </si>
  <si>
    <t>Ekonomiska informationssystem</t>
  </si>
  <si>
    <t>Industriell marknadsföring</t>
  </si>
  <si>
    <t>Kvalitets- och verksamhetsutveckling</t>
  </si>
  <si>
    <t>Produktionsledning</t>
  </si>
  <si>
    <t>Projekt, innovation och entreprenörskap</t>
  </si>
  <si>
    <t>Strategi och styrning</t>
  </si>
  <si>
    <t>G1</t>
  </si>
  <si>
    <t>G2</t>
  </si>
  <si>
    <t>Kursnamn</t>
  </si>
  <si>
    <t>Nivå</t>
  </si>
  <si>
    <t>Block</t>
  </si>
  <si>
    <t>A</t>
  </si>
  <si>
    <t>Lägg till kurser till programmet</t>
  </si>
  <si>
    <t>2*</t>
  </si>
  <si>
    <t>TDDC30</t>
  </si>
  <si>
    <t>Programmering i Java, datastrukturer och algoritmer</t>
  </si>
  <si>
    <t>TATA52</t>
  </si>
  <si>
    <t>Diskret matematik</t>
  </si>
  <si>
    <t>TSEA51</t>
  </si>
  <si>
    <t>Digitalteknik</t>
  </si>
  <si>
    <t>TDDD71</t>
  </si>
  <si>
    <t>Datastrukturer och algoritmer</t>
  </si>
  <si>
    <t>TDTS10</t>
  </si>
  <si>
    <t>Datorarkitektur</t>
  </si>
  <si>
    <t>TDDD83</t>
  </si>
  <si>
    <t>Kandidatprojekt datateknik</t>
  </si>
  <si>
    <t>TDDD81</t>
  </si>
  <si>
    <t>Databasteknik för kandidatprojekt</t>
  </si>
  <si>
    <t>TSTE86</t>
  </si>
  <si>
    <t>Digitala integrerade kretsar</t>
  </si>
  <si>
    <t>TATM79</t>
  </si>
  <si>
    <t>Matematisk grundkurs</t>
  </si>
  <si>
    <t>TATA31</t>
  </si>
  <si>
    <t>Linjär algebra</t>
  </si>
  <si>
    <t>TEIE17</t>
  </si>
  <si>
    <t>Industriell ekonomi</t>
  </si>
  <si>
    <t>TATA41</t>
  </si>
  <si>
    <t>Envariabelanalys 1</t>
  </si>
  <si>
    <t>TATA42</t>
  </si>
  <si>
    <t>Envariabelanalys 2</t>
  </si>
  <si>
    <t>TDDD11</t>
  </si>
  <si>
    <t>Programmering, grundkurs</t>
  </si>
  <si>
    <t>TEIO61</t>
  </si>
  <si>
    <t>Industriell organisation, grundkurs</t>
  </si>
  <si>
    <t>TATA43</t>
  </si>
  <si>
    <t>Flervariabelanalys</t>
  </si>
  <si>
    <t>TSKS08</t>
  </si>
  <si>
    <t>Introduktionskurs i Matlab</t>
  </si>
  <si>
    <t>TAOP14</t>
  </si>
  <si>
    <t>Optimeringslära, grundkurs</t>
  </si>
  <si>
    <t>TMME27</t>
  </si>
  <si>
    <t>Mekanik I</t>
  </si>
  <si>
    <t>TSKS09</t>
  </si>
  <si>
    <t>Linjära system</t>
  </si>
  <si>
    <t>TAMS79</t>
  </si>
  <si>
    <t>Matematisk statistik, grundkurs</t>
  </si>
  <si>
    <t>TFYA14</t>
  </si>
  <si>
    <t>Fysik</t>
  </si>
  <si>
    <t>TPPE98</t>
  </si>
  <si>
    <t>Ekonomisk analys: Ekonomisk teori</t>
  </si>
  <si>
    <t>TAMS65</t>
  </si>
  <si>
    <t>Matematisk statistik I, fortsättningskurs</t>
  </si>
  <si>
    <t>TPPE24</t>
  </si>
  <si>
    <t>Ekonomisk analys: Besluts- och finansiell metodik</t>
  </si>
  <si>
    <t>TEIM02</t>
  </si>
  <si>
    <t>Grundläggande marknadsföring</t>
  </si>
  <si>
    <t>TSRT19</t>
  </si>
  <si>
    <t>TPPE13</t>
  </si>
  <si>
    <t>Produktionsekonomi</t>
  </si>
  <si>
    <t>TEIO04</t>
  </si>
  <si>
    <t>Projektledning</t>
  </si>
  <si>
    <r>
      <t xml:space="preserve">Tillvägagångssätt:
</t>
    </r>
    <r>
      <rPr>
        <b/>
        <sz val="10"/>
        <color theme="1" tint="0.24994659260841701"/>
        <rFont val="Bookman Old Style"/>
        <family val="1"/>
        <scheme val="major"/>
      </rPr>
      <t>1.</t>
    </r>
    <r>
      <rPr>
        <sz val="10"/>
        <color theme="1" tint="0.24994659260841701"/>
        <rFont val="Bookman Old Style"/>
        <family val="1"/>
        <scheme val="major"/>
      </rPr>
      <t xml:space="preserve"> Kopiera kursinfo  från studentportalen (Markera alla kurser och kopiera).
</t>
    </r>
    <r>
      <rPr>
        <b/>
        <sz val="10"/>
        <color theme="1" tint="0.24994659260841701"/>
        <rFont val="Bookman Old Style"/>
        <family val="1"/>
        <scheme val="major"/>
      </rPr>
      <t>2.</t>
    </r>
    <r>
      <rPr>
        <sz val="10"/>
        <color theme="1" tint="0.24994659260841701"/>
        <rFont val="Bookman Old Style"/>
        <family val="1"/>
        <scheme val="major"/>
      </rPr>
      <t xml:space="preserve"> Klistra in rätt cell (Se kommentar) och flytta de terminskoder som ligger i fel kolumn. (Vanligtvis är det bara en terminkod som behöver korrigeras: den första. Se till att denna hamnar rätt)
</t>
    </r>
    <r>
      <rPr>
        <b/>
        <sz val="10"/>
        <color theme="1" tint="0.24994659260841701"/>
        <rFont val="Bookman Old Style"/>
        <family val="1"/>
        <scheme val="major"/>
      </rPr>
      <t>3.</t>
    </r>
    <r>
      <rPr>
        <sz val="10"/>
        <color theme="1" tint="0.24994659260841701"/>
        <rFont val="Bookman Old Style"/>
        <family val="1"/>
        <scheme val="major"/>
      </rPr>
      <t xml:space="preserve"> Välj inriktning och välj ovanför knappen Importera det alternativ som passar.
</t>
    </r>
    <r>
      <rPr>
        <b/>
        <sz val="10"/>
        <color theme="1" tint="0.24994659260841701"/>
        <rFont val="Bookman Old Style"/>
        <family val="1"/>
        <scheme val="major"/>
      </rPr>
      <t>4.</t>
    </r>
    <r>
      <rPr>
        <sz val="10"/>
        <color theme="1" tint="0.24994659260841701"/>
        <rFont val="Bookman Old Style"/>
        <family val="1"/>
        <scheme val="major"/>
      </rPr>
      <t xml:space="preserve"> Tryck på importera. Efter att kurser importerats, rensa kursinfon du klistrade in genom att ta bort de berörda raderna.</t>
    </r>
  </si>
  <si>
    <t>Kända fel</t>
  </si>
  <si>
    <r>
      <t xml:space="preserve">Om en kurs tillhör två inriktningar och ges i samma termin för båda inriktingar så kommer den bara visas en gång i arbetsbladet </t>
    </r>
    <r>
      <rPr>
        <i/>
        <sz val="10"/>
        <color theme="1" tint="0.24994659260841701"/>
        <rFont val="Bookman Old Style"/>
        <family val="1"/>
        <scheme val="major"/>
      </rPr>
      <t>Programkurser.</t>
    </r>
    <r>
      <rPr>
        <sz val="10"/>
        <color theme="1" tint="0.24994659260841701"/>
        <rFont val="Bookman Old Style"/>
        <family val="1"/>
        <scheme val="major"/>
      </rPr>
      <t xml:space="preserve"> Här behöver du eventuellt  göra egna modifieringar till data så att den passar din studieplan.</t>
    </r>
  </si>
  <si>
    <t>TEIE06</t>
  </si>
  <si>
    <t>Integrerad företagsplanering</t>
  </si>
  <si>
    <t xml:space="preserve"> Ingen</t>
  </si>
  <si>
    <t>Oviktat betygsnitt:</t>
  </si>
  <si>
    <t>Automatiserad dataimport</t>
  </si>
  <si>
    <t>Om arbetsboken</t>
  </si>
  <si>
    <t>Program:</t>
  </si>
  <si>
    <t>Inriktning:</t>
  </si>
  <si>
    <t>Examenskrav</t>
  </si>
  <si>
    <t>Data och beräkningar</t>
  </si>
  <si>
    <t xml:space="preserve">Sorterade </t>
  </si>
  <si>
    <t>Inriktningar</t>
  </si>
  <si>
    <t>Kopplar ihop inriktningar med utbildningar</t>
  </si>
  <si>
    <t>Pivottabell för att plocka fram data till sammanställning</t>
  </si>
  <si>
    <t>Konstanter</t>
  </si>
  <si>
    <t>Möjliga betyg</t>
  </si>
  <si>
    <t xml:space="preserve"> Obligatorisk</t>
  </si>
  <si>
    <t xml:space="preserve"> Valbar</t>
  </si>
  <si>
    <t xml:space="preserve"> Frivillig</t>
  </si>
  <si>
    <t>Konstant</t>
  </si>
  <si>
    <r>
      <t>När du lägger till ett helt nytt program: Glöm inte att lägga till examenskrav i arbetsbladet e</t>
    </r>
    <r>
      <rPr>
        <i/>
        <sz val="10"/>
        <color theme="1" tint="0.24994659260841701"/>
        <rFont val="Bookman Old Style"/>
        <family val="1"/>
        <scheme val="major"/>
      </rPr>
      <t xml:space="preserve">xamenskrav. </t>
    </r>
    <r>
      <rPr>
        <sz val="10"/>
        <color theme="1" tint="0.24994659260841701"/>
        <rFont val="Bookman Old Style"/>
        <family val="1"/>
        <scheme val="major"/>
      </rPr>
      <t>Utan dessa kommer</t>
    </r>
    <r>
      <rPr>
        <i/>
        <sz val="10"/>
        <color theme="1" tint="0.24994659260841701"/>
        <rFont val="Bookman Old Style"/>
        <family val="1"/>
        <scheme val="major"/>
      </rPr>
      <t xml:space="preserve"> </t>
    </r>
    <r>
      <rPr>
        <sz val="10"/>
        <color theme="1" tint="0.24994659260841701"/>
        <rFont val="Bookman Old Style"/>
        <family val="1"/>
        <scheme val="major"/>
      </rPr>
      <t>Sammanställningen</t>
    </r>
    <r>
      <rPr>
        <i/>
        <sz val="10"/>
        <color theme="1" tint="0.24994659260841701"/>
        <rFont val="Bookman Old Style"/>
        <family val="1"/>
        <scheme val="major"/>
      </rPr>
      <t xml:space="preserve"> </t>
    </r>
    <r>
      <rPr>
        <sz val="10"/>
        <color theme="1" tint="0.24994659260841701"/>
        <rFont val="Bookman Old Style"/>
        <family val="1"/>
        <scheme val="major"/>
      </rPr>
      <t>eventuellt att visa felaktig information.</t>
    </r>
  </si>
  <si>
    <t>Antal poäng</t>
  </si>
  <si>
    <t>Godtyckliga</t>
  </si>
  <si>
    <t>Avancerade</t>
  </si>
  <si>
    <t>Inom profil 1</t>
  </si>
  <si>
    <t>Inom profil 2</t>
  </si>
  <si>
    <t>Civilingenjör i Datateknik</t>
  </si>
  <si>
    <t>Civilingenjör i Teknisk biologi</t>
  </si>
  <si>
    <t>Industriell bioteknik och produktion</t>
  </si>
  <si>
    <t>Sensorer och material i biomedicin</t>
  </si>
  <si>
    <t>Kemisk biologi</t>
  </si>
  <si>
    <t xml:space="preserve">I detta datablad så finns också några av de större beräkningarna samlade. </t>
  </si>
  <si>
    <t>Material- och nanofysik</t>
  </si>
  <si>
    <t>Teori, modellering och visualisering</t>
  </si>
  <si>
    <t>Elektronik</t>
  </si>
  <si>
    <t>Arbetsboken är skriven av Tobias Genborg, 2014. 
Möjliga förbättringar skulle vara att skriva om detta som en relationsdatabas.
Om någon är intresserad av att bygga vidare på arbetsboken så finns den tillgänglig på följande GitHub repository:</t>
  </si>
  <si>
    <t>1, 2</t>
  </si>
  <si>
    <t>4, 4</t>
  </si>
  <si>
    <t>o</t>
  </si>
  <si>
    <t>v</t>
  </si>
  <si>
    <t>TEIM09</t>
  </si>
  <si>
    <t>Internationellt företagande</t>
  </si>
  <si>
    <t>6*</t>
  </si>
  <si>
    <t>4Vt1</t>
  </si>
  <si>
    <t>4Vt2</t>
  </si>
  <si>
    <t>Transformteori</t>
  </si>
  <si>
    <t>5Ht1</t>
  </si>
  <si>
    <t>Datorteknik</t>
  </si>
  <si>
    <t>5Ht2</t>
  </si>
  <si>
    <t>TSDT18</t>
  </si>
  <si>
    <t>Signaler och system</t>
  </si>
  <si>
    <t>6Vt1</t>
  </si>
  <si>
    <t>6Vt2</t>
  </si>
  <si>
    <t>TSKS10</t>
  </si>
  <si>
    <t>Signaler, information och kommunikation</t>
  </si>
  <si>
    <t>TBME04</t>
  </si>
  <si>
    <t>Anatomi och fysiologi</t>
  </si>
  <si>
    <t>TSEA81</t>
  </si>
  <si>
    <t>Datorteknik och realtidssystem</t>
  </si>
  <si>
    <t>TSIT02</t>
  </si>
  <si>
    <t>Datasäkerhet</t>
  </si>
  <si>
    <t>TSKS11</t>
  </si>
  <si>
    <t>Nätverk: modeller, algoritmer och tillämpningar</t>
  </si>
  <si>
    <t>TSIT03</t>
  </si>
  <si>
    <t>Kryptoteknik</t>
  </si>
  <si>
    <t>3, 3</t>
  </si>
  <si>
    <t>TMMV03</t>
  </si>
  <si>
    <t>Tillämpad termodynamik och strömningslära</t>
  </si>
  <si>
    <t>TMHL07</t>
  </si>
  <si>
    <t>Hållfasthetslära, grundkurs</t>
  </si>
  <si>
    <t>TMPT04</t>
  </si>
  <si>
    <t>Produktionsteknik</t>
  </si>
  <si>
    <t>8*</t>
  </si>
  <si>
    <t>TMKM86</t>
  </si>
  <si>
    <t>Konstruktionsmaterial</t>
  </si>
  <si>
    <t>TMKT14</t>
  </si>
  <si>
    <t>CAD och maskinelement</t>
  </si>
  <si>
    <t>TMMS03</t>
  </si>
  <si>
    <t>-</t>
  </si>
  <si>
    <t>TMMV09</t>
  </si>
  <si>
    <t>Energiomvandling - tekniska perspektiv</t>
  </si>
  <si>
    <t>TKMJ24</t>
  </si>
  <si>
    <t>TMES34</t>
  </si>
  <si>
    <t>Energisystem - tillförsel och användning</t>
  </si>
  <si>
    <t>TDDD12</t>
  </si>
  <si>
    <t>Databasteknik</t>
  </si>
  <si>
    <t>TDDC88</t>
  </si>
  <si>
    <t>Programutvecklingsmetodik</t>
  </si>
  <si>
    <t>TDDC17</t>
  </si>
  <si>
    <t>Artificiell intelligens</t>
  </si>
  <si>
    <t>TDDD20</t>
  </si>
  <si>
    <t>Konstruktion och analys av algoritmer</t>
  </si>
  <si>
    <t>TDDD23</t>
  </si>
  <si>
    <t>Design och programmering av datorspel</t>
  </si>
  <si>
    <t>TDDD38</t>
  </si>
  <si>
    <t>Avancerad programmering i C++</t>
  </si>
  <si>
    <t>TDDD55</t>
  </si>
  <si>
    <t>Kompilatorer och interpretatorer</t>
  </si>
  <si>
    <t>TDDD17</t>
  </si>
  <si>
    <t>Informationssäkerhet, fk</t>
  </si>
  <si>
    <t>TDDD24</t>
  </si>
  <si>
    <t>Webbprogrammering och interaktivitet</t>
  </si>
  <si>
    <t>TDDD75</t>
  </si>
  <si>
    <t>Effektdriven utveckling och humancentrerad design av interaktiva system</t>
  </si>
  <si>
    <t>TDTS04</t>
  </si>
  <si>
    <t>Datornät och distribuerade system</t>
  </si>
  <si>
    <t>TDDD14</t>
  </si>
  <si>
    <t>Formella språk och automatateori</t>
  </si>
  <si>
    <t>TDDD26</t>
  </si>
  <si>
    <t>Utveckling av interaktiva system</t>
  </si>
  <si>
    <t>TDDD27</t>
  </si>
  <si>
    <t>Avancerad webbprogrammering</t>
  </si>
  <si>
    <t>TDDB84</t>
  </si>
  <si>
    <t>Designmönster</t>
  </si>
  <si>
    <t>TFKE52</t>
  </si>
  <si>
    <t>Grundläggande kemi</t>
  </si>
  <si>
    <t>NBIA25</t>
  </si>
  <si>
    <t>Cellbiologi</t>
  </si>
  <si>
    <t>3+2</t>
  </si>
  <si>
    <t>NBIA23</t>
  </si>
  <si>
    <t>Mikrobiologi</t>
  </si>
  <si>
    <t>2+4</t>
  </si>
  <si>
    <t>TEIO20</t>
  </si>
  <si>
    <t>Entreprenörskap och start av nya verksamheter</t>
  </si>
  <si>
    <t>TEIE95</t>
  </si>
  <si>
    <t>Affärsrätt I</t>
  </si>
  <si>
    <t>1, 1; 1, 1</t>
  </si>
  <si>
    <t>1Ht0</t>
  </si>
  <si>
    <t>1Ht1</t>
  </si>
  <si>
    <t>10*</t>
  </si>
  <si>
    <t>1Ht2</t>
  </si>
  <si>
    <t>2Vt1</t>
  </si>
  <si>
    <t>TGTU35</t>
  </si>
  <si>
    <t>Introduktionskurs för universitetsstudier</t>
  </si>
  <si>
    <t>f</t>
  </si>
  <si>
    <t>2Vt2</t>
  </si>
  <si>
    <t>3Ht1</t>
  </si>
  <si>
    <t>THEN18</t>
  </si>
  <si>
    <t>Engelska</t>
  </si>
  <si>
    <t>3Ht2</t>
  </si>
  <si>
    <t>TEIM03</t>
  </si>
  <si>
    <t>Interkulturell kommunikation</t>
  </si>
  <si>
    <t>TPTE06</t>
  </si>
  <si>
    <t>Praktik</t>
  </si>
  <si>
    <t>TEAE05</t>
  </si>
  <si>
    <t>Resursteori</t>
  </si>
  <si>
    <t>TFKE32</t>
  </si>
  <si>
    <t>Bioteknisk biokemi</t>
  </si>
  <si>
    <t>TAOP37</t>
  </si>
  <si>
    <t>Optimeringslära, fortsättningskurs</t>
  </si>
  <si>
    <t>TANA06</t>
  </si>
  <si>
    <t>Numeriska metoder</t>
  </si>
  <si>
    <t>TATA57</t>
  </si>
  <si>
    <t>THFR05</t>
  </si>
  <si>
    <t>Kommunikativ franska</t>
  </si>
  <si>
    <t>THSP05</t>
  </si>
  <si>
    <t>Kommunikativ spanska</t>
  </si>
  <si>
    <t>THTY05</t>
  </si>
  <si>
    <t>Kommunikativ tyska</t>
  </si>
  <si>
    <t>TSEA82</t>
  </si>
  <si>
    <t>TDDC32</t>
  </si>
  <si>
    <t>Design och implementering av programmodul i Java</t>
  </si>
  <si>
    <t>TDDD52</t>
  </si>
  <si>
    <t>Webbprogrammering - grundkurs</t>
  </si>
  <si>
    <t>TSEA28</t>
  </si>
  <si>
    <t>Datorteknik Y</t>
  </si>
  <si>
    <t>TSRT17</t>
  </si>
  <si>
    <t>Systembiologiskt modelleringsprojekt</t>
  </si>
  <si>
    <t>TDDD03</t>
  </si>
  <si>
    <t>Användbarhet i ett ekonomiskt perspektiv</t>
  </si>
  <si>
    <t>studiehandbok@lith</t>
  </si>
  <si>
    <t>Länk till universitetets hemsida</t>
  </si>
  <si>
    <t>Linköpings tekniska högskola</t>
  </si>
  <si>
    <r>
      <t xml:space="preserve">Utbildningsprogram : </t>
    </r>
    <r>
      <rPr>
        <b/>
        <sz val="9"/>
        <color rgb="FF000000"/>
        <rFont val="Arial"/>
        <family val="2"/>
      </rPr>
      <t>I</t>
    </r>
  </si>
  <si>
    <t>*) Kurser som sträcker sig över mer än en läsperiod</t>
  </si>
  <si>
    <t>Kurskod</t>
  </si>
  <si>
    <t>VOF</t>
  </si>
  <si>
    <t>Kurs-hp</t>
  </si>
  <si>
    <t>18*</t>
  </si>
  <si>
    <t>URL</t>
  </si>
  <si>
    <t>TDDC87</t>
  </si>
  <si>
    <t>Orientering i IT infrastukturer</t>
  </si>
  <si>
    <t>TDDC47</t>
  </si>
  <si>
    <t>Realtids- och processprogrammering</t>
  </si>
  <si>
    <t>TDDC65</t>
  </si>
  <si>
    <t>Artificiell intelligens och LISP</t>
  </si>
  <si>
    <t>TDDD16</t>
  </si>
  <si>
    <t>TDDD06</t>
  </si>
  <si>
    <t>Kravhantering</t>
  </si>
  <si>
    <t>1, 1</t>
  </si>
  <si>
    <t>2, 2</t>
  </si>
  <si>
    <t>3, 3, 3, 3</t>
  </si>
  <si>
    <t>1, 1, 2, 2</t>
  </si>
  <si>
    <r>
      <t xml:space="preserve">År : </t>
    </r>
    <r>
      <rPr>
        <b/>
        <sz val="9"/>
        <color rgb="FF000000"/>
        <rFont val="Arial"/>
        <family val="2"/>
      </rPr>
      <t>2014-opeq</t>
    </r>
  </si>
  <si>
    <t>2, 2, 4, 4</t>
  </si>
  <si>
    <t>2009; 2010</t>
  </si>
  <si>
    <t>2, 2; 2, 2</t>
  </si>
  <si>
    <t>1, 1, 2, 2; 1, 1, 2, 2</t>
  </si>
  <si>
    <t>1, 1, 2, 2; 2, 2</t>
  </si>
  <si>
    <t>4, 4, 4, 4; 4, 4</t>
  </si>
  <si>
    <t>3, 3, 1, 1; 3, 3, 1, 1</t>
  </si>
  <si>
    <t>3, 3; 3, 3</t>
  </si>
  <si>
    <t>1, 1; 1, 1; 1, 1</t>
  </si>
  <si>
    <t>2, 2; 2, 2; 2, 2</t>
  </si>
  <si>
    <t>2009; 2010; 2011; 2012</t>
  </si>
  <si>
    <t>1, 1; 1, 1; 1, 1; 1, 1</t>
  </si>
  <si>
    <t>2, 2; 2, 2; 2, 2; 2, 2</t>
  </si>
  <si>
    <t>4, 4; 4, 4; 4, 4; 4, 4</t>
  </si>
  <si>
    <t>3, 3; 3, 3; 3, 3; 3, 3</t>
  </si>
  <si>
    <t>2009; 2010; 2011; 2012; 2013</t>
  </si>
  <si>
    <t>1, 1; 1, 1; 1, 1; 1, 1; 1, 1</t>
  </si>
  <si>
    <t>2, 2; 2, 2; 2, 2; 2, 2; 2, 2</t>
  </si>
  <si>
    <t>2010; 2011; 2012; 2013</t>
  </si>
  <si>
    <t>2011; 2012; 2013</t>
  </si>
  <si>
    <t>1, 1, 2, 2; 1, 1, 2, 2; 1, 1, 2, 2; 1, 1, 2, 2; 1, 1, 2, 2</t>
  </si>
  <si>
    <t>1, 1, 3, 3; 1, 1, 3, 3; 1, 1, 3, 3; 1, 1, 3, 3; 1, 1, 3, 3</t>
  </si>
  <si>
    <t>4, 4; 4, 4; 4, 4; 4, 4; 4, 4</t>
  </si>
  <si>
    <t>3, 3; 3, 3; 3, 3; 3, 3; 3, 3</t>
  </si>
  <si>
    <t>2013; 2014</t>
  </si>
  <si>
    <t>2009; 2010; 2011; 2012; 2013; 2014</t>
  </si>
  <si>
    <t>2; 2; 2; 2; 2, 2; 2, 2</t>
  </si>
  <si>
    <t>1; 1; 1; 1; 1, 1; 1, 1</t>
  </si>
  <si>
    <t>1, 1; 1, 1; 1, 1; 1, 1; 1, 1; 1, 1</t>
  </si>
  <si>
    <t>2, 2; 2, 2; 2, 2; 2, 2; 2, 2; 2, 2</t>
  </si>
  <si>
    <t>2010; 2011; 2012; 2013; 2014</t>
  </si>
  <si>
    <t>4, 4; 4, 4; 4, 4; 4, 4; 4, 4; 4, 4</t>
  </si>
  <si>
    <t>2011; 2012; 2013; 2014</t>
  </si>
  <si>
    <t>1, 1, 2, 2; 1, 1, 2, 2; 1, 1, 2, 2; 1, 1, 2, 2; 1, 1, 2, 2; 1, 1, 2, 2</t>
  </si>
  <si>
    <t>1, 1, 1, 1; 1, 1, 1, 1; 1, 1, 1, 1; 1, 1, 1, 1; 1, 1, 1, 1; 1, 1, 1, 1</t>
  </si>
  <si>
    <t>2, 2, -, -; 2, 2, -, -; 2, 2, -, -; 2, 2, -, -; 2, 2, -, -; 2, 2, -, -</t>
  </si>
  <si>
    <t>1, 1; 1, 1; 3, 3; 3, 3; 3, 3; 3, 3</t>
  </si>
  <si>
    <t>2009; 2014</t>
  </si>
  <si>
    <t>4, 4, 4, 4; 4, 4, 4, 4; 4, 4, 4, 4; 4, 4, 4, 4; 4, 4, 4, 4; 4, 4, 4, 4</t>
  </si>
  <si>
    <t>3, 3; 3, 3; 3, 3; 3, 3; 3, 3; 3, 3</t>
  </si>
  <si>
    <t>TSDT08</t>
  </si>
  <si>
    <t>Signaler och system, del 1</t>
  </si>
  <si>
    <t>TSDT15</t>
  </si>
  <si>
    <t>Signaler och system, del 2</t>
  </si>
  <si>
    <t>TSRT07</t>
  </si>
  <si>
    <t>Industriell reglerteknik</t>
  </si>
  <si>
    <t>TSDT14</t>
  </si>
  <si>
    <t>Signalteori</t>
  </si>
  <si>
    <t>TBMI19</t>
  </si>
  <si>
    <t>Medicinska informationssystem</t>
  </si>
  <si>
    <t>TSBB08</t>
  </si>
  <si>
    <t>Digital bildbehandling grundkurs</t>
  </si>
  <si>
    <t>TSKS01</t>
  </si>
  <si>
    <t>Digital kommunikation</t>
  </si>
  <si>
    <t>TSRT62</t>
  </si>
  <si>
    <t>Modellbygge och simulering</t>
  </si>
  <si>
    <t>TBMI02</t>
  </si>
  <si>
    <t>Medicinsk bildanalys</t>
  </si>
  <si>
    <t>TBMT01</t>
  </si>
  <si>
    <t>Analys av bioelektriska signaler</t>
  </si>
  <si>
    <t>TSBB06</t>
  </si>
  <si>
    <t>Multidimensionell signalanalys</t>
  </si>
  <si>
    <t>TSBB09</t>
  </si>
  <si>
    <t>Bildsensorer</t>
  </si>
  <si>
    <t>TSKS02</t>
  </si>
  <si>
    <t>Telekommunikation</t>
  </si>
  <si>
    <t>TSRT78</t>
  </si>
  <si>
    <t>Digital signalbehandling</t>
  </si>
  <si>
    <t>TBMI26</t>
  </si>
  <si>
    <t>Neuronnät och lärande system</t>
  </si>
  <si>
    <t>TBMT02</t>
  </si>
  <si>
    <t>Bildgenererande teknik inom medicinen</t>
  </si>
  <si>
    <t>TBMT09</t>
  </si>
  <si>
    <t>Fysiologiska tryck och flöden</t>
  </si>
  <si>
    <t>TSBB12</t>
  </si>
  <si>
    <t>Datorseende teori</t>
  </si>
  <si>
    <t>TSBK07</t>
  </si>
  <si>
    <t>Datorgrafik</t>
  </si>
  <si>
    <t>TSBK08</t>
  </si>
  <si>
    <t>Datakompression</t>
  </si>
  <si>
    <t>TSKS03</t>
  </si>
  <si>
    <t>Trådlösa system</t>
  </si>
  <si>
    <t>TSKS04</t>
  </si>
  <si>
    <t>Digital kommunikation fk</t>
  </si>
  <si>
    <t>TSRT09</t>
  </si>
  <si>
    <t>Reglerteori</t>
  </si>
  <si>
    <t>TSBK02</t>
  </si>
  <si>
    <t>Bild- och ljudkodning</t>
  </si>
  <si>
    <t>TSDT74</t>
  </si>
  <si>
    <t>Radiokommunikation</t>
  </si>
  <si>
    <t>TSEA43</t>
  </si>
  <si>
    <t>Digital konstruktion</t>
  </si>
  <si>
    <t>TSFS06</t>
  </si>
  <si>
    <t>Diagnos och övervakning</t>
  </si>
  <si>
    <t>TSRT14</t>
  </si>
  <si>
    <t>Sensorfusion</t>
  </si>
  <si>
    <t>TSTE06</t>
  </si>
  <si>
    <t>Digitala filter</t>
  </si>
  <si>
    <t>TSDT16</t>
  </si>
  <si>
    <t>Felrättande koder</t>
  </si>
  <si>
    <t>TSIN01</t>
  </si>
  <si>
    <t>Informationsnät</t>
  </si>
  <si>
    <t>TSRT08</t>
  </si>
  <si>
    <t>Optimal styrning</t>
  </si>
  <si>
    <t>TBMT24</t>
  </si>
  <si>
    <t>Intensivvård och terapeutiska system</t>
  </si>
  <si>
    <t>2; 2</t>
  </si>
  <si>
    <t>1; 1</t>
  </si>
  <si>
    <t>2, 2; 2, 2; 2, 2; 2, 2; 2, 2, 2, 2</t>
  </si>
  <si>
    <t>4, 4; 4, 4</t>
  </si>
  <si>
    <t>2, 2; 1, 1, 2, 2</t>
  </si>
  <si>
    <t>3, 3; 2, 2, 3, 3</t>
  </si>
  <si>
    <t>4, 4, 4, 4; 4, 4, 4, 4</t>
  </si>
  <si>
    <t>TMES09</t>
  </si>
  <si>
    <t>Industriella energisystem</t>
  </si>
  <si>
    <t>TMIA12</t>
  </si>
  <si>
    <t>Produktutveckling och ergonomi</t>
  </si>
  <si>
    <t>TMKT43</t>
  </si>
  <si>
    <t>Produktdesign</t>
  </si>
  <si>
    <t>TMPS19</t>
  </si>
  <si>
    <t>TMTS23</t>
  </si>
  <si>
    <t>Träteknik</t>
  </si>
  <si>
    <t>TMES25</t>
  </si>
  <si>
    <t>Energiresurser</t>
  </si>
  <si>
    <t>TMHL03</t>
  </si>
  <si>
    <t>Hållfasthetslära; Lätta konstruktioner</t>
  </si>
  <si>
    <t>TMKM90</t>
  </si>
  <si>
    <t>Konstruktionsmaterial - deformation och brott</t>
  </si>
  <si>
    <t>TMMV54</t>
  </si>
  <si>
    <t>Värmeöverföring</t>
  </si>
  <si>
    <t>TMPS18</t>
  </si>
  <si>
    <t>Konstruktionsmetodik</t>
  </si>
  <si>
    <t>TMPS21</t>
  </si>
  <si>
    <t>Datoriserad produktionsutrustning</t>
  </si>
  <si>
    <t>TEIO11</t>
  </si>
  <si>
    <t>Produktdesign - projekt</t>
  </si>
  <si>
    <t>TMES17</t>
  </si>
  <si>
    <t>Building Energy Systems</t>
  </si>
  <si>
    <t>TMKT48</t>
  </si>
  <si>
    <t>Konstruktionsoptimering</t>
  </si>
  <si>
    <t>TMKT49</t>
  </si>
  <si>
    <t>Formgivning</t>
  </si>
  <si>
    <t>TMMS30</t>
  </si>
  <si>
    <t>Flerkroppsmekanik och robotik</t>
  </si>
  <si>
    <t>TMMV08</t>
  </si>
  <si>
    <t>Beräkningsmetoder i strömningslära</t>
  </si>
  <si>
    <t>TMPS22</t>
  </si>
  <si>
    <t>Monteringsteknik</t>
  </si>
  <si>
    <t>TMTS52</t>
  </si>
  <si>
    <t>Möbeldesign och träteknisk produktutveckling</t>
  </si>
  <si>
    <t>TMKT57</t>
  </si>
  <si>
    <t>Produktmodellering</t>
  </si>
  <si>
    <t>TMME11</t>
  </si>
  <si>
    <t>Markfordonsmekanik</t>
  </si>
  <si>
    <t>TMME19</t>
  </si>
  <si>
    <t>Mekanik fk</t>
  </si>
  <si>
    <t>TMPS23</t>
  </si>
  <si>
    <t>Konstruktionsprojekt</t>
  </si>
  <si>
    <t>TMPS27</t>
  </si>
  <si>
    <t>Produktionssystem</t>
  </si>
  <si>
    <t>TMPM01</t>
  </si>
  <si>
    <t>Projektkurs avancerad - maskinteknik</t>
  </si>
  <si>
    <t>TMPS24</t>
  </si>
  <si>
    <t>Datorstödd produktframställning</t>
  </si>
  <si>
    <t>3, 3, 1, 1</t>
  </si>
  <si>
    <t>-, -</t>
  </si>
  <si>
    <t>TMEL09</t>
  </si>
  <si>
    <t>Elkraftteknik</t>
  </si>
  <si>
    <t>TMTS07</t>
  </si>
  <si>
    <t>Träteknik - material och industriell förädling</t>
  </si>
  <si>
    <t>TMMS09</t>
  </si>
  <si>
    <t>Strömningslära</t>
  </si>
  <si>
    <t>TMMV01</t>
  </si>
  <si>
    <t>Aerodynamik</t>
  </si>
  <si>
    <t>TMMV07</t>
  </si>
  <si>
    <t>Beräkningsmetoder i strömningslära fk</t>
  </si>
  <si>
    <t>TMES22</t>
  </si>
  <si>
    <t>International Energy Markets</t>
  </si>
  <si>
    <t>-, -, -, -; -, -, -, -</t>
  </si>
  <si>
    <t>TMES27</t>
  </si>
  <si>
    <t>Modellering av energisystem</t>
  </si>
  <si>
    <t>TKMJ10</t>
  </si>
  <si>
    <t>Industriell ekologi</t>
  </si>
  <si>
    <t>TKMJ29</t>
  </si>
  <si>
    <t>Resurseffektiva produkter</t>
  </si>
  <si>
    <t>TKMJ31</t>
  </si>
  <si>
    <t>Biofuels for Transportation</t>
  </si>
  <si>
    <t>TKMJ32</t>
  </si>
  <si>
    <t>Integrerad produkt- och tjänsteutveckling</t>
  </si>
  <si>
    <t>2009; 2010; 2011</t>
  </si>
  <si>
    <t>2; 2; 2</t>
  </si>
  <si>
    <t>1; 1; 1</t>
  </si>
  <si>
    <t>3, 3; 3, 3; 3, 3</t>
  </si>
  <si>
    <t>1, 1, 2, 2; 1, 1, 2, 2; 1, 1, 2, 2</t>
  </si>
  <si>
    <t>4, 4; 4, 4; 4, 4</t>
  </si>
  <si>
    <t>2010; 2011</t>
  </si>
  <si>
    <t>2; 2; 2; 2</t>
  </si>
  <si>
    <t>1; 1; 1; 1</t>
  </si>
  <si>
    <t>1, 1, 2, 2; 1, 1, 2, 2; 1, 1, 2, 2; 1, 1, 2, 2</t>
  </si>
  <si>
    <t>3, 3, 1, 1; 3, 3, 1, 1; 3, 3, 1, 1; 3, 3, 1, 1</t>
  </si>
  <si>
    <t>2011; 2012</t>
  </si>
  <si>
    <t>2010; 2011; 2012</t>
  </si>
  <si>
    <t>4, 4, 3, 3; 4, 4, 3, 3; 4, 4, 3, 3; 4, 4, 3, 3</t>
  </si>
  <si>
    <t>TMKT76</t>
  </si>
  <si>
    <t>Industridesign</t>
  </si>
  <si>
    <t>2; 2; 2; 2; 2</t>
  </si>
  <si>
    <t>1; 1; 1; 1; 1</t>
  </si>
  <si>
    <t>2; 2; 2; 2; 2, 2</t>
  </si>
  <si>
    <t>1; 1; 1; 1; 1, 1</t>
  </si>
  <si>
    <t>2012; 2013</t>
  </si>
  <si>
    <t>TMPS32</t>
  </si>
  <si>
    <t>Kandidatprojekt maskinteknik</t>
  </si>
  <si>
    <t>TMKT80</t>
  </si>
  <si>
    <t>Träteknik - Material</t>
  </si>
  <si>
    <t>TMKT71</t>
  </si>
  <si>
    <t>Affektiv produktutveckling</t>
  </si>
  <si>
    <t>TMKT81</t>
  </si>
  <si>
    <t>Träteknik - Produktframtagning</t>
  </si>
  <si>
    <t>TANA18</t>
  </si>
  <si>
    <t>Beräkningsmatematik</t>
  </si>
  <si>
    <t>TMHL62</t>
  </si>
  <si>
    <t>Finita Elementmetoden FEM, fortsättningskurs</t>
  </si>
  <si>
    <t>TMKM02</t>
  </si>
  <si>
    <t>Konstruktionsmaterial - materialoptimering</t>
  </si>
  <si>
    <t>TMME40</t>
  </si>
  <si>
    <t>Strukturdynamik</t>
  </si>
  <si>
    <t>TMMS11</t>
  </si>
  <si>
    <t>Mekanikmodeller</t>
  </si>
  <si>
    <t>TMHL61</t>
  </si>
  <si>
    <t>Materialmekanik - Skademekanik och livslängdsanalys</t>
  </si>
  <si>
    <t>TMMS20</t>
  </si>
  <si>
    <t>Strukturoptimering</t>
  </si>
  <si>
    <t>3, 3, 1, 1; 3, 3, 1, 1; 3, 3, 1, 1; 3, 3, 1, 1; 3, 3, 1, 1; 3, 3, 1, 1</t>
  </si>
  <si>
    <t>2, 2; 2, 2; 2, 2; 2, 2; 2, 2; 1, 1</t>
  </si>
  <si>
    <t>2, 2; 2, 2; 1, 1; 1, 1; 1, 1; 1, 1</t>
  </si>
  <si>
    <t>3, 3; 3, 3; 1, 1; 1, 1; 1, 1; 1, 1</t>
  </si>
  <si>
    <t>-, -, -, -; -, -, -, -; -, -, -, -; -, -, -, -; -, -, -, -; -, -, -, -</t>
  </si>
  <si>
    <t>TKMJ39</t>
  </si>
  <si>
    <t>Resurseffektiva produkter och produktion</t>
  </si>
  <si>
    <t>TMMV16</t>
  </si>
  <si>
    <t>Kandidatprojekt energiteknik</t>
  </si>
  <si>
    <t>TATA51</t>
  </si>
  <si>
    <t>Matematiska modeller i bioteknik</t>
  </si>
  <si>
    <t>TFKE16</t>
  </si>
  <si>
    <t>Kemi</t>
  </si>
  <si>
    <t>TVMB20</t>
  </si>
  <si>
    <t>Tillämpad cellbiologi</t>
  </si>
  <si>
    <t>TVMB24</t>
  </si>
  <si>
    <t>Teknisk mikrobiologi och immunologi</t>
  </si>
  <si>
    <t>TVMB18</t>
  </si>
  <si>
    <t>Molekylär virologi</t>
  </si>
  <si>
    <t>TAMS12</t>
  </si>
  <si>
    <t>Biostatistik</t>
  </si>
  <si>
    <t>TFTB29</t>
  </si>
  <si>
    <t>Bioinformatik - översikt och praktiska tillämpningar</t>
  </si>
  <si>
    <t>TMMS07</t>
  </si>
  <si>
    <t>Biomekanik</t>
  </si>
  <si>
    <t>TVCB02</t>
  </si>
  <si>
    <t>Genteknik och molekylärgenetik</t>
  </si>
  <si>
    <t>TVCB07</t>
  </si>
  <si>
    <t>Celltillväxt och celldifferentiering</t>
  </si>
  <si>
    <t>TFYA45</t>
  </si>
  <si>
    <t>Projektkurs i bioteknik</t>
  </si>
  <si>
    <t>TFTB34</t>
  </si>
  <si>
    <t>Biosensorteknik</t>
  </si>
  <si>
    <t>TVCB09</t>
  </si>
  <si>
    <t>Cellbiologisk metodik</t>
  </si>
  <si>
    <t>TVMB23</t>
  </si>
  <si>
    <t>Bioteknisk metodik</t>
  </si>
  <si>
    <t>TFTB37</t>
  </si>
  <si>
    <t>Material i medicin</t>
  </si>
  <si>
    <t>TVMB19</t>
  </si>
  <si>
    <t>Tillämpad genteknik</t>
  </si>
  <si>
    <t>2+3, 2+3</t>
  </si>
  <si>
    <t>TFTB40</t>
  </si>
  <si>
    <t>Biomedicinska material</t>
  </si>
  <si>
    <t>TVMB25</t>
  </si>
  <si>
    <t>Tillämpad bioteknik i samhället</t>
  </si>
  <si>
    <t>3+4, 3+4; 3+4, 3+4</t>
  </si>
  <si>
    <t>TBMT32</t>
  </si>
  <si>
    <t>Medicintekniska utblickar</t>
  </si>
  <si>
    <t>TVMB17</t>
  </si>
  <si>
    <t>Immunbiologi och immunologiska tekniker</t>
  </si>
  <si>
    <t>TATM38</t>
  </si>
  <si>
    <t>Matematiska modeller i biologi</t>
  </si>
  <si>
    <t>1,2, 1,2; 1+2, 1+2; 1+2, 1+2</t>
  </si>
  <si>
    <t>TAMS38</t>
  </si>
  <si>
    <t>Försöksplanering och biostatistik</t>
  </si>
  <si>
    <t>TFTB44</t>
  </si>
  <si>
    <t>Bioinformatik</t>
  </si>
  <si>
    <t>TVCB11</t>
  </si>
  <si>
    <t>2, 2, 3, 3; 2, 2, 3, 3; 2, 2, 3, 3</t>
  </si>
  <si>
    <t>TFBI11</t>
  </si>
  <si>
    <t>Genetik och evolution</t>
  </si>
  <si>
    <t>TFBI22</t>
  </si>
  <si>
    <t>Cellbiologi och mikrobiella processer</t>
  </si>
  <si>
    <t>NBIB45</t>
  </si>
  <si>
    <t>Fysiologiska principer och etik</t>
  </si>
  <si>
    <t>2+1</t>
  </si>
  <si>
    <t>TBMT34</t>
  </si>
  <si>
    <t>Kandidatprojekt bioteknik</t>
  </si>
  <si>
    <t>16*</t>
  </si>
  <si>
    <t>TBMT19</t>
  </si>
  <si>
    <t>Systembiologisk modellering</t>
  </si>
  <si>
    <t>2+3+4</t>
  </si>
  <si>
    <t>TFYA62</t>
  </si>
  <si>
    <t>Introduktion till biosensorteknik</t>
  </si>
  <si>
    <t>2+1, 2+1</t>
  </si>
  <si>
    <t>3+2, 3+2; 3+2, 3+2; 3+2, 3+2; 3+2, 3+2</t>
  </si>
  <si>
    <t>2+4, 2+4; 2+4, 2+4; 2+4, 2+4; 2+4, 2+4</t>
  </si>
  <si>
    <t>2, 2, 2+3+4, 2+3+4</t>
  </si>
  <si>
    <t>1+2, 1+2; 1+2, 1+2; 1+2, 1+2; 1+2, 1+2</t>
  </si>
  <si>
    <t>1+3, 1+3; 1+3, 1+3; 1+3, 1+3; 1+3, 1+3; 1+4, 1+4; 1+4, 1+4</t>
  </si>
  <si>
    <t>1+3, 1+3; 1+4, 1+4</t>
  </si>
  <si>
    <t>2+3, 2+3; 2+3, 2+3; 2+3, 2+3; 3, 3; 3, 3</t>
  </si>
  <si>
    <t>3, 3; 3, 3; 3, 3; 3, 3; 3, 3, 3, 3</t>
  </si>
  <si>
    <t>1, 1; 1, 1; 1, 1; 1, 1; 1, 1; 1, 1, 1, 1</t>
  </si>
  <si>
    <t>2, 2; 2, 2; 2, 2; 2, 2, 2, 2</t>
  </si>
  <si>
    <t>3, 3; 3, 3; 3, 3; 3, 3, 3, 3</t>
  </si>
  <si>
    <t>1, 1; 1, 1; 1, 1; 1, 1, 1, 1</t>
  </si>
  <si>
    <t>4, 4; 4, 4; 4, 4; 4, 4, 4, 4</t>
  </si>
  <si>
    <t>2, 2, 2, 2</t>
  </si>
  <si>
    <t>4, 4, 4, 4; 4, 4, 4, 4; 4, 4, 4, 4</t>
  </si>
  <si>
    <t>Energiteknik; Systemteknik</t>
  </si>
  <si>
    <t>Bioteknik; Energiteknik; Systemteknik</t>
  </si>
  <si>
    <t>Bioteknik; Systemteknik</t>
  </si>
  <si>
    <t>2014; 2009; 2010; 2011; 2012; 2013</t>
  </si>
  <si>
    <t>2014; 2011; 2012; 2013</t>
  </si>
  <si>
    <t>2014; 2010; 2011; 2012; 2013</t>
  </si>
  <si>
    <t>2014; 2013</t>
  </si>
  <si>
    <t>4, 4; 4, 4; 4, 4; 4, 4; 4, 4, 4, 4</t>
  </si>
  <si>
    <t>TDEI09</t>
  </si>
  <si>
    <t>Strategiska IT-tillämpningar: e-business och knowledge management</t>
  </si>
  <si>
    <t>TDEI19</t>
  </si>
  <si>
    <t>Ekonomisk styrning</t>
  </si>
  <si>
    <t>TDEI13</t>
  </si>
  <si>
    <t>Affärssystem: process och implementering</t>
  </si>
  <si>
    <t>TDEI21</t>
  </si>
  <si>
    <t>Strategisk organisatorisk IT-användning – workflow och knowledge management</t>
  </si>
  <si>
    <t>TDEI35</t>
  </si>
  <si>
    <t>Strategisk ekonomistyrning: Modeller för en stärkt konkurrenskraft</t>
  </si>
  <si>
    <t>TDEI38</t>
  </si>
  <si>
    <t>Ekonomiska perspektiv på IT-användning - för individ, organisation och samhälle</t>
  </si>
  <si>
    <t>TDDC34</t>
  </si>
  <si>
    <t>Teknisk, ekonomisk och samhällelig utvärdering av IT-produkter</t>
  </si>
  <si>
    <t>2012; 2013; 2014</t>
  </si>
  <si>
    <t>2, 2; 1, 1; 1, 1</t>
  </si>
  <si>
    <t>1, 1; 2, 2; 2, 2</t>
  </si>
  <si>
    <t>TPPE29</t>
  </si>
  <si>
    <t>Finansiella marknader och instrument</t>
  </si>
  <si>
    <t>TPPE32</t>
  </si>
  <si>
    <t>Finansiell riskhantering</t>
  </si>
  <si>
    <t>TPPE53</t>
  </si>
  <si>
    <t>Finansiell värderingsmetodik</t>
  </si>
  <si>
    <t>TPPE33</t>
  </si>
  <si>
    <t>Portföljförvaltning</t>
  </si>
  <si>
    <t>TPPE61</t>
  </si>
  <si>
    <t>Finansiell optimering</t>
  </si>
  <si>
    <t>TPPE66</t>
  </si>
  <si>
    <t>Företagsvärdering</t>
  </si>
  <si>
    <t>TEIE72</t>
  </si>
  <si>
    <t>Affärsstrategier</t>
  </si>
  <si>
    <t>TEIE42</t>
  </si>
  <si>
    <t>Industriell försäljning</t>
  </si>
  <si>
    <t>TEIM10</t>
  </si>
  <si>
    <t>Industriell tjänsteutveckling</t>
  </si>
  <si>
    <t>TEIM07</t>
  </si>
  <si>
    <t>Industriell marknadsanalys</t>
  </si>
  <si>
    <t>TEIM04</t>
  </si>
  <si>
    <t>Industriella marknads- och teknikstrategier</t>
  </si>
  <si>
    <t>4, 4, 4, 4; 2, 2, 2, 2; 2, 2, 2, 2</t>
  </si>
  <si>
    <t>TMQU12</t>
  </si>
  <si>
    <t>Lean Production</t>
  </si>
  <si>
    <t>TMQU04</t>
  </si>
  <si>
    <t>Six Sigma Quality</t>
  </si>
  <si>
    <t>TMQU06</t>
  </si>
  <si>
    <t>Kvalitets- och processutveckling</t>
  </si>
  <si>
    <t>TMPI01</t>
  </si>
  <si>
    <t>Projektkurs avancerad - industriell ekonomi</t>
  </si>
  <si>
    <t>TMQU27</t>
  </si>
  <si>
    <t>Kvalitetsutveckling - projektkurs</t>
  </si>
  <si>
    <t>TMQU13</t>
  </si>
  <si>
    <t>Kundfokuserad produkt- och tjänsteutveckling</t>
  </si>
  <si>
    <t>TMQU31</t>
  </si>
  <si>
    <t>Statistisk kvalitetsstyrning</t>
  </si>
  <si>
    <t>TETS56</t>
  </si>
  <si>
    <t>Logistik och kvalitet inom vården</t>
  </si>
  <si>
    <t xml:space="preserve">, , , ; , , , ; , , , </t>
  </si>
  <si>
    <t>4, 4, 4, 4; 4, 4, 4, 4; 2, 2, 4, 4</t>
  </si>
  <si>
    <t>TETS23</t>
  </si>
  <si>
    <t>Inköp</t>
  </si>
  <si>
    <t>TETS27</t>
  </si>
  <si>
    <t>Supply Chain Logistics</t>
  </si>
  <si>
    <t>TETS36</t>
  </si>
  <si>
    <t>Hållbara logistiksystem</t>
  </si>
  <si>
    <t>TETS32</t>
  </si>
  <si>
    <t>Logistikanalys - verktyg och modeller</t>
  </si>
  <si>
    <t>TETS38</t>
  </si>
  <si>
    <t>Logistikprojekt</t>
  </si>
  <si>
    <t>TETS31</t>
  </si>
  <si>
    <t>Logistikstrategier</t>
  </si>
  <si>
    <t>Kvalitets- och verksamhetsutveckling; Logistik</t>
  </si>
  <si>
    <t>2, 2; 2, 2; 2, 2, 2, 2</t>
  </si>
  <si>
    <t>4, 4; 4, 4; 4, 4, 4, 4</t>
  </si>
  <si>
    <t>4, 4, 2, 2; 4, 4, 2, 2; 4, 4, 2, 2</t>
  </si>
  <si>
    <t>TPPE16</t>
  </si>
  <si>
    <t>Produktionsstrategier</t>
  </si>
  <si>
    <t>TPPE21</t>
  </si>
  <si>
    <t>Produktionslogistik</t>
  </si>
  <si>
    <t>TPPE54</t>
  </si>
  <si>
    <t>Avancerad planeringsteknik</t>
  </si>
  <si>
    <t>TPPE19</t>
  </si>
  <si>
    <t>Analys och utveckling av produktionsverksamhet</t>
  </si>
  <si>
    <t>TPPE73</t>
  </si>
  <si>
    <t>Produktionsledningsprojekt</t>
  </si>
  <si>
    <t>4, 4; 4, 4; 1, 1</t>
  </si>
  <si>
    <t>TEIO02</t>
  </si>
  <si>
    <t>Produktutveckling och innovationsledning</t>
  </si>
  <si>
    <t>TEIO07</t>
  </si>
  <si>
    <t>Avancerad projektverksamhet</t>
  </si>
  <si>
    <t>TEIO13</t>
  </si>
  <si>
    <t>Ledarskap och industriellt förändringsarbete</t>
  </si>
  <si>
    <t>TEIO06</t>
  </si>
  <si>
    <t>Innovativt entreprenörskap</t>
  </si>
  <si>
    <t>TEIO90</t>
  </si>
  <si>
    <t>Innovationsledning</t>
  </si>
  <si>
    <t>TEIO89</t>
  </si>
  <si>
    <t>Innovation och entreprenörskap - projektkurs</t>
  </si>
  <si>
    <t>Industriell marknadsföring; Strategi och styrning</t>
  </si>
  <si>
    <t>Ekonomiska informationssystem; Strategi och styrning</t>
  </si>
  <si>
    <t>TEAE10</t>
  </si>
  <si>
    <t>Avancerad strategiutveckling</t>
  </si>
  <si>
    <t>Projekt, innovation och entreprenörskap; Strategi och styrning</t>
  </si>
  <si>
    <t>Produktionsledning; Strategi och styrning</t>
  </si>
  <si>
    <t>1, 1; 2, 2; 2, 2; 2, 2, 2, 2</t>
  </si>
  <si>
    <t>3, 3; 3, 3; 2, 2; 3, 3, 2, 2</t>
  </si>
  <si>
    <r>
      <t xml:space="preserve">Profil/inriktning : </t>
    </r>
    <r>
      <rPr>
        <b/>
        <sz val="9"/>
        <color rgb="FF000000"/>
        <rFont val="Arial"/>
        <family val="2"/>
      </rPr>
      <t>I</t>
    </r>
  </si>
  <si>
    <t>TAMS26</t>
  </si>
  <si>
    <t>Multivariat analys</t>
  </si>
  <si>
    <t>TAMS32</t>
  </si>
  <si>
    <t>Stokastiska processer</t>
  </si>
  <si>
    <t>TATA34</t>
  </si>
  <si>
    <t>Analys, överkurs</t>
  </si>
  <si>
    <t>TATA44</t>
  </si>
  <si>
    <t>Vektoranalys</t>
  </si>
  <si>
    <t>TDEI12</t>
  </si>
  <si>
    <t>TETS28</t>
  </si>
  <si>
    <t>Grundläggande logistik</t>
  </si>
  <si>
    <t>TETS29</t>
  </si>
  <si>
    <t>TMQU03</t>
  </si>
  <si>
    <t>Offensiv kvalitetsutveckling, gk</t>
  </si>
  <si>
    <t>TPPE17</t>
  </si>
  <si>
    <t>Corporate Finance</t>
  </si>
  <si>
    <t>TSTE13</t>
  </si>
  <si>
    <t>Analog konstruktion</t>
  </si>
  <si>
    <t>NMAC22</t>
  </si>
  <si>
    <t>Köteori</t>
  </si>
  <si>
    <t>TAMS33</t>
  </si>
  <si>
    <t>Planering och statistisk analys av experimentella försök</t>
  </si>
  <si>
    <t>TAMS46</t>
  </si>
  <si>
    <t>Sannolikhetslära, fortsättningskurs</t>
  </si>
  <si>
    <t>TAOP04</t>
  </si>
  <si>
    <t>Matematisk optimering</t>
  </si>
  <si>
    <t>TATA60</t>
  </si>
  <si>
    <t>Komplex analys</t>
  </si>
  <si>
    <t>TDEI14</t>
  </si>
  <si>
    <t>Internrevision och Corporate Governance: Principer för kontroll, revisionskoncept och revisionsprocesser</t>
  </si>
  <si>
    <t>TEIE87</t>
  </si>
  <si>
    <t>Industriell tjänstutveckling</t>
  </si>
  <si>
    <t>TGTU36</t>
  </si>
  <si>
    <t>Teknikens utveckling i samhällsperspektiv</t>
  </si>
  <si>
    <t>TAMS29</t>
  </si>
  <si>
    <t>Stokastiska processer för finansmarknadsmodeller</t>
  </si>
  <si>
    <t>TANA08</t>
  </si>
  <si>
    <t>Numeriska metoder II</t>
  </si>
  <si>
    <t>TATA53</t>
  </si>
  <si>
    <t>Linjär algebra, överkurs</t>
  </si>
  <si>
    <t>TEIE88</t>
  </si>
  <si>
    <t>Datajuridisk översiktskurs</t>
  </si>
  <si>
    <t>TEIO16</t>
  </si>
  <si>
    <t>Innovativt entreprenörskap och affärsplanering</t>
  </si>
  <si>
    <t>TGTU01</t>
  </si>
  <si>
    <t>Teknik och etik</t>
  </si>
  <si>
    <t>TGTU02</t>
  </si>
  <si>
    <t>Språklig kommunikation</t>
  </si>
  <si>
    <t>TKMJ15</t>
  </si>
  <si>
    <t>Miljömanagement</t>
  </si>
  <si>
    <t>TMES16</t>
  </si>
  <si>
    <t>Energisystem - projektkurs</t>
  </si>
  <si>
    <t>TMQU07</t>
  </si>
  <si>
    <t>Strategisk kvalitetsledning</t>
  </si>
  <si>
    <t>TSTE08</t>
  </si>
  <si>
    <t>Analoga och tidsdiskreta integrerade kretsar</t>
  </si>
  <si>
    <t>TGTU76</t>
  </si>
  <si>
    <t>Vetenskapsteori</t>
  </si>
  <si>
    <t>TMQU05</t>
  </si>
  <si>
    <t>Kundcentrerad produktutveckling</t>
  </si>
  <si>
    <t>TSTE17</t>
  </si>
  <si>
    <t>Systemkonstruktion CDIO</t>
  </si>
  <si>
    <t>TAOP18</t>
  </si>
  <si>
    <t>Optimering av försörjningskedjor</t>
  </si>
  <si>
    <t>TAOP34</t>
  </si>
  <si>
    <t>Optimering av stora system</t>
  </si>
  <si>
    <t>TETS34</t>
  </si>
  <si>
    <t>1; 4</t>
  </si>
  <si>
    <t>2012; 2013; 2014; 2009; 2010</t>
  </si>
  <si>
    <t>4; 4</t>
  </si>
  <si>
    <t>2011; 2012; 2013; 2014; 2009; 2010</t>
  </si>
  <si>
    <t>3; 3</t>
  </si>
  <si>
    <t>1, 2; 1, 2</t>
  </si>
  <si>
    <t>2014; 2011; 2012; 2013; 2009; 2010</t>
  </si>
  <si>
    <t>TATA45</t>
  </si>
  <si>
    <t>TGTU91</t>
  </si>
  <si>
    <t>Retorik i teori och praktik</t>
  </si>
  <si>
    <t>2012; 2013; 2014; 2010; 2011</t>
  </si>
  <si>
    <t>2012; 2013; 2014; 2009; 2010; 2011</t>
  </si>
  <si>
    <t>2012; 2009; 2010; 2011</t>
  </si>
  <si>
    <t>4; 4; 4</t>
  </si>
  <si>
    <t>1, 2; 1, 2; 1, 2</t>
  </si>
  <si>
    <t>2012; 2013; 2009; 2010; 2011</t>
  </si>
  <si>
    <t>4, 2; 4, 2; 4, 2</t>
  </si>
  <si>
    <t>3; 3; 3</t>
  </si>
  <si>
    <t>2012; 2013; 2014; 2009; 2011</t>
  </si>
  <si>
    <t>2012; 2013; 2014; 2011</t>
  </si>
  <si>
    <t>TETS37</t>
  </si>
  <si>
    <t>TETS41</t>
  </si>
  <si>
    <t>Vårdlogistik</t>
  </si>
  <si>
    <t>4; 4; 4; 4</t>
  </si>
  <si>
    <t>1, 2; 1, 2; 1, 2; 1, 2</t>
  </si>
  <si>
    <t>2; 1, 2; 1, 2; 1, 2</t>
  </si>
  <si>
    <t>3; 3; 3; 3</t>
  </si>
  <si>
    <t>1, 2; 1, 2; 1, 2; 1, 2; 1, 2</t>
  </si>
  <si>
    <t>3; 3; 3; 3; 3</t>
  </si>
  <si>
    <t>2009; 2010; 2012; 2013</t>
  </si>
  <si>
    <t>1; 4; 4; 4</t>
  </si>
  <si>
    <t>1; 1; 1; 1; 1; 1</t>
  </si>
  <si>
    <t>4; 1; 1; 1; 1; 1</t>
  </si>
  <si>
    <t>2009; 2011; 2012; 2014</t>
  </si>
  <si>
    <t>2; 1; 1; 1</t>
  </si>
  <si>
    <t>2; 1; 3; 3</t>
  </si>
  <si>
    <t>2; 2; 2; 2; 2; 2</t>
  </si>
  <si>
    <t>4; 4; 4; 4; 4; 4</t>
  </si>
  <si>
    <t>2009; 2010; 2012; 2014</t>
  </si>
  <si>
    <t>1, 2; 1, 2; 1, 2; 1, 2; 1, 2; 1, 2</t>
  </si>
  <si>
    <t>3, 4; 4, 3; 4, 3; 4, 3; 4, 4; 4, 4</t>
  </si>
  <si>
    <t>1; 1; 1; 1; 1, 2; 1, 2</t>
  </si>
  <si>
    <t>2; 2; 2; 2; 2, 3; 2, 3</t>
  </si>
  <si>
    <t>4, 4; 3, 4; 4, 4</t>
  </si>
  <si>
    <t>2; 1, 2; 1, 2; 1, 2; 1, 2; 1, 2</t>
  </si>
  <si>
    <t>3; 2, 3; 2, 3; 2, 3; 2, 3; 2, 3</t>
  </si>
  <si>
    <t>3; 3; 3; 3; 3; 3</t>
  </si>
  <si>
    <t>4; 4; 4; 4; 4; 1</t>
  </si>
  <si>
    <t>1; 1; 3; 3; 3; 3</t>
  </si>
  <si>
    <t>, ; , ; , ; -, -; -, -; -, -</t>
  </si>
  <si>
    <t>-, -; -, -; -, -; -, -; -, -; -, -</t>
  </si>
  <si>
    <t>4, 1; 4, 1; 4, 1; 4, 1; 4, 1; 4, 1</t>
  </si>
  <si>
    <t>3, 2; 3, 2; 3, 2</t>
  </si>
  <si>
    <t>2009; 2010; 2011; 2012; 2014</t>
  </si>
  <si>
    <t>http://kdb-5.liu.se/liu/lith/studiehandboken/action.lasso?&amp;-response=lot_response.lasso&amp;-op=eq&amp;kp_budget_year=2014&amp;-op=eq&amp;kp_programkod=I&amp;-op=eq&amp;kp_programprofil=I&amp;-op=lt&amp;kp_termin=7</t>
  </si>
  <si>
    <t>TEIE76</t>
  </si>
  <si>
    <t>Nationalekonomi</t>
  </si>
  <si>
    <t>TATA63</t>
  </si>
  <si>
    <t>Matematisk fördjupning</t>
  </si>
  <si>
    <t>TSDT04</t>
  </si>
  <si>
    <t>Linjära system och Matlab</t>
  </si>
  <si>
    <t>TMME18</t>
  </si>
  <si>
    <t>TAMS15</t>
  </si>
  <si>
    <t>Matematisk statistik I, grundkurs</t>
  </si>
  <si>
    <t>TPPE58</t>
  </si>
  <si>
    <t>Reglerteknik I</t>
  </si>
  <si>
    <t>TEIO09</t>
  </si>
  <si>
    <t>3, 1</t>
  </si>
  <si>
    <t>3, 4; 3, 4</t>
  </si>
  <si>
    <t>3, 4; 3, 4; 3, 4</t>
  </si>
  <si>
    <t>3; 4; 4</t>
  </si>
  <si>
    <t>3, 1; 3, 1; 3, 1</t>
  </si>
  <si>
    <t>2013; 2014; 2011; 2012</t>
  </si>
  <si>
    <t>3, 4; 3, 4; 3, 4; 3, 4; 3, 4</t>
  </si>
  <si>
    <t>1, 3; 1, 3; 1, 3; 1, 3; 1, 3</t>
  </si>
  <si>
    <t>TMEL53</t>
  </si>
  <si>
    <t>Digitalteknik M</t>
  </si>
  <si>
    <t>TATA80</t>
  </si>
  <si>
    <t>TSEA57</t>
  </si>
  <si>
    <t>TSEA56</t>
  </si>
  <si>
    <t>Elektronik kandidatprojekt</t>
  </si>
  <si>
    <t>0, 1; 0, 1; 0, 1; 0, 1; 0, 1; 0, 1</t>
  </si>
  <si>
    <t>, 2; , 2; , 2; , 2; , 2; , 2</t>
  </si>
  <si>
    <t>2, 1; 2, 1; 2, 1; 2, 1; 2, 1; 2, 1</t>
  </si>
  <si>
    <t>1, 2+4; 1, 2+4; 1, 2+4; 1, 2+4; 1, 2+4; 1, 2+4</t>
  </si>
  <si>
    <t>3, 3; 3, 3; 3, 3; 3, 4</t>
  </si>
  <si>
    <t>4; 4; 4; 3</t>
  </si>
  <si>
    <t>4, 4; 4, 4; 4, 3; 4, 4; 4, 4; 4, 4</t>
  </si>
  <si>
    <t xml:space="preserve">; ; </t>
  </si>
  <si>
    <t>1; 1; 1; 1; 2; 2</t>
  </si>
  <si>
    <t>4; 4; 3; 3; 3; 3</t>
  </si>
  <si>
    <t>2; 2; 2; 2; 2; 4</t>
  </si>
  <si>
    <t>1; 2</t>
  </si>
  <si>
    <t>a</t>
  </si>
  <si>
    <r>
      <t xml:space="preserve">Importera kurser genom att kopiera in länken från studiehandboken i området till vänster.
För att lägga till enstaka kurser: använd istället verktyget längst ner i </t>
    </r>
    <r>
      <rPr>
        <i/>
        <sz val="10"/>
        <color theme="1" tint="0.24994659260841701"/>
        <rFont val="Bookman Old Style"/>
        <family val="1"/>
        <scheme val="major"/>
      </rPr>
      <t>Programkurser.</t>
    </r>
    <r>
      <rPr>
        <sz val="10"/>
        <color theme="1" tint="0.24994659260841701"/>
        <rFont val="Bookman Old Style"/>
        <family val="1"/>
        <scheme val="major"/>
      </rPr>
      <t xml:space="preserve">
OBS: Importera </t>
    </r>
    <r>
      <rPr>
        <u/>
        <sz val="10"/>
        <color theme="1" tint="0.24994659260841701"/>
        <rFont val="Bookman Old Style"/>
        <family val="1"/>
        <scheme val="major"/>
      </rPr>
      <t>alla</t>
    </r>
    <r>
      <rPr>
        <sz val="10"/>
        <color theme="1" tint="0.24994659260841701"/>
        <rFont val="Bookman Old Style"/>
        <family val="1"/>
        <scheme val="major"/>
      </rPr>
      <t xml:space="preserve"> inriktnings- och profilkurser före kurser för hela programmet.</t>
    </r>
  </si>
  <si>
    <t>Använd arbetsbladet Programkurser för att importera kurser. Använda tabellens filter för att hitta de kurser du ska läsa och dubbelbklicka sedan i kolumn två för att lägga till I din studieplan. 
När du lagt till de kurser du ska läsa så kan du göra mindre förändringar, t.ex. ändra vilken termin du vill läsa kursen under. Datan i din studieplan används sedan för att sammanställa en översikt och detaljerad terminssammanfattning.</t>
  </si>
  <si>
    <t>Block 1</t>
  </si>
  <si>
    <t>Block 2</t>
  </si>
  <si>
    <t>Block 3</t>
  </si>
  <si>
    <t>Block 4</t>
  </si>
  <si>
    <t>Period</t>
  </si>
  <si>
    <t xml:space="preserve">Att göra:
1. Skriv om funktioner för att detektera schemakrockar.  
2. Fixa en detaljerad terminssammanfattning
4. Importera data igen
</t>
  </si>
  <si>
    <t>Antal kurser per block</t>
  </si>
  <si>
    <t>Kurser under varje termin</t>
  </si>
  <si>
    <t>Sammanställning av högskolepoäng</t>
  </si>
  <si>
    <r>
      <t xml:space="preserve">Avsluta kurser genom att lägga till ett betyg i </t>
    </r>
    <r>
      <rPr>
        <i/>
        <sz val="10"/>
        <color theme="1" tint="0.24994659260841701"/>
        <rFont val="Bookman Old Style"/>
        <family val="1"/>
        <scheme val="major"/>
      </rPr>
      <t>Ditt informationsblad</t>
    </r>
    <r>
      <rPr>
        <sz val="10"/>
        <color theme="1" tint="0.24994659260841701"/>
        <rFont val="Bookman Old Style"/>
        <family val="1"/>
        <scheme val="major"/>
      </rPr>
      <t xml:space="preserve">
</t>
    </r>
    <r>
      <rPr>
        <i/>
        <sz val="10"/>
        <color theme="1" tint="0.24994659260841701"/>
        <rFont val="Bookman Old Style"/>
        <family val="1"/>
        <scheme val="major"/>
      </rPr>
      <t>Ditt informationsblad</t>
    </r>
  </si>
  <si>
    <r>
      <t xml:space="preserve">Fördelning av kurser och poäng över terminerna. 
Datakälla för alla diagram är </t>
    </r>
    <r>
      <rPr>
        <i/>
        <sz val="10"/>
        <color theme="1" tint="0.24994659260841701"/>
        <rFont val="Bookman Old Style"/>
        <family val="1"/>
        <scheme val="major"/>
      </rPr>
      <t xml:space="preserve">Ditt informationsblad. </t>
    </r>
    <r>
      <rPr>
        <sz val="10"/>
        <color theme="1" tint="0.24994659260841701"/>
        <rFont val="Bookman Old Style"/>
        <family val="1"/>
        <scheme val="major"/>
      </rPr>
      <t>Gör ändringar där om något inte stämmer för din studieplan.</t>
    </r>
  </si>
</sst>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4" x14ac:knownFonts="1">
    <font>
      <sz val="10"/>
      <color theme="1" tint="0.24994659260841701"/>
      <name val="Bookman Old Style"/>
      <family val="1"/>
      <scheme val="major"/>
    </font>
    <font>
      <sz val="11"/>
      <color theme="1"/>
      <name val="Franklin Gothic Medium"/>
      <family val="2"/>
      <scheme val="minor"/>
    </font>
    <font>
      <b/>
      <sz val="11"/>
      <color theme="3"/>
      <name val="Franklin Gothic Medium"/>
      <family val="2"/>
      <scheme val="minor"/>
    </font>
    <font>
      <b/>
      <sz val="14"/>
      <color theme="3"/>
      <name val="Franklin Gothic Medium"/>
      <family val="2"/>
      <scheme val="minor"/>
    </font>
    <font>
      <sz val="8"/>
      <color theme="1"/>
      <name val="Franklin Gothic Medium"/>
      <family val="2"/>
      <scheme val="minor"/>
    </font>
    <font>
      <sz val="10"/>
      <color theme="1" tint="0.24994659260841701"/>
      <name val="Bookman Old Style"/>
      <family val="1"/>
      <scheme val="major"/>
    </font>
    <font>
      <sz val="26"/>
      <color theme="0"/>
      <name val="Century"/>
      <family val="1"/>
    </font>
    <font>
      <sz val="14"/>
      <color theme="0"/>
      <name val="Century"/>
      <family val="1"/>
    </font>
    <font>
      <sz val="12"/>
      <color theme="1" tint="0.249977111117893"/>
      <name val="Franklin Gothic Medium"/>
      <family val="2"/>
      <scheme val="minor"/>
    </font>
    <font>
      <sz val="11"/>
      <color theme="1" tint="0.24994659260841701"/>
      <name val="Franklin Gothic Medium"/>
      <family val="2"/>
      <scheme val="minor"/>
    </font>
    <font>
      <sz val="10"/>
      <color theme="0"/>
      <name val="Bookman Old Style"/>
      <family val="1"/>
      <scheme val="major"/>
    </font>
    <font>
      <sz val="10"/>
      <color theme="1"/>
      <name val="Bookman Old Style"/>
      <family val="1"/>
      <scheme val="major"/>
    </font>
    <font>
      <b/>
      <sz val="10"/>
      <color theme="0"/>
      <name val="Bookman Old Style"/>
      <family val="1"/>
      <scheme val="major"/>
    </font>
    <font>
      <sz val="11"/>
      <color theme="1" tint="0.24994659260841701"/>
      <name val="Century"/>
      <family val="1"/>
    </font>
    <font>
      <sz val="10"/>
      <color theme="1" tint="0.24994659260841701"/>
      <name val="Century"/>
      <family val="1"/>
    </font>
    <font>
      <sz val="11"/>
      <color theme="1" tint="0.24994659260841701"/>
      <name val="Century"/>
      <family val="1"/>
    </font>
    <font>
      <sz val="11"/>
      <color theme="3"/>
      <name val="Century"/>
      <family val="1"/>
    </font>
    <font>
      <sz val="8"/>
      <color theme="0"/>
      <name val="Century"/>
      <family val="1"/>
    </font>
    <font>
      <b/>
      <sz val="14"/>
      <color theme="3"/>
      <name val="Century"/>
      <family val="1"/>
    </font>
    <font>
      <sz val="10"/>
      <color theme="0"/>
      <name val="Century"/>
      <family val="1"/>
    </font>
    <font>
      <b/>
      <sz val="10"/>
      <color theme="0"/>
      <name val="Century"/>
      <family val="1"/>
    </font>
    <font>
      <sz val="12"/>
      <color theme="1" tint="0.24994659260841701"/>
      <name val="Century"/>
      <family val="1"/>
    </font>
    <font>
      <sz val="10"/>
      <color theme="1" tint="0.24994659260841701"/>
      <name val="Century"/>
      <family val="1"/>
    </font>
    <font>
      <b/>
      <sz val="10"/>
      <color theme="1" tint="0.24994659260841701"/>
      <name val="Bookman Old Style"/>
      <family val="1"/>
      <scheme val="major"/>
    </font>
    <font>
      <b/>
      <sz val="10"/>
      <color theme="1"/>
      <name val="Bookman Old Style"/>
      <family val="1"/>
      <scheme val="major"/>
    </font>
    <font>
      <b/>
      <sz val="11"/>
      <color theme="1" tint="0.24994659260841701"/>
      <name val="Bookman Old Style"/>
      <family val="1"/>
      <scheme val="major"/>
    </font>
    <font>
      <sz val="10"/>
      <name val="Century"/>
      <family val="1"/>
    </font>
    <font>
      <sz val="10"/>
      <color theme="1"/>
      <name val="Century"/>
      <family val="1"/>
    </font>
    <font>
      <sz val="18"/>
      <color theme="1" tint="0.24994659260841701"/>
      <name val="Bookman Old Style"/>
      <family val="1"/>
      <scheme val="major"/>
    </font>
    <font>
      <i/>
      <sz val="10"/>
      <color theme="1" tint="0.24994659260841701"/>
      <name val="Bookman Old Style"/>
      <family val="1"/>
      <scheme val="major"/>
    </font>
    <font>
      <b/>
      <sz val="10"/>
      <name val="Bookman Old Style"/>
      <family val="1"/>
      <scheme val="major"/>
    </font>
    <font>
      <sz val="10"/>
      <name val="Bookman Old Style"/>
      <family val="1"/>
      <scheme val="major"/>
    </font>
    <font>
      <sz val="12"/>
      <color theme="0"/>
      <name val="Bookman Old Style"/>
      <family val="1"/>
      <scheme val="major"/>
    </font>
    <font>
      <b/>
      <sz val="12"/>
      <color theme="0"/>
      <name val="Bookman Old Style"/>
      <family val="1"/>
      <scheme val="major"/>
    </font>
    <font>
      <i/>
      <sz val="10"/>
      <color theme="0"/>
      <name val="Century"/>
      <family val="1"/>
    </font>
    <font>
      <sz val="8"/>
      <color rgb="FF000000"/>
      <name val="Segoe UI"/>
      <family val="2"/>
    </font>
    <font>
      <sz val="10"/>
      <color theme="1" tint="0.24994659260841701"/>
      <name val="Marlett"/>
      <charset val="2"/>
    </font>
    <font>
      <u/>
      <sz val="10"/>
      <color theme="1" tint="0.24994659260841701"/>
      <name val="Bookman Old Style"/>
      <family val="1"/>
      <scheme val="major"/>
    </font>
    <font>
      <sz val="26"/>
      <color theme="1" tint="0.24994659260841701"/>
      <name val="Century"/>
      <family val="1"/>
    </font>
    <font>
      <sz val="16"/>
      <color theme="1" tint="0.24994659260841701"/>
      <name val="Bookman Old Style"/>
      <family val="1"/>
      <scheme val="major"/>
    </font>
    <font>
      <sz val="20"/>
      <color theme="0"/>
      <name val="Century"/>
      <family val="1"/>
    </font>
    <font>
      <sz val="11"/>
      <color theme="0"/>
      <name val="Franklin Gothic Medium"/>
      <family val="2"/>
      <scheme val="minor"/>
    </font>
    <font>
      <sz val="18"/>
      <color theme="1" tint="0.24994659260841701"/>
      <name val="Century"/>
      <family val="1"/>
    </font>
    <font>
      <sz val="20"/>
      <color theme="1" tint="0.24994659260841701"/>
      <name val="Century"/>
      <family val="1"/>
    </font>
    <font>
      <b/>
      <sz val="9"/>
      <color rgb="FF000000"/>
      <name val="Times New Roman"/>
      <family val="1"/>
    </font>
    <font>
      <sz val="9"/>
      <color rgb="FF000000"/>
      <name val="Times New Roman"/>
      <family val="1"/>
    </font>
    <font>
      <u/>
      <sz val="10"/>
      <color theme="10"/>
      <name val="Bookman Old Style"/>
      <family val="1"/>
      <scheme val="major"/>
    </font>
    <font>
      <b/>
      <sz val="24"/>
      <color rgb="FFFFCC66"/>
      <name val="Arial"/>
      <family val="2"/>
    </font>
    <font>
      <sz val="9"/>
      <color rgb="FF000000"/>
      <name val="Arial"/>
      <family val="2"/>
    </font>
    <font>
      <b/>
      <sz val="9"/>
      <color rgb="FF000000"/>
      <name val="Arial"/>
      <family val="2"/>
    </font>
    <font>
      <sz val="14"/>
      <color theme="1" tint="0.24994659260841701"/>
      <name val="Century"/>
      <family val="1"/>
    </font>
    <font>
      <sz val="24"/>
      <color theme="1" tint="0.24994659260841701"/>
      <name val="Century"/>
      <family val="1"/>
    </font>
    <font>
      <sz val="16"/>
      <color theme="1" tint="0.24994659260841701"/>
      <name val="Century"/>
      <family val="1"/>
    </font>
    <font>
      <sz val="10"/>
      <color theme="1" tint="0.24994659260841701"/>
      <name val="Century"/>
    </font>
  </fonts>
  <fills count="13">
    <fill>
      <patternFill patternType="none"/>
    </fill>
    <fill>
      <patternFill patternType="gray125"/>
    </fill>
    <fill>
      <patternFill patternType="solid">
        <fgColor theme="6"/>
        <bgColor indexed="64"/>
      </patternFill>
    </fill>
    <fill>
      <patternFill patternType="solid">
        <fgColor theme="6" tint="-0.499984740745262"/>
        <bgColor indexed="64"/>
      </patternFill>
    </fill>
    <fill>
      <patternFill patternType="solid">
        <fgColor theme="6" tint="-0.499984740745262"/>
        <bgColor theme="6"/>
      </patternFill>
    </fill>
    <fill>
      <patternFill patternType="solid">
        <fgColor theme="0"/>
        <bgColor indexed="64"/>
      </patternFill>
    </fill>
    <fill>
      <patternFill patternType="solid">
        <fgColor theme="0"/>
        <bgColor theme="6"/>
      </patternFill>
    </fill>
    <fill>
      <patternFill patternType="solid">
        <fgColor rgb="FFFFFFFF"/>
        <bgColor indexed="64"/>
      </patternFill>
    </fill>
    <fill>
      <patternFill patternType="solid">
        <fgColor rgb="FFFFC000"/>
        <bgColor indexed="64"/>
      </patternFill>
    </fill>
    <fill>
      <patternFill patternType="solid">
        <fgColor theme="8" tint="-0.249977111117893"/>
        <bgColor indexed="64"/>
      </patternFill>
    </fill>
    <fill>
      <patternFill patternType="solid">
        <fgColor theme="6"/>
      </patternFill>
    </fill>
    <fill>
      <patternFill patternType="solid">
        <fgColor rgb="FFFFCC66"/>
        <bgColor indexed="64"/>
      </patternFill>
    </fill>
    <fill>
      <patternFill patternType="solid">
        <fgColor rgb="FFDDDDDD"/>
        <bgColor indexed="64"/>
      </patternFill>
    </fill>
  </fills>
  <borders count="16">
    <border>
      <left/>
      <right/>
      <top/>
      <bottom/>
      <diagonal/>
    </border>
    <border>
      <left/>
      <right style="thick">
        <color theme="6" tint="-0.499984740745262"/>
      </right>
      <top/>
      <bottom/>
      <diagonal/>
    </border>
    <border>
      <left style="thick">
        <color theme="6" tint="-0.499984740745262"/>
      </left>
      <right/>
      <top/>
      <bottom/>
      <diagonal/>
    </border>
    <border>
      <left/>
      <right/>
      <top style="thin">
        <color theme="8" tint="0.39997558519241921"/>
      </top>
      <bottom/>
      <diagonal/>
    </border>
    <border>
      <left/>
      <right/>
      <top/>
      <bottom style="thin">
        <color indexed="64"/>
      </bottom>
      <diagonal/>
    </border>
    <border>
      <left style="thin">
        <color theme="8" tint="0.39997558519241921"/>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double">
        <color indexed="64"/>
      </bottom>
      <diagonal/>
    </border>
    <border>
      <left/>
      <right/>
      <top/>
      <bottom style="double">
        <color indexed="64"/>
      </bottom>
      <diagonal/>
    </border>
    <border>
      <left style="thin">
        <color theme="8" tint="0.39997558519241921"/>
      </left>
      <right/>
      <top style="thin">
        <color theme="8" tint="0.39997558519241921"/>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top style="medium">
        <color indexed="64"/>
      </top>
      <bottom/>
      <diagonal/>
    </border>
    <border>
      <left/>
      <right/>
      <top/>
      <bottom style="medium">
        <color indexed="64"/>
      </bottom>
      <diagonal/>
    </border>
  </borders>
  <cellStyleXfs count="6">
    <xf numFmtId="0" fontId="0" fillId="0" borderId="0">
      <alignment vertical="center"/>
    </xf>
    <xf numFmtId="0" fontId="6" fillId="2" borderId="0" applyNumberFormat="0" applyBorder="0" applyAlignment="0" applyProtection="0"/>
    <xf numFmtId="0" fontId="2" fillId="0" borderId="0" applyNumberFormat="0" applyFill="0" applyBorder="0" applyAlignment="0" applyProtection="0"/>
    <xf numFmtId="0" fontId="7" fillId="2" borderId="0" applyNumberFormat="0" applyBorder="0" applyAlignment="0" applyProtection="0"/>
    <xf numFmtId="0" fontId="41" fillId="10" borderId="0" applyNumberFormat="0" applyBorder="0" applyAlignment="0" applyProtection="0"/>
    <xf numFmtId="0" fontId="46" fillId="0" borderId="0" applyNumberFormat="0" applyFill="0" applyBorder="0" applyAlignment="0" applyProtection="0">
      <alignment vertical="center"/>
    </xf>
  </cellStyleXfs>
  <cellXfs count="270">
    <xf numFmtId="0" fontId="0" fillId="0" borderId="0" xfId="0">
      <alignment vertical="center"/>
    </xf>
    <xf numFmtId="0" fontId="6" fillId="2" borderId="0" xfId="1" applyAlignment="1">
      <alignment vertical="center"/>
    </xf>
    <xf numFmtId="0" fontId="0" fillId="0" borderId="0" xfId="0" applyAlignment="1">
      <alignment vertical="center"/>
    </xf>
    <xf numFmtId="0" fontId="0" fillId="0" borderId="0" xfId="0" applyAlignment="1">
      <alignment horizontal="center" vertical="center"/>
    </xf>
    <xf numFmtId="0" fontId="7" fillId="2" borderId="0" xfId="3" applyAlignment="1">
      <alignment vertical="center"/>
    </xf>
    <xf numFmtId="0" fontId="6" fillId="2" borderId="0" xfId="1" applyAlignment="1">
      <alignment horizontal="right" vertical="top"/>
    </xf>
    <xf numFmtId="0" fontId="6" fillId="2" borderId="1" xfId="1" applyBorder="1" applyAlignment="1">
      <alignment vertical="center"/>
    </xf>
    <xf numFmtId="0" fontId="0" fillId="0" borderId="0" xfId="0" applyAlignment="1">
      <alignment horizontal="left" vertical="center" indent="1"/>
    </xf>
    <xf numFmtId="0" fontId="0" fillId="2" borderId="0" xfId="0" applyFill="1">
      <alignment vertical="center"/>
    </xf>
    <xf numFmtId="0" fontId="0" fillId="3" borderId="0" xfId="0" applyFill="1" applyAlignment="1">
      <alignment vertical="center"/>
    </xf>
    <xf numFmtId="0" fontId="6" fillId="2" borderId="0" xfId="1" applyAlignment="1">
      <alignment horizontal="left" vertical="center" indent="2"/>
    </xf>
    <xf numFmtId="0" fontId="0" fillId="0" borderId="0" xfId="0" applyFill="1">
      <alignment vertical="center"/>
    </xf>
    <xf numFmtId="0" fontId="9" fillId="0" borderId="0" xfId="0" applyFont="1" applyFill="1" applyAlignment="1">
      <alignment vertical="center"/>
    </xf>
    <xf numFmtId="0" fontId="9" fillId="0" borderId="0" xfId="0" applyFont="1" applyFill="1" applyAlignment="1">
      <alignment horizontal="center" vertical="center"/>
    </xf>
    <xf numFmtId="0" fontId="0" fillId="0" borderId="0" xfId="0" applyFont="1" applyFill="1" applyAlignment="1">
      <alignment vertical="center"/>
    </xf>
    <xf numFmtId="0" fontId="5" fillId="0" borderId="0" xfId="0" applyFont="1" applyFill="1">
      <alignment vertical="center"/>
    </xf>
    <xf numFmtId="0" fontId="5" fillId="0" borderId="0" xfId="0" applyFont="1" applyFill="1" applyAlignment="1">
      <alignment horizontal="center" vertical="center"/>
    </xf>
    <xf numFmtId="0" fontId="5" fillId="0" borderId="0" xfId="0" applyNumberFormat="1" applyFont="1" applyFill="1" applyAlignment="1">
      <alignment horizontal="center" vertical="center"/>
    </xf>
    <xf numFmtId="0" fontId="0" fillId="0" borderId="0" xfId="0" applyFill="1" applyAlignment="1">
      <alignment horizontal="center"/>
    </xf>
    <xf numFmtId="0" fontId="4" fillId="0" borderId="0" xfId="0" applyFont="1" applyFill="1" applyAlignment="1">
      <alignment horizontal="left"/>
    </xf>
    <xf numFmtId="0" fontId="0" fillId="0" borderId="0" xfId="0" applyFill="1" applyAlignment="1">
      <alignment horizontal="center" vertical="center"/>
    </xf>
    <xf numFmtId="0" fontId="10" fillId="4" borderId="0" xfId="0" applyFont="1" applyFill="1" applyBorder="1" applyAlignment="1">
      <alignment horizontal="center" vertical="center"/>
    </xf>
    <xf numFmtId="0" fontId="10" fillId="4" borderId="0" xfId="0" applyFont="1" applyFill="1" applyBorder="1" applyAlignment="1">
      <alignment vertical="center"/>
    </xf>
    <xf numFmtId="0" fontId="6" fillId="5" borderId="0" xfId="1" applyFill="1" applyAlignment="1">
      <alignment vertical="center"/>
    </xf>
    <xf numFmtId="0" fontId="0" fillId="5" borderId="0" xfId="0" applyFill="1">
      <alignment vertical="center"/>
    </xf>
    <xf numFmtId="0" fontId="10" fillId="6" borderId="0" xfId="0" applyFont="1" applyFill="1" applyBorder="1" applyAlignment="1">
      <alignment horizontal="left" vertical="center" indent="3"/>
    </xf>
    <xf numFmtId="0" fontId="10" fillId="6" borderId="0" xfId="0" applyFont="1" applyFill="1" applyBorder="1" applyAlignment="1">
      <alignment horizontal="left" vertical="center" indent="1"/>
    </xf>
    <xf numFmtId="0" fontId="10" fillId="6" borderId="0" xfId="0" applyFont="1" applyFill="1" applyBorder="1" applyAlignment="1">
      <alignment horizontal="center" vertical="center"/>
    </xf>
    <xf numFmtId="0" fontId="10" fillId="5" borderId="0" xfId="0" applyFont="1" applyFill="1" applyBorder="1" applyAlignment="1">
      <alignment vertical="center"/>
    </xf>
    <xf numFmtId="0" fontId="10" fillId="6" borderId="0" xfId="0" applyFont="1" applyFill="1" applyBorder="1" applyAlignment="1">
      <alignment vertical="center"/>
    </xf>
    <xf numFmtId="0" fontId="6" fillId="2" borderId="0" xfId="3" applyFont="1" applyBorder="1" applyAlignment="1">
      <alignment horizontal="left" vertical="center" wrapText="1" indent="1"/>
    </xf>
    <xf numFmtId="0" fontId="12" fillId="4" borderId="3" xfId="0" applyFont="1" applyFill="1" applyBorder="1" applyAlignment="1">
      <alignment horizontal="center" vertical="center"/>
    </xf>
    <xf numFmtId="0" fontId="13" fillId="5" borderId="0" xfId="0" applyFont="1" applyFill="1" applyBorder="1" applyAlignment="1">
      <alignment horizontal="center" vertical="center"/>
    </xf>
    <xf numFmtId="0" fontId="6" fillId="2" borderId="0" xfId="1" applyFont="1" applyAlignment="1">
      <alignment horizontal="center" vertical="center"/>
    </xf>
    <xf numFmtId="0" fontId="6" fillId="2" borderId="0" xfId="3" applyFont="1" applyBorder="1" applyAlignment="1">
      <alignment horizontal="center" vertical="center"/>
    </xf>
    <xf numFmtId="0" fontId="7" fillId="2" borderId="0" xfId="3" applyFont="1" applyAlignment="1">
      <alignment horizontal="center" vertical="center"/>
    </xf>
    <xf numFmtId="0" fontId="14" fillId="0" borderId="0" xfId="0" applyFont="1" applyAlignment="1">
      <alignment horizontal="center" vertical="center"/>
    </xf>
    <xf numFmtId="0" fontId="6" fillId="5" borderId="0" xfId="1" applyFont="1" applyFill="1" applyAlignment="1">
      <alignment horizontal="center" vertical="center"/>
    </xf>
    <xf numFmtId="0" fontId="13" fillId="5" borderId="0" xfId="0" applyFont="1" applyFill="1" applyAlignment="1">
      <alignment horizontal="center" vertical="center"/>
    </xf>
    <xf numFmtId="0" fontId="0" fillId="0" borderId="0" xfId="0" applyAlignment="1">
      <alignment horizontal="left" vertical="center"/>
    </xf>
    <xf numFmtId="0" fontId="13" fillId="5" borderId="0" xfId="0" applyFont="1" applyFill="1" applyBorder="1" applyAlignment="1">
      <alignment horizontal="left" vertical="center"/>
    </xf>
    <xf numFmtId="0" fontId="11" fillId="0" borderId="4" xfId="0" applyFont="1" applyBorder="1" applyAlignment="1">
      <alignment horizontal="center" vertical="center"/>
    </xf>
    <xf numFmtId="0" fontId="13" fillId="5" borderId="0" xfId="0" applyFont="1" applyFill="1" applyAlignment="1">
      <alignment horizontal="left" vertical="center"/>
    </xf>
    <xf numFmtId="0" fontId="17" fillId="2" borderId="0" xfId="1" applyFont="1" applyAlignment="1">
      <alignment horizontal="center" vertical="top"/>
    </xf>
    <xf numFmtId="0" fontId="6" fillId="2" borderId="0" xfId="1" applyFont="1" applyAlignment="1">
      <alignment vertical="center"/>
    </xf>
    <xf numFmtId="0" fontId="14" fillId="2" borderId="0" xfId="0" applyFont="1" applyFill="1">
      <alignment vertical="center"/>
    </xf>
    <xf numFmtId="0" fontId="14" fillId="0" borderId="0" xfId="0" applyFont="1">
      <alignment vertical="center"/>
    </xf>
    <xf numFmtId="0" fontId="6" fillId="2" borderId="0" xfId="1" applyFont="1" applyAlignment="1">
      <alignment horizontal="left" vertical="center" indent="2"/>
    </xf>
    <xf numFmtId="0" fontId="6" fillId="2" borderId="0" xfId="1" applyFont="1" applyAlignment="1">
      <alignment horizontal="center"/>
    </xf>
    <xf numFmtId="0" fontId="6" fillId="2" borderId="0" xfId="1" applyFont="1" applyAlignment="1">
      <alignment horizontal="right" vertical="top"/>
    </xf>
    <xf numFmtId="0" fontId="19" fillId="5" borderId="0" xfId="0" applyFont="1" applyFill="1">
      <alignment vertical="center"/>
    </xf>
    <xf numFmtId="0" fontId="14" fillId="5" borderId="0" xfId="0" applyFont="1" applyFill="1" applyBorder="1" applyAlignment="1">
      <alignment vertical="center"/>
    </xf>
    <xf numFmtId="0" fontId="19" fillId="5" borderId="0" xfId="0" applyFont="1" applyFill="1" applyBorder="1">
      <alignment vertical="center"/>
    </xf>
    <xf numFmtId="0" fontId="14" fillId="0" borderId="0" xfId="0" applyFont="1" applyFill="1">
      <alignment vertical="center"/>
    </xf>
    <xf numFmtId="0" fontId="6" fillId="2" borderId="1" xfId="1" applyFont="1" applyBorder="1" applyAlignment="1">
      <alignment vertical="center"/>
    </xf>
    <xf numFmtId="0" fontId="20" fillId="4" borderId="5" xfId="0" applyFont="1" applyFill="1" applyBorder="1" applyAlignment="1">
      <alignment horizontal="left" vertical="center" indent="3"/>
    </xf>
    <xf numFmtId="0" fontId="20" fillId="4" borderId="0" xfId="0" applyFont="1" applyFill="1" applyBorder="1" applyAlignment="1">
      <alignment horizontal="left" vertical="center" indent="1"/>
    </xf>
    <xf numFmtId="0" fontId="20" fillId="4" borderId="0" xfId="0" applyFont="1" applyFill="1" applyBorder="1" applyAlignment="1">
      <alignment horizontal="center" vertical="center"/>
    </xf>
    <xf numFmtId="0" fontId="20" fillId="3" borderId="0" xfId="0" applyFont="1" applyFill="1" applyBorder="1" applyAlignment="1">
      <alignment horizontal="center" vertical="center"/>
    </xf>
    <xf numFmtId="0" fontId="22" fillId="0" borderId="0" xfId="0" applyFont="1">
      <alignment vertical="center"/>
    </xf>
    <xf numFmtId="0" fontId="0" fillId="0" borderId="0" xfId="0" applyNumberFormat="1">
      <alignment vertical="center"/>
    </xf>
    <xf numFmtId="0" fontId="22" fillId="0" borderId="0" xfId="0" applyFont="1" applyAlignment="1">
      <alignment horizontal="center" vertical="center"/>
    </xf>
    <xf numFmtId="0" fontId="15" fillId="5" borderId="0" xfId="0" applyFont="1" applyFill="1" applyAlignment="1">
      <alignment horizontal="left" vertical="center"/>
    </xf>
    <xf numFmtId="0" fontId="19" fillId="2" borderId="0" xfId="1" applyFont="1" applyAlignment="1">
      <alignment horizontal="center" vertical="center" wrapText="1"/>
    </xf>
    <xf numFmtId="0" fontId="17" fillId="2" borderId="0" xfId="1" applyFont="1" applyAlignment="1">
      <alignment horizontal="left" vertical="center" wrapText="1" indent="1" readingOrder="1"/>
    </xf>
    <xf numFmtId="0" fontId="7" fillId="2" borderId="0" xfId="3" applyFont="1" applyBorder="1" applyAlignment="1">
      <alignment horizontal="left" vertical="center" wrapText="1" indent="1"/>
    </xf>
    <xf numFmtId="0" fontId="23" fillId="0" borderId="0" xfId="0" applyFont="1" applyAlignment="1">
      <alignment horizontal="center" vertical="center"/>
    </xf>
    <xf numFmtId="0" fontId="0" fillId="0" borderId="0" xfId="0" applyFont="1" applyFill="1">
      <alignment vertical="center"/>
    </xf>
    <xf numFmtId="0" fontId="23" fillId="0" borderId="0" xfId="0" applyFont="1" applyBorder="1" applyAlignment="1">
      <alignment horizontal="left" vertical="center"/>
    </xf>
    <xf numFmtId="0" fontId="11" fillId="0" borderId="0" xfId="0" applyFont="1">
      <alignment vertical="center"/>
    </xf>
    <xf numFmtId="0" fontId="0" fillId="0" borderId="0" xfId="0" applyAlignment="1">
      <alignment horizontal="center" vertical="center"/>
    </xf>
    <xf numFmtId="0" fontId="3" fillId="0" borderId="0" xfId="2" applyFont="1" applyAlignment="1">
      <alignment horizontal="left" vertical="top" indent="1"/>
    </xf>
    <xf numFmtId="0" fontId="27" fillId="5" borderId="0" xfId="0" applyFont="1" applyFill="1" applyBorder="1" applyAlignment="1">
      <alignment horizontal="center" vertical="center"/>
    </xf>
    <xf numFmtId="0" fontId="14" fillId="0" borderId="0" xfId="0" applyFont="1" applyFill="1" applyAlignment="1">
      <alignment horizontal="left" vertical="center" indent="5"/>
    </xf>
    <xf numFmtId="0" fontId="6" fillId="2" borderId="2" xfId="3" applyFont="1" applyBorder="1" applyAlignment="1">
      <alignment horizontal="left" vertical="center" wrapText="1" indent="2"/>
    </xf>
    <xf numFmtId="0" fontId="0" fillId="0" borderId="10" xfId="0" applyBorder="1">
      <alignment vertical="center"/>
    </xf>
    <xf numFmtId="0" fontId="1" fillId="0" borderId="0" xfId="0" applyFont="1" applyFill="1" applyBorder="1" applyAlignment="1">
      <alignment horizontal="left" vertical="center" indent="1"/>
    </xf>
    <xf numFmtId="0" fontId="12" fillId="6" borderId="0" xfId="0" applyFont="1" applyFill="1" applyBorder="1" applyAlignment="1">
      <alignment horizontal="center" vertical="center"/>
    </xf>
    <xf numFmtId="0" fontId="10" fillId="5" borderId="0" xfId="0" applyFont="1" applyFill="1" applyAlignment="1">
      <alignment horizontal="center" vertical="center"/>
    </xf>
    <xf numFmtId="0" fontId="0" fillId="0" borderId="0" xfId="0" applyBorder="1" applyAlignment="1">
      <alignment vertical="center" wrapText="1"/>
    </xf>
    <xf numFmtId="0" fontId="10" fillId="0" borderId="0" xfId="0" applyFont="1">
      <alignment vertical="center"/>
    </xf>
    <xf numFmtId="0" fontId="32" fillId="0" borderId="0" xfId="0" applyFont="1" applyAlignment="1">
      <alignment horizontal="center" vertical="center"/>
    </xf>
    <xf numFmtId="0" fontId="33" fillId="0" borderId="0" xfId="0" applyFont="1" applyAlignment="1">
      <alignment horizontal="center" vertical="center"/>
    </xf>
    <xf numFmtId="0" fontId="10" fillId="0" borderId="0" xfId="0" applyFont="1" applyAlignment="1">
      <alignment horizontal="center" vertical="center"/>
    </xf>
    <xf numFmtId="0" fontId="10" fillId="0" borderId="0" xfId="0" applyFont="1" applyBorder="1" applyAlignment="1">
      <alignment horizontal="center" vertical="center"/>
    </xf>
    <xf numFmtId="0" fontId="27" fillId="5" borderId="0" xfId="2" applyFont="1" applyFill="1" applyBorder="1" applyAlignment="1">
      <alignment horizontal="center" vertical="center"/>
    </xf>
    <xf numFmtId="0" fontId="27" fillId="0" borderId="0" xfId="0" applyFont="1" applyAlignment="1">
      <alignment horizontal="center" vertical="center"/>
    </xf>
    <xf numFmtId="0" fontId="26" fillId="0" borderId="0" xfId="0" applyFont="1">
      <alignment vertical="center"/>
    </xf>
    <xf numFmtId="0" fontId="19" fillId="0" borderId="0" xfId="0" applyFont="1" applyFill="1" applyAlignment="1">
      <alignment horizontal="left" vertical="center" indent="5"/>
    </xf>
    <xf numFmtId="0" fontId="19" fillId="0" borderId="0" xfId="0" applyFont="1" applyFill="1">
      <alignment vertical="center"/>
    </xf>
    <xf numFmtId="0" fontId="12" fillId="3" borderId="3" xfId="0" applyFont="1" applyFill="1" applyBorder="1" applyAlignment="1">
      <alignment horizontal="center" vertical="center"/>
    </xf>
    <xf numFmtId="0" fontId="0" fillId="7" borderId="0" xfId="0" applyFill="1">
      <alignment vertical="center"/>
    </xf>
    <xf numFmtId="0" fontId="8" fillId="0" borderId="0" xfId="2" applyFont="1" applyFill="1" applyAlignment="1">
      <alignment horizontal="center" vertical="center"/>
    </xf>
    <xf numFmtId="0" fontId="36" fillId="0" borderId="0" xfId="0" applyFont="1" applyAlignment="1">
      <alignment horizontal="left" vertical="center" indent="3"/>
    </xf>
    <xf numFmtId="0" fontId="0" fillId="0" borderId="0" xfId="0" applyAlignment="1">
      <alignment horizontal="left" indent="1"/>
    </xf>
    <xf numFmtId="0" fontId="0" fillId="0" borderId="0" xfId="0" applyAlignment="1">
      <alignment horizontal="center"/>
    </xf>
    <xf numFmtId="0" fontId="0" fillId="5" borderId="0" xfId="0" applyFill="1" applyAlignment="1">
      <alignment horizontal="center" vertical="center"/>
    </xf>
    <xf numFmtId="0" fontId="0" fillId="5" borderId="0" xfId="0" applyFill="1" applyAlignment="1">
      <alignment vertical="top" wrapText="1"/>
    </xf>
    <xf numFmtId="0" fontId="0" fillId="5" borderId="0" xfId="0" applyFill="1" applyBorder="1" applyAlignment="1">
      <alignment horizontal="center" vertical="top" wrapText="1"/>
    </xf>
    <xf numFmtId="0" fontId="0" fillId="0" borderId="0" xfId="0" applyBorder="1" applyAlignment="1">
      <alignment horizontal="left" vertical="center" wrapText="1"/>
    </xf>
    <xf numFmtId="0" fontId="0" fillId="0" borderId="0" xfId="0" applyBorder="1" applyAlignment="1">
      <alignment horizontal="center" vertical="center"/>
    </xf>
    <xf numFmtId="0" fontId="0" fillId="0" borderId="0" xfId="0" applyAlignment="1">
      <alignment horizontal="left" vertical="center" indent="3"/>
    </xf>
    <xf numFmtId="0" fontId="23" fillId="0" borderId="8" xfId="0" applyFont="1" applyBorder="1" applyAlignment="1">
      <alignment vertical="center"/>
    </xf>
    <xf numFmtId="0" fontId="6" fillId="2" borderId="0" xfId="1" applyBorder="1" applyAlignment="1">
      <alignment horizontal="left" vertical="center" indent="2"/>
    </xf>
    <xf numFmtId="0" fontId="3" fillId="0" borderId="0" xfId="2" applyFont="1" applyAlignment="1">
      <alignment horizontal="left" vertical="top" indent="1"/>
    </xf>
    <xf numFmtId="0" fontId="25" fillId="0" borderId="0" xfId="0" applyFont="1" applyAlignment="1">
      <alignment horizontal="left" vertical="center"/>
    </xf>
    <xf numFmtId="0" fontId="6" fillId="2" borderId="0" xfId="3" quotePrefix="1" applyFont="1" applyBorder="1" applyAlignment="1">
      <alignment horizontal="left" vertical="center" wrapText="1" indent="2"/>
    </xf>
    <xf numFmtId="0" fontId="0" fillId="5" borderId="0" xfId="0" applyFill="1" applyAlignment="1">
      <alignment horizontal="center" vertical="top" wrapText="1"/>
    </xf>
    <xf numFmtId="0" fontId="0" fillId="0" borderId="8" xfId="0" applyBorder="1">
      <alignment vertical="center"/>
    </xf>
    <xf numFmtId="0" fontId="10" fillId="5" borderId="0" xfId="0" applyFont="1" applyFill="1">
      <alignment vertical="center"/>
    </xf>
    <xf numFmtId="0" fontId="6" fillId="5" borderId="0" xfId="3" quotePrefix="1" applyFont="1" applyFill="1" applyBorder="1" applyAlignment="1">
      <alignment vertical="center" wrapText="1"/>
    </xf>
    <xf numFmtId="0" fontId="0" fillId="5" borderId="0" xfId="0" applyFill="1" applyAlignment="1">
      <alignment horizontal="center" vertical="center"/>
    </xf>
    <xf numFmtId="0" fontId="0" fillId="5" borderId="0" xfId="0" applyFill="1" applyAlignment="1">
      <alignment vertical="center"/>
    </xf>
    <xf numFmtId="0" fontId="0" fillId="5" borderId="0" xfId="0" applyFill="1" applyBorder="1" applyAlignment="1">
      <alignment vertical="center" wrapText="1"/>
    </xf>
    <xf numFmtId="0" fontId="0" fillId="5" borderId="0" xfId="0" applyFill="1" applyBorder="1">
      <alignment vertical="center"/>
    </xf>
    <xf numFmtId="0" fontId="38" fillId="5" borderId="0" xfId="0" applyFont="1" applyFill="1" applyAlignment="1">
      <alignment horizontal="right" vertical="top" wrapText="1"/>
    </xf>
    <xf numFmtId="0" fontId="28" fillId="5" borderId="0" xfId="0" applyFont="1" applyFill="1">
      <alignment vertical="center"/>
    </xf>
    <xf numFmtId="0" fontId="0" fillId="5" borderId="0" xfId="0" quotePrefix="1" applyFill="1">
      <alignment vertical="center"/>
    </xf>
    <xf numFmtId="0" fontId="39" fillId="5" borderId="0" xfId="0" applyFont="1" applyFill="1">
      <alignment vertical="center"/>
    </xf>
    <xf numFmtId="0" fontId="0" fillId="8" borderId="0" xfId="0" applyFill="1">
      <alignment vertical="center"/>
    </xf>
    <xf numFmtId="0" fontId="10" fillId="5" borderId="0" xfId="0" applyNumberFormat="1" applyFont="1" applyFill="1" applyAlignment="1">
      <alignment horizontal="center" vertical="center"/>
    </xf>
    <xf numFmtId="0" fontId="10" fillId="9" borderId="0" xfId="0" applyFont="1" applyFill="1">
      <alignment vertical="center"/>
    </xf>
    <xf numFmtId="0" fontId="40" fillId="2" borderId="0" xfId="1" applyFont="1" applyAlignment="1">
      <alignment horizontal="center" vertical="center" wrapText="1"/>
    </xf>
    <xf numFmtId="0" fontId="16" fillId="5" borderId="12" xfId="0" applyFont="1" applyFill="1" applyBorder="1" applyAlignment="1">
      <alignment horizontal="center" vertical="center"/>
    </xf>
    <xf numFmtId="0" fontId="31" fillId="5" borderId="0" xfId="0" applyFont="1" applyFill="1" applyBorder="1" applyAlignment="1">
      <alignment horizontal="center"/>
    </xf>
    <xf numFmtId="0" fontId="24" fillId="5" borderId="0" xfId="0" applyFont="1" applyFill="1" applyBorder="1" applyAlignment="1">
      <alignment horizontal="center"/>
    </xf>
    <xf numFmtId="0" fontId="30" fillId="6" borderId="0" xfId="0" applyFont="1" applyFill="1" applyBorder="1" applyAlignment="1">
      <alignment horizontal="center"/>
    </xf>
    <xf numFmtId="0" fontId="6" fillId="2" borderId="0" xfId="3" applyFont="1" applyAlignment="1">
      <alignment horizontal="left" vertical="center" indent="2"/>
    </xf>
    <xf numFmtId="0" fontId="0" fillId="0" borderId="0" xfId="0" applyFont="1" applyFill="1" applyAlignment="1">
      <alignment horizontal="center" vertical="center"/>
    </xf>
    <xf numFmtId="0" fontId="6" fillId="2" borderId="0" xfId="1" applyBorder="1" applyAlignment="1">
      <alignment vertical="center" wrapText="1"/>
    </xf>
    <xf numFmtId="0" fontId="10" fillId="6" borderId="0" xfId="0" applyFont="1" applyFill="1" applyBorder="1">
      <alignment vertical="center"/>
    </xf>
    <xf numFmtId="0" fontId="11" fillId="5" borderId="0" xfId="0" applyFont="1" applyFill="1" applyBorder="1">
      <alignment vertical="center"/>
    </xf>
    <xf numFmtId="0" fontId="0" fillId="5" borderId="0" xfId="0" applyNumberFormat="1" applyFill="1">
      <alignment vertical="center"/>
    </xf>
    <xf numFmtId="0" fontId="6" fillId="2" borderId="0" xfId="1" applyAlignment="1">
      <alignment horizontal="center" vertical="center" wrapText="1"/>
    </xf>
    <xf numFmtId="0" fontId="6" fillId="2" borderId="2" xfId="1" applyBorder="1" applyAlignment="1">
      <alignment vertical="center" wrapText="1"/>
    </xf>
    <xf numFmtId="0" fontId="12" fillId="4" borderId="3" xfId="0" applyFont="1" applyFill="1" applyBorder="1" applyAlignment="1">
      <alignment horizontal="center" vertical="center"/>
    </xf>
    <xf numFmtId="0" fontId="0" fillId="5" borderId="0" xfId="0" applyFill="1" applyAlignment="1">
      <alignment horizontal="center" vertical="center"/>
    </xf>
    <xf numFmtId="0" fontId="41" fillId="10" borderId="0" xfId="4" applyAlignment="1">
      <alignment vertical="center"/>
    </xf>
    <xf numFmtId="0" fontId="0" fillId="5" borderId="0" xfId="0" applyFill="1" applyAlignment="1">
      <alignment horizontal="center" vertical="center"/>
    </xf>
    <xf numFmtId="0" fontId="0" fillId="5" borderId="0" xfId="0" applyFill="1" applyAlignment="1">
      <alignment horizontal="center" vertical="center"/>
    </xf>
    <xf numFmtId="2" fontId="0" fillId="0" borderId="8" xfId="0" applyNumberFormat="1" applyBorder="1" applyAlignment="1">
      <alignment horizontal="left" vertical="center"/>
    </xf>
    <xf numFmtId="0" fontId="0" fillId="5" borderId="0" xfId="0" applyFill="1" applyAlignment="1">
      <alignment horizontal="center" vertical="center"/>
    </xf>
    <xf numFmtId="0" fontId="43" fillId="5" borderId="0" xfId="0" applyFont="1" applyFill="1" applyAlignment="1">
      <alignment horizontal="right" vertical="center" wrapText="1"/>
    </xf>
    <xf numFmtId="0" fontId="0" fillId="5" borderId="0" xfId="0" applyFill="1" applyAlignment="1">
      <alignment horizontal="center" vertical="center"/>
    </xf>
    <xf numFmtId="0" fontId="0" fillId="5" borderId="0" xfId="0" applyFill="1" applyAlignment="1">
      <alignment horizontal="center" vertical="center"/>
    </xf>
    <xf numFmtId="0" fontId="0" fillId="5" borderId="0" xfId="0" applyFill="1" applyAlignment="1">
      <alignment horizontal="center" vertical="center"/>
    </xf>
    <xf numFmtId="0" fontId="0" fillId="5" borderId="0" xfId="0" applyFill="1" applyBorder="1" applyAlignment="1">
      <alignment horizontal="left" vertical="top" wrapText="1"/>
    </xf>
    <xf numFmtId="0" fontId="0" fillId="5" borderId="0" xfId="0" applyFill="1" applyAlignment="1">
      <alignment horizontal="center" vertical="top" wrapText="1"/>
    </xf>
    <xf numFmtId="0" fontId="0" fillId="5" borderId="0" xfId="0" applyFill="1" applyBorder="1" applyAlignment="1">
      <alignment horizontal="center" vertical="top" wrapText="1"/>
    </xf>
    <xf numFmtId="0" fontId="47" fillId="0" borderId="0" xfId="0" applyFont="1" applyAlignment="1">
      <alignment vertical="center" wrapText="1"/>
    </xf>
    <xf numFmtId="0" fontId="46" fillId="0" borderId="0" xfId="5" applyAlignment="1">
      <alignment vertical="center" wrapText="1"/>
    </xf>
    <xf numFmtId="0" fontId="0" fillId="11" borderId="0" xfId="0" applyFill="1" applyAlignment="1">
      <alignment vertical="center" wrapText="1"/>
    </xf>
    <xf numFmtId="0" fontId="46" fillId="11" borderId="0" xfId="5" applyFill="1" applyAlignment="1">
      <alignment vertical="center" wrapText="1"/>
    </xf>
    <xf numFmtId="0" fontId="23" fillId="11" borderId="0" xfId="0" applyFont="1" applyFill="1" applyAlignment="1">
      <alignment vertical="center" wrapText="1"/>
    </xf>
    <xf numFmtId="0" fontId="46" fillId="11" borderId="0" xfId="5" applyFill="1" applyAlignment="1">
      <alignment vertical="top" wrapText="1"/>
    </xf>
    <xf numFmtId="0" fontId="0" fillId="0" borderId="0" xfId="0" applyAlignment="1">
      <alignment horizontal="center" vertical="center" wrapText="1"/>
    </xf>
    <xf numFmtId="0" fontId="49" fillId="0" borderId="0" xfId="0" applyFont="1" applyAlignment="1">
      <alignment vertical="center" wrapText="1"/>
    </xf>
    <xf numFmtId="0" fontId="49" fillId="0" borderId="0" xfId="0" applyFont="1" applyAlignment="1">
      <alignment horizontal="center" vertical="center" wrapText="1"/>
    </xf>
    <xf numFmtId="0" fontId="45" fillId="0" borderId="0" xfId="0" applyFont="1" applyAlignment="1">
      <alignment vertical="top" wrapText="1"/>
    </xf>
    <xf numFmtId="0" fontId="46" fillId="0" borderId="0" xfId="5" applyAlignment="1">
      <alignment vertical="top" wrapText="1"/>
    </xf>
    <xf numFmtId="0" fontId="45" fillId="0" borderId="0" xfId="0" applyFont="1" applyAlignment="1">
      <alignment horizontal="center" vertical="top" wrapText="1"/>
    </xf>
    <xf numFmtId="0" fontId="0" fillId="5" borderId="0" xfId="0" applyFill="1" applyAlignment="1">
      <alignment horizontal="center" vertical="center"/>
    </xf>
    <xf numFmtId="0" fontId="0" fillId="0" borderId="0" xfId="0" applyAlignment="1">
      <alignment vertical="center" wrapText="1"/>
    </xf>
    <xf numFmtId="0" fontId="0" fillId="12" borderId="0" xfId="0" applyFill="1" applyAlignment="1">
      <alignment vertical="center" wrapText="1"/>
    </xf>
    <xf numFmtId="0" fontId="14" fillId="5" borderId="0" xfId="0" applyFont="1" applyFill="1" applyBorder="1" applyAlignment="1">
      <alignment horizontal="center" vertical="center"/>
    </xf>
    <xf numFmtId="0" fontId="46" fillId="5" borderId="0" xfId="5" applyFill="1" applyBorder="1" applyAlignment="1">
      <alignment vertical="top" wrapText="1"/>
    </xf>
    <xf numFmtId="0" fontId="51" fillId="5" borderId="0" xfId="0" applyFont="1" applyFill="1" applyBorder="1" applyAlignment="1">
      <alignment horizontal="center" vertical="top" wrapText="1"/>
    </xf>
    <xf numFmtId="0" fontId="21" fillId="5" borderId="0" xfId="0" applyFont="1" applyFill="1" applyBorder="1" applyAlignment="1">
      <alignment vertical="center"/>
    </xf>
    <xf numFmtId="0" fontId="0" fillId="0" borderId="0" xfId="0" applyAlignment="1">
      <alignment horizontal="left" vertical="center" indent="2"/>
    </xf>
    <xf numFmtId="0" fontId="0" fillId="0" borderId="0" xfId="0" applyBorder="1">
      <alignment vertical="center"/>
    </xf>
    <xf numFmtId="0" fontId="26" fillId="0" borderId="0" xfId="0" applyFont="1" applyAlignment="1">
      <alignment horizontal="center" vertical="center"/>
    </xf>
    <xf numFmtId="0" fontId="26" fillId="0" borderId="0" xfId="0" applyNumberFormat="1" applyFont="1" applyAlignment="1">
      <alignment horizontal="center" vertical="center"/>
    </xf>
    <xf numFmtId="0" fontId="26" fillId="0" borderId="0" xfId="0" applyNumberFormat="1" applyFont="1">
      <alignment vertical="center"/>
    </xf>
    <xf numFmtId="0" fontId="14" fillId="0" borderId="0" xfId="0" applyNumberFormat="1" applyFont="1">
      <alignment vertical="center"/>
    </xf>
    <xf numFmtId="0" fontId="0" fillId="0" borderId="0" xfId="0" applyBorder="1" applyAlignment="1">
      <alignment vertical="center"/>
    </xf>
    <xf numFmtId="0" fontId="43" fillId="0" borderId="0" xfId="0" applyFont="1" applyBorder="1" applyAlignment="1">
      <alignment horizontal="center" vertical="center"/>
    </xf>
    <xf numFmtId="0" fontId="52" fillId="0" borderId="0" xfId="0" applyFont="1">
      <alignment vertical="center"/>
    </xf>
    <xf numFmtId="0" fontId="14" fillId="0" borderId="0" xfId="0" applyNumberFormat="1" applyFont="1" applyAlignment="1">
      <alignment horizontal="center" vertical="center"/>
    </xf>
    <xf numFmtId="0" fontId="53" fillId="0" borderId="0" xfId="0" applyFont="1">
      <alignment vertical="center"/>
    </xf>
    <xf numFmtId="0" fontId="53" fillId="0" borderId="0" xfId="0" applyFont="1" applyAlignment="1">
      <alignment horizontal="center" vertical="center"/>
    </xf>
    <xf numFmtId="0" fontId="53" fillId="0" borderId="0" xfId="0" applyNumberFormat="1" applyFont="1" applyAlignment="1">
      <alignment horizontal="center" vertical="center"/>
    </xf>
    <xf numFmtId="0" fontId="53" fillId="0" borderId="0" xfId="0" applyNumberFormat="1" applyFont="1">
      <alignment vertical="center"/>
    </xf>
    <xf numFmtId="0" fontId="16" fillId="6" borderId="12" xfId="0" applyFont="1" applyFill="1" applyBorder="1" applyAlignment="1">
      <alignment horizontal="center" vertical="center"/>
    </xf>
    <xf numFmtId="0" fontId="23" fillId="0" borderId="8" xfId="0" applyFont="1" applyBorder="1" applyAlignment="1">
      <alignment horizontal="left" vertical="center" indent="8"/>
    </xf>
    <xf numFmtId="0" fontId="23" fillId="0" borderId="8" xfId="0" applyFont="1" applyBorder="1" applyAlignment="1">
      <alignment horizontal="left" vertical="center" indent="10"/>
    </xf>
    <xf numFmtId="164" fontId="23" fillId="0" borderId="0" xfId="0" applyNumberFormat="1" applyFont="1" applyAlignment="1">
      <alignment horizontal="center" vertical="center"/>
    </xf>
    <xf numFmtId="0" fontId="0" fillId="0" borderId="8" xfId="0" applyBorder="1" applyAlignment="1">
      <alignment horizontal="center" vertical="center"/>
    </xf>
    <xf numFmtId="0" fontId="0" fillId="0" borderId="0" xfId="0" applyBorder="1" applyAlignment="1">
      <alignment horizontal="center" vertical="center"/>
    </xf>
    <xf numFmtId="0" fontId="0" fillId="0" borderId="15" xfId="0" applyBorder="1" applyAlignment="1">
      <alignment horizontal="center" vertical="center"/>
    </xf>
    <xf numFmtId="0" fontId="0" fillId="0" borderId="14" xfId="0" applyBorder="1" applyAlignment="1">
      <alignment horizontal="center" vertical="center"/>
    </xf>
    <xf numFmtId="0" fontId="0" fillId="0" borderId="0" xfId="0" applyAlignment="1">
      <alignment horizontal="center" vertical="center"/>
    </xf>
    <xf numFmtId="0" fontId="42" fillId="0" borderId="0" xfId="0" applyFont="1" applyBorder="1" applyAlignment="1">
      <alignment horizontal="center" vertical="center"/>
    </xf>
    <xf numFmtId="0" fontId="42" fillId="0" borderId="15" xfId="0" applyFont="1" applyBorder="1" applyAlignment="1">
      <alignment horizontal="center" vertical="center"/>
    </xf>
    <xf numFmtId="0" fontId="0" fillId="0" borderId="14" xfId="0" applyBorder="1" applyAlignment="1">
      <alignment horizontal="right" vertical="center"/>
    </xf>
    <xf numFmtId="0" fontId="0" fillId="0" borderId="0" xfId="0" applyBorder="1" applyAlignment="1">
      <alignment horizontal="right" vertical="center"/>
    </xf>
    <xf numFmtId="0" fontId="0" fillId="0" borderId="8" xfId="0" applyBorder="1" applyAlignment="1">
      <alignment horizontal="right" vertical="center"/>
    </xf>
    <xf numFmtId="0" fontId="0" fillId="0" borderId="15" xfId="0" applyBorder="1" applyAlignment="1">
      <alignment horizontal="right" vertical="center"/>
    </xf>
    <xf numFmtId="0" fontId="52" fillId="0" borderId="0" xfId="0" applyFont="1" applyBorder="1" applyAlignment="1">
      <alignment horizontal="center" vertical="center"/>
    </xf>
    <xf numFmtId="0" fontId="50" fillId="0" borderId="0" xfId="0" applyFont="1" applyAlignment="1">
      <alignment horizontal="center" wrapText="1"/>
    </xf>
    <xf numFmtId="0" fontId="50" fillId="0" borderId="0" xfId="0" applyFont="1" applyAlignment="1">
      <alignment horizontal="center"/>
    </xf>
    <xf numFmtId="0" fontId="0" fillId="0" borderId="0" xfId="0" applyBorder="1" applyAlignment="1">
      <alignment horizontal="center" vertical="center" wrapText="1"/>
    </xf>
    <xf numFmtId="0" fontId="31" fillId="5" borderId="0" xfId="0" applyFont="1" applyFill="1" applyBorder="1" applyAlignment="1">
      <alignment horizontal="center" wrapText="1"/>
    </xf>
    <xf numFmtId="0" fontId="8" fillId="0" borderId="0" xfId="2" applyFont="1" applyFill="1" applyAlignment="1">
      <alignment horizontal="center" vertical="center"/>
    </xf>
    <xf numFmtId="0" fontId="7" fillId="2" borderId="0" xfId="3" quotePrefix="1" applyBorder="1" applyAlignment="1">
      <alignment horizontal="left" vertical="center" wrapText="1" indent="1"/>
    </xf>
    <xf numFmtId="0" fontId="30" fillId="6" borderId="0" xfId="0" applyFont="1" applyFill="1" applyBorder="1" applyAlignment="1">
      <alignment horizontal="center"/>
    </xf>
    <xf numFmtId="0" fontId="0" fillId="0" borderId="9" xfId="0" applyBorder="1" applyAlignment="1">
      <alignment horizontal="center" vertical="center" wrapText="1"/>
    </xf>
    <xf numFmtId="0" fontId="0" fillId="0" borderId="8" xfId="0" applyBorder="1" applyAlignment="1">
      <alignment horizontal="center" vertical="center" wrapText="1"/>
    </xf>
    <xf numFmtId="0" fontId="0" fillId="0" borderId="10" xfId="0" applyBorder="1" applyAlignment="1">
      <alignment horizontal="center" vertical="center" wrapText="1"/>
    </xf>
    <xf numFmtId="0" fontId="6" fillId="2" borderId="2" xfId="1" applyBorder="1" applyAlignment="1">
      <alignment horizontal="center" vertical="center"/>
    </xf>
    <xf numFmtId="0" fontId="6" fillId="2" borderId="0" xfId="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6" fillId="2" borderId="0" xfId="3" quotePrefix="1" applyFont="1" applyBorder="1" applyAlignment="1">
      <alignment horizontal="left" vertical="center" wrapText="1" indent="2"/>
    </xf>
    <xf numFmtId="0" fontId="1" fillId="0" borderId="13" xfId="0" applyFont="1" applyFill="1" applyBorder="1" applyAlignment="1">
      <alignment horizontal="left" vertical="center"/>
    </xf>
    <xf numFmtId="0" fontId="1" fillId="0" borderId="0" xfId="0" applyFont="1" applyFill="1" applyBorder="1" applyAlignment="1">
      <alignment horizontal="left" vertical="center"/>
    </xf>
    <xf numFmtId="0" fontId="23" fillId="0" borderId="8" xfId="0" applyFont="1" applyBorder="1" applyAlignment="1">
      <alignment horizontal="center" vertical="center" wrapText="1"/>
    </xf>
    <xf numFmtId="0" fontId="10" fillId="0" borderId="0" xfId="0" applyFont="1" applyBorder="1" applyAlignment="1">
      <alignment horizontal="center" vertical="center"/>
    </xf>
    <xf numFmtId="0" fontId="18" fillId="0" borderId="0" xfId="2" applyFont="1" applyAlignment="1">
      <alignment horizontal="left" vertical="top" indent="1"/>
    </xf>
    <xf numFmtId="0" fontId="19" fillId="2" borderId="2" xfId="1" applyFont="1" applyBorder="1" applyAlignment="1">
      <alignment horizontal="left" vertical="center" wrapText="1" indent="1" readingOrder="1"/>
    </xf>
    <xf numFmtId="0" fontId="19" fillId="2" borderId="0" xfId="1" applyFont="1" applyAlignment="1">
      <alignment horizontal="left" vertical="center" wrapText="1" indent="1" readingOrder="1"/>
    </xf>
    <xf numFmtId="0" fontId="7" fillId="2" borderId="2" xfId="3" applyFont="1" applyBorder="1" applyAlignment="1">
      <alignment horizontal="left" vertical="center" wrapText="1" indent="1"/>
    </xf>
    <xf numFmtId="0" fontId="7" fillId="2" borderId="0" xfId="3" applyFont="1" applyBorder="1" applyAlignment="1">
      <alignment horizontal="left" vertical="center" wrapText="1" indent="1"/>
    </xf>
    <xf numFmtId="0" fontId="14" fillId="5" borderId="0" xfId="0" applyFont="1" applyFill="1" applyBorder="1" applyAlignment="1">
      <alignment horizontal="center" vertical="center" wrapText="1"/>
    </xf>
    <xf numFmtId="0" fontId="6" fillId="2" borderId="0" xfId="1" applyFont="1" applyAlignment="1">
      <alignment horizontal="center" vertical="center"/>
    </xf>
    <xf numFmtId="0" fontId="6" fillId="2" borderId="0" xfId="1" applyFont="1" applyAlignment="1">
      <alignment horizontal="left" vertical="center" indent="1"/>
    </xf>
    <xf numFmtId="0" fontId="14" fillId="5" borderId="8" xfId="0" applyFont="1" applyFill="1" applyBorder="1" applyAlignment="1">
      <alignment horizontal="center" vertical="center" wrapText="1"/>
    </xf>
    <xf numFmtId="0" fontId="14" fillId="5" borderId="10" xfId="0" applyFont="1" applyFill="1" applyBorder="1" applyAlignment="1">
      <alignment horizontal="center" vertical="center" wrapText="1"/>
    </xf>
    <xf numFmtId="0" fontId="16" fillId="6" borderId="12" xfId="0" applyFont="1" applyFill="1" applyBorder="1" applyAlignment="1">
      <alignment horizontal="center" vertical="center"/>
    </xf>
    <xf numFmtId="0" fontId="12" fillId="4" borderId="11" xfId="0" applyFont="1" applyFill="1" applyBorder="1" applyAlignment="1">
      <alignment horizontal="center" vertical="center"/>
    </xf>
    <xf numFmtId="0" fontId="12" fillId="4" borderId="3" xfId="0" applyFont="1" applyFill="1" applyBorder="1" applyAlignment="1">
      <alignment horizontal="center" vertical="center"/>
    </xf>
    <xf numFmtId="0" fontId="7" fillId="2" borderId="2" xfId="3" applyFont="1" applyBorder="1" applyAlignment="1">
      <alignment horizontal="left" vertical="center" wrapText="1" indent="2"/>
    </xf>
    <xf numFmtId="0" fontId="7" fillId="2" borderId="0" xfId="3" applyFont="1" applyBorder="1" applyAlignment="1">
      <alignment horizontal="left" vertical="center" wrapText="1" indent="2"/>
    </xf>
    <xf numFmtId="0" fontId="7" fillId="2" borderId="0" xfId="1" applyFont="1" applyAlignment="1">
      <alignment horizontal="left" vertical="center" wrapText="1" indent="2"/>
    </xf>
    <xf numFmtId="0" fontId="0" fillId="5" borderId="0" xfId="0" applyFill="1" applyAlignment="1">
      <alignment horizontal="center" vertical="center"/>
    </xf>
    <xf numFmtId="0" fontId="6" fillId="2" borderId="2" xfId="3" applyFont="1" applyBorder="1" applyAlignment="1">
      <alignment horizontal="left" vertical="center" indent="2"/>
    </xf>
    <xf numFmtId="0" fontId="6" fillId="2" borderId="0" xfId="3" applyFont="1" applyBorder="1" applyAlignment="1">
      <alignment horizontal="left" vertical="center" indent="2"/>
    </xf>
    <xf numFmtId="0" fontId="10" fillId="4" borderId="0" xfId="0" applyFont="1" applyFill="1" applyBorder="1" applyAlignment="1">
      <alignment horizontal="center" vertical="center"/>
    </xf>
    <xf numFmtId="0" fontId="0" fillId="0" borderId="4" xfId="0" applyBorder="1" applyAlignment="1">
      <alignment horizontal="left" vertical="center" indent="2"/>
    </xf>
    <xf numFmtId="0" fontId="3" fillId="0" borderId="0" xfId="2" applyFont="1" applyAlignment="1">
      <alignment horizontal="left" vertical="top" indent="1"/>
    </xf>
    <xf numFmtId="0" fontId="0" fillId="0" borderId="8" xfId="0" applyBorder="1" applyAlignment="1">
      <alignment horizontal="left" vertical="center" wrapText="1"/>
    </xf>
    <xf numFmtId="0" fontId="0" fillId="0" borderId="8" xfId="0" applyFill="1" applyBorder="1" applyAlignment="1">
      <alignment horizontal="center" vertical="center" wrapText="1"/>
    </xf>
    <xf numFmtId="0" fontId="0" fillId="0" borderId="0" xfId="0" applyFill="1" applyBorder="1" applyAlignment="1">
      <alignment horizontal="center" vertical="center" wrapText="1"/>
    </xf>
    <xf numFmtId="0" fontId="0" fillId="0" borderId="10" xfId="0" applyFill="1" applyBorder="1" applyAlignment="1">
      <alignment horizontal="center" vertical="center" wrapText="1"/>
    </xf>
    <xf numFmtId="0" fontId="13" fillId="5" borderId="0" xfId="0" applyFont="1" applyFill="1" applyAlignment="1">
      <alignment horizontal="left" vertical="center" wrapText="1"/>
    </xf>
    <xf numFmtId="0" fontId="0" fillId="5" borderId="8" xfId="0" applyFill="1" applyBorder="1" applyAlignment="1">
      <alignment horizontal="left" vertical="top" wrapText="1"/>
    </xf>
    <xf numFmtId="0" fontId="0" fillId="5" borderId="0" xfId="0" applyFill="1" applyBorder="1" applyAlignment="1">
      <alignment horizontal="left" vertical="top" wrapText="1"/>
    </xf>
    <xf numFmtId="0" fontId="0" fillId="5" borderId="10" xfId="0" applyFill="1" applyBorder="1" applyAlignment="1">
      <alignment horizontal="left" vertical="top" wrapText="1"/>
    </xf>
    <xf numFmtId="0" fontId="0" fillId="5" borderId="0" xfId="0" applyFill="1" applyAlignment="1">
      <alignment horizontal="center" vertical="top" wrapText="1"/>
    </xf>
    <xf numFmtId="0" fontId="7" fillId="2" borderId="2" xfId="1" applyFont="1" applyBorder="1" applyAlignment="1">
      <alignment horizontal="left" vertical="center" wrapText="1" indent="2"/>
    </xf>
    <xf numFmtId="0" fontId="7" fillId="2" borderId="0" xfId="1" applyFont="1" applyBorder="1" applyAlignment="1">
      <alignment horizontal="left" vertical="center" wrapText="1" indent="2"/>
    </xf>
    <xf numFmtId="0" fontId="0" fillId="5" borderId="8" xfId="0" applyFill="1" applyBorder="1" applyAlignment="1">
      <alignment horizontal="center" vertical="top" wrapText="1"/>
    </xf>
    <xf numFmtId="0" fontId="0" fillId="5" borderId="0" xfId="0" applyFill="1" applyBorder="1" applyAlignment="1">
      <alignment horizontal="center" vertical="top" wrapText="1"/>
    </xf>
    <xf numFmtId="0" fontId="0" fillId="5" borderId="10" xfId="0" applyFill="1" applyBorder="1" applyAlignment="1">
      <alignment horizontal="center" vertical="top" wrapText="1"/>
    </xf>
    <xf numFmtId="0" fontId="48" fillId="0" borderId="0" xfId="0" applyFont="1" applyAlignment="1">
      <alignment vertical="center" wrapText="1"/>
    </xf>
    <xf numFmtId="0" fontId="0" fillId="0" borderId="0" xfId="0" applyAlignment="1">
      <alignment vertical="center" wrapText="1"/>
    </xf>
    <xf numFmtId="0" fontId="0" fillId="12" borderId="0" xfId="0" applyFill="1" applyAlignment="1">
      <alignment vertical="center" wrapText="1"/>
    </xf>
    <xf numFmtId="0" fontId="44" fillId="0" borderId="0" xfId="0" applyFont="1" applyAlignment="1">
      <alignment vertical="center" wrapText="1"/>
    </xf>
    <xf numFmtId="0" fontId="0" fillId="5" borderId="8" xfId="0" applyFill="1" applyBorder="1" applyAlignment="1">
      <alignment vertical="top" wrapText="1"/>
    </xf>
    <xf numFmtId="0" fontId="0" fillId="5" borderId="0" xfId="0" applyFill="1" applyBorder="1" applyAlignment="1">
      <alignment vertical="top" wrapText="1"/>
    </xf>
    <xf numFmtId="0" fontId="0" fillId="5" borderId="10" xfId="0" applyFill="1" applyBorder="1" applyAlignment="1">
      <alignment vertical="top" wrapText="1"/>
    </xf>
    <xf numFmtId="0" fontId="0" fillId="5" borderId="8" xfId="0" applyFill="1" applyBorder="1" applyAlignment="1">
      <alignment horizontal="left" vertical="top"/>
    </xf>
    <xf numFmtId="0" fontId="0" fillId="5" borderId="0" xfId="0" applyFill="1" applyBorder="1" applyAlignment="1">
      <alignment horizontal="left" vertical="top"/>
    </xf>
    <xf numFmtId="0" fontId="0" fillId="5" borderId="10" xfId="0" applyFill="1" applyBorder="1" applyAlignment="1">
      <alignment horizontal="left" vertical="top"/>
    </xf>
    <xf numFmtId="0" fontId="0" fillId="5" borderId="9" xfId="0" applyFill="1" applyBorder="1" applyAlignment="1">
      <alignment horizontal="left" vertical="top" wrapText="1"/>
    </xf>
    <xf numFmtId="0" fontId="0" fillId="5" borderId="9" xfId="0" applyFill="1" applyBorder="1" applyAlignment="1">
      <alignment horizontal="center" vertical="top"/>
    </xf>
    <xf numFmtId="0" fontId="40" fillId="2" borderId="2" xfId="1" applyFont="1" applyBorder="1" applyAlignment="1">
      <alignment horizontal="left" vertical="center" wrapText="1" indent="2"/>
    </xf>
    <xf numFmtId="0" fontId="40" fillId="2" borderId="0" xfId="1" applyFont="1" applyAlignment="1">
      <alignment horizontal="left" vertical="center" wrapText="1" indent="2"/>
    </xf>
    <xf numFmtId="0" fontId="11" fillId="0" borderId="12" xfId="0" applyFont="1" applyBorder="1" applyAlignment="1">
      <alignment horizontal="center" vertical="center"/>
    </xf>
    <xf numFmtId="0" fontId="11" fillId="5" borderId="12" xfId="0" applyFont="1" applyFill="1" applyBorder="1" applyAlignment="1">
      <alignment horizontal="center" vertical="center"/>
    </xf>
    <xf numFmtId="0" fontId="0" fillId="0" borderId="12" xfId="0" applyBorder="1" applyAlignment="1">
      <alignment horizontal="center" vertical="center"/>
    </xf>
  </cellXfs>
  <cellStyles count="6">
    <cellStyle name="Dekorfärg3" xfId="4" builtinId="37"/>
    <cellStyle name="Hyperlänk" xfId="5" builtinId="8"/>
    <cellStyle name="Normal" xfId="0" builtinId="0" customBuiltin="1"/>
    <cellStyle name="Rubrik" xfId="1" builtinId="15" customBuiltin="1"/>
    <cellStyle name="Rubrik 1" xfId="3" builtinId="16" customBuiltin="1"/>
    <cellStyle name="Rubrik 4" xfId="2" builtinId="19"/>
  </cellStyles>
  <dxfs count="97">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numFmt numFmtId="0" formatCode="General"/>
      <fill>
        <patternFill>
          <bgColor theme="0"/>
        </patternFill>
      </fill>
    </dxf>
    <dxf>
      <numFmt numFmtId="0" formatCode="General"/>
      <fill>
        <patternFill>
          <bgColor theme="0"/>
        </patternFill>
      </fill>
    </dxf>
    <dxf>
      <numFmt numFmtId="0" formatCode="General"/>
      <fill>
        <patternFill>
          <bgColor theme="0"/>
        </patternFill>
      </fill>
    </dxf>
    <dxf>
      <fill>
        <patternFill>
          <bgColor theme="0"/>
        </patternFill>
      </fill>
    </dxf>
    <dxf>
      <font>
        <b val="0"/>
        <i val="0"/>
        <strike val="0"/>
        <condense val="0"/>
        <extend val="0"/>
        <outline val="0"/>
        <shadow val="0"/>
        <u val="none"/>
        <vertAlign val="baseline"/>
        <sz val="10"/>
        <color theme="0"/>
        <name val="Bookman Old Style"/>
        <scheme val="major"/>
      </font>
      <fill>
        <patternFill patternType="solid">
          <fgColor theme="6"/>
          <bgColor theme="0"/>
        </patternFill>
      </fill>
    </dxf>
    <dxf>
      <fill>
        <patternFill>
          <bgColor theme="8" tint="-0.249977111117893"/>
        </patternFill>
      </fill>
    </dxf>
    <dxf>
      <font>
        <color theme="0"/>
      </font>
    </dxf>
    <dxf>
      <fill>
        <patternFill>
          <bgColor rgb="FFFFC000"/>
        </patternFill>
      </fill>
    </dxf>
    <dxf>
      <font>
        <color theme="1"/>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alignment horizontal="center" readingOrder="0"/>
    </dxf>
    <dxf>
      <font>
        <b val="0"/>
        <i val="0"/>
        <strike val="0"/>
        <condense val="0"/>
        <extend val="0"/>
        <outline val="0"/>
        <shadow val="0"/>
        <u val="none"/>
        <vertAlign val="baseline"/>
        <sz val="11"/>
        <color theme="1" tint="0.24994659260841701"/>
        <name val="Century"/>
        <scheme val="none"/>
      </font>
      <fill>
        <patternFill patternType="solid">
          <fgColor indexed="64"/>
          <bgColor theme="0"/>
        </patternFill>
      </fill>
      <alignment horizontal="left" vertical="center" textRotation="0" wrapText="0" indent="0" justifyLastLine="0" shrinkToFit="0" readingOrder="0"/>
    </dxf>
    <dxf>
      <font>
        <b val="0"/>
        <i val="0"/>
        <strike val="0"/>
        <condense val="0"/>
        <extend val="0"/>
        <outline val="0"/>
        <shadow val="0"/>
        <u val="none"/>
        <vertAlign val="baseline"/>
        <sz val="11"/>
        <color theme="1" tint="0.24994659260841701"/>
        <name val="Century"/>
        <scheme val="none"/>
      </font>
      <fill>
        <patternFill patternType="solid">
          <fgColor indexed="64"/>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tint="0.24994659260841701"/>
        <name val="Century"/>
        <scheme val="none"/>
      </font>
      <fill>
        <patternFill patternType="solid">
          <fgColor indexed="64"/>
          <bgColor theme="0"/>
        </patternFill>
      </fill>
      <alignment horizontal="center" vertical="center" textRotation="0" wrapText="0" indent="0" justifyLastLine="0" shrinkToFit="0" readingOrder="0"/>
    </dxf>
    <dxf>
      <font>
        <strike val="0"/>
        <outline val="0"/>
        <shadow val="0"/>
        <u val="none"/>
        <vertAlign val="baseline"/>
        <sz val="10"/>
        <color theme="1"/>
        <name val="Century"/>
        <scheme val="none"/>
      </font>
      <alignment horizontal="center" vertical="center" textRotation="0" wrapText="0" indent="0" justifyLastLine="0" shrinkToFit="0" readingOrder="0"/>
    </dxf>
    <dxf>
      <font>
        <strike val="0"/>
        <outline val="0"/>
        <shadow val="0"/>
        <u val="none"/>
        <vertAlign val="baseline"/>
        <sz val="10"/>
        <color theme="1"/>
        <name val="Century"/>
        <scheme val="none"/>
      </font>
      <alignment horizontal="center" vertical="center" textRotation="0" wrapText="0" indent="0" justifyLastLine="0" shrinkToFit="0" readingOrder="0"/>
    </dxf>
    <dxf>
      <font>
        <strike val="0"/>
        <outline val="0"/>
        <shadow val="0"/>
        <u val="none"/>
        <vertAlign val="baseline"/>
        <sz val="10"/>
        <color theme="1"/>
        <name val="Century"/>
        <scheme val="none"/>
      </font>
      <alignment horizontal="center" vertical="center" textRotation="0" wrapText="0" indent="0" justifyLastLine="0" shrinkToFit="0" readingOrder="0"/>
    </dxf>
    <dxf>
      <font>
        <strike val="0"/>
        <outline val="0"/>
        <shadow val="0"/>
        <u val="none"/>
        <vertAlign val="baseline"/>
        <sz val="10"/>
        <color theme="1"/>
        <name val="Century"/>
        <scheme val="none"/>
      </font>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alignment horizontal="center" vertical="center" textRotation="0" wrapText="0" indent="0" justifyLastLine="0" shrinkToFit="0" readingOrder="0"/>
    </dxf>
    <dxf>
      <alignment horizontal="left" vertical="center" textRotation="0" wrapText="0" indent="1"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1" justifyLastLine="0" shrinkToFit="0" readingOrder="0"/>
    </dxf>
    <dxf>
      <alignment horizontal="left" vertical="bottom" textRotation="0" wrapText="0" indent="1" justifyLastLine="0" shrinkToFit="0" readingOrder="0"/>
    </dxf>
    <dxf>
      <alignment horizontal="left" vertical="center" textRotation="0" wrapText="0" indent="1" justifyLastLine="0" shrinkToFit="0" readingOrder="0"/>
    </dxf>
    <dxf>
      <alignment horizontal="left" vertical="center" textRotation="0" wrapText="0" indent="1" justifyLastLine="0" shrinkToFit="0" readingOrder="0"/>
    </dxf>
    <dxf>
      <font>
        <strike val="0"/>
        <outline val="0"/>
        <shadow val="0"/>
        <u val="none"/>
        <vertAlign val="baseline"/>
        <sz val="10"/>
        <color theme="1" tint="0.24994659260841701"/>
        <name val="Marlett"/>
        <scheme val="none"/>
      </font>
      <alignment horizontal="left" vertical="center" textRotation="0" wrapText="0" indent="3" justifyLastLine="0" shrinkToFit="0" readingOrder="0"/>
    </dxf>
    <dxf>
      <alignment horizontal="left" vertical="center" textRotation="0" wrapText="0" indent="3" justifyLastLine="0" shrinkToFit="0" readingOrder="0"/>
    </dxf>
    <dxf>
      <alignment horizontal="left" vertical="center" textRotation="0" wrapText="0" indent="3" justifyLastLine="0" shrinkToFit="0" readingOrder="0"/>
    </dxf>
    <dxf>
      <alignment vertical="center" textRotation="0" wrapText="0" indent="0" justifyLastLine="0" shrinkToFit="0" readingOrder="0"/>
    </dxf>
    <dxf>
      <font>
        <strike val="0"/>
        <outline val="0"/>
        <shadow val="0"/>
        <u val="none"/>
        <vertAlign val="baseline"/>
        <name val="Century"/>
        <scheme val="none"/>
      </font>
      <numFmt numFmtId="0" formatCode="General"/>
    </dxf>
    <dxf>
      <font>
        <strike val="0"/>
        <outline val="0"/>
        <shadow val="0"/>
        <u val="none"/>
        <vertAlign val="baseline"/>
        <name val="Century"/>
        <scheme val="none"/>
      </font>
      <numFmt numFmtId="0" formatCode="General"/>
    </dxf>
    <dxf>
      <font>
        <strike val="0"/>
        <outline val="0"/>
        <shadow val="0"/>
        <u val="none"/>
        <vertAlign val="baseline"/>
        <name val="Century"/>
        <scheme val="none"/>
      </font>
      <numFmt numFmtId="0" formatCode="General"/>
    </dxf>
    <dxf>
      <font>
        <strike val="0"/>
        <outline val="0"/>
        <shadow val="0"/>
        <u val="none"/>
        <vertAlign val="baseline"/>
        <name val="Century"/>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strike val="0"/>
        <outline val="0"/>
        <shadow val="0"/>
        <u val="none"/>
        <vertAlign val="baseline"/>
        <name val="Century"/>
        <scheme val="none"/>
      </font>
      <alignment horizontal="center" vertical="center" textRotation="0" wrapText="0" indent="0" justifyLastLine="0" shrinkToFit="0" readingOrder="0"/>
    </dxf>
    <dxf>
      <font>
        <strike val="0"/>
        <outline val="0"/>
        <shadow val="0"/>
        <u val="none"/>
        <vertAlign val="baseline"/>
        <name val="Century"/>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strike val="0"/>
        <outline val="0"/>
        <shadow val="0"/>
        <u val="none"/>
        <vertAlign val="baseline"/>
        <name val="Century"/>
        <scheme val="none"/>
      </font>
      <alignment horizontal="center" vertical="center" textRotation="0" wrapText="0" indent="0" justifyLastLine="0" shrinkToFit="0" readingOrder="0"/>
    </dxf>
    <dxf>
      <font>
        <strike val="0"/>
        <outline val="0"/>
        <shadow val="0"/>
        <u val="none"/>
        <vertAlign val="baseline"/>
        <name val="Century"/>
        <scheme val="none"/>
      </font>
    </dxf>
    <dxf>
      <font>
        <strike val="0"/>
        <outline val="0"/>
        <shadow val="0"/>
        <u val="none"/>
        <vertAlign val="baseline"/>
        <name val="Century"/>
        <scheme val="none"/>
      </font>
    </dxf>
    <dxf>
      <font>
        <strike val="0"/>
        <outline val="0"/>
        <shadow val="0"/>
        <u val="none"/>
        <vertAlign val="baseline"/>
        <name val="Century"/>
        <scheme val="none"/>
      </font>
    </dxf>
    <dxf>
      <font>
        <b val="0"/>
        <i val="0"/>
        <strike val="0"/>
        <condense val="0"/>
        <extend val="0"/>
        <outline val="0"/>
        <shadow val="0"/>
        <u val="none"/>
        <vertAlign val="baseline"/>
        <sz val="10"/>
        <color theme="1" tint="0.24994659260841701"/>
        <name val="Century"/>
        <scheme val="none"/>
      </font>
      <alignment horizontal="center" vertical="center" textRotation="0" wrapText="0" indent="0" justifyLastLine="0" shrinkToFit="0" readingOrder="0"/>
    </dxf>
    <dxf>
      <font>
        <strike val="0"/>
        <outline val="0"/>
        <shadow val="0"/>
        <u val="none"/>
        <vertAlign val="baseline"/>
        <name val="Century"/>
        <scheme val="none"/>
      </font>
    </dxf>
    <dxf>
      <border outline="0">
        <top style="thin">
          <color theme="8" tint="0.39997558519241921"/>
        </top>
      </border>
    </dxf>
    <dxf>
      <font>
        <strike val="0"/>
        <outline val="0"/>
        <shadow val="0"/>
        <u val="none"/>
        <vertAlign val="baseline"/>
        <name val="Century"/>
        <scheme val="none"/>
      </font>
    </dxf>
    <dxf>
      <font>
        <strike val="0"/>
        <outline val="0"/>
        <shadow val="0"/>
        <u val="none"/>
        <vertAlign val="baseline"/>
        <name val="Century"/>
        <scheme val="none"/>
      </font>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color theme="1" tint="0.24994659260841701"/>
        <name val="Bookman Old Style"/>
        <scheme val="maj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color theme="1" tint="0.24994659260841701"/>
        <name val="Bookman Old Style"/>
        <scheme val="maj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color theme="1" tint="0.24994659260841701"/>
        <name val="Bookman Old Style"/>
        <scheme val="maj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tint="0.24994659260841701"/>
        <name val="Bookman Old Style"/>
        <scheme val="major"/>
      </font>
      <fill>
        <patternFill patternType="none">
          <fgColor indexed="64"/>
          <bgColor indexed="65"/>
        </patternFill>
      </fill>
      <alignment horizontal="general" vertical="center" textRotation="0" wrapText="0" indent="0" justifyLastLine="0" shrinkToFit="0" readingOrder="0"/>
    </dxf>
    <dxf>
      <font>
        <strike val="0"/>
        <outline val="0"/>
        <shadow val="0"/>
        <u val="none"/>
        <vertAlign val="baseline"/>
        <sz val="10"/>
        <color theme="1" tint="0.24994659260841701"/>
        <name val="Bookman Old Style"/>
        <scheme val="major"/>
      </font>
      <fill>
        <patternFill patternType="none">
          <fgColor indexed="64"/>
          <bgColor auto="1"/>
        </patternFill>
      </fill>
    </dxf>
    <dxf>
      <font>
        <strike val="0"/>
        <outline val="0"/>
        <shadow val="0"/>
        <u val="none"/>
        <vertAlign val="baseline"/>
        <sz val="10"/>
        <color theme="1" tint="0.24994659260841701"/>
        <name val="Bookman Old Style"/>
        <scheme val="major"/>
      </font>
      <fill>
        <patternFill patternType="none">
          <fgColor indexed="64"/>
          <bgColor auto="1"/>
        </patternFill>
      </fill>
    </dxf>
    <dxf>
      <font>
        <strike val="0"/>
        <outline val="0"/>
        <shadow val="0"/>
        <u val="none"/>
        <vertAlign val="baseline"/>
        <sz val="10"/>
        <color theme="1" tint="0.24994659260841701"/>
        <name val="Bookman Old Style"/>
        <scheme val="major"/>
      </font>
      <fill>
        <patternFill patternType="none">
          <fgColor indexed="64"/>
          <bgColor auto="1"/>
        </patternFill>
      </fill>
    </dxf>
    <dxf>
      <font>
        <strike val="0"/>
        <outline val="0"/>
        <shadow val="0"/>
        <u val="none"/>
        <vertAlign val="baseline"/>
        <sz val="10"/>
        <color theme="1" tint="0.24994659260841701"/>
        <name val="Franklin Gothic Medium"/>
        <scheme val="minor"/>
      </font>
      <fill>
        <patternFill patternType="none">
          <fgColor indexed="64"/>
          <bgColor auto="1"/>
        </patternFill>
      </fill>
      <alignment vertical="center" textRotation="0" wrapText="0" indent="0" justifyLastLine="0" shrinkToFit="0" readingOrder="0"/>
    </dxf>
    <dxf>
      <fill>
        <patternFill>
          <bgColor theme="0" tint="-4.9989318521683403E-2"/>
        </patternFill>
      </fill>
    </dxf>
    <dxf>
      <font>
        <color theme="0"/>
      </font>
      <fill>
        <patternFill>
          <bgColor theme="6" tint="-0.499984740745262"/>
        </patternFill>
      </fill>
    </dxf>
    <dxf>
      <font>
        <color theme="0"/>
      </font>
      <fill>
        <patternFill>
          <bgColor theme="6" tint="-0.499984740745262"/>
        </patternFill>
      </fill>
    </dxf>
    <dxf>
      <font>
        <b/>
        <i val="0"/>
        <color theme="1" tint="0.24994659260841701"/>
      </font>
    </dxf>
    <dxf>
      <font>
        <b val="0"/>
        <i val="0"/>
      </font>
      <border diagonalUp="0" diagonalDown="0">
        <left/>
        <right/>
        <top/>
        <bottom/>
        <vertical/>
        <horizontal/>
      </border>
    </dxf>
    <dxf>
      <border>
        <horizontal style="thin">
          <color theme="6" tint="-0.499984740745262"/>
        </horizontal>
      </border>
    </dxf>
    <dxf>
      <fill>
        <patternFill>
          <bgColor theme="0" tint="-4.9989318521683403E-2"/>
        </patternFill>
      </fill>
      <border diagonalUp="0" diagonalDown="0">
        <left/>
        <right/>
        <top/>
        <bottom/>
        <vertical/>
        <horizontal/>
      </border>
    </dxf>
    <dxf>
      <font>
        <color theme="0"/>
      </font>
      <fill>
        <patternFill patternType="solid">
          <fgColor theme="6"/>
          <bgColor theme="6" tint="-0.499984740745262"/>
        </patternFill>
      </fill>
    </dxf>
    <dxf>
      <font>
        <color theme="1"/>
      </font>
      <border diagonalUp="0" diagonalDown="0">
        <left/>
        <right/>
        <top/>
        <bottom/>
        <vertical/>
        <horizontal/>
      </border>
    </dxf>
  </dxfs>
  <tableStyles count="3" defaultTableStyle="Course Listing" defaultPivotStyle="Semester Summary">
    <tableStyle name="Course Listing" pivot="0" count="3">
      <tableStyleElement type="wholeTable" dxfId="96"/>
      <tableStyleElement type="headerRow" dxfId="95"/>
      <tableStyleElement type="secondRowStripe" dxfId="94"/>
    </tableStyle>
    <tableStyle name="Credit Requirements Summary" pivot="0" count="3">
      <tableStyleElement type="wholeTable" dxfId="93"/>
      <tableStyleElement type="headerRow" dxfId="92"/>
      <tableStyleElement type="totalRow" dxfId="91"/>
    </tableStyle>
    <tableStyle name="Semester Summary" table="0" count="3">
      <tableStyleElement type="headerRow" dxfId="90"/>
      <tableStyleElement type="totalRow" dxfId="89"/>
      <tableStyleElement type="secondRowStripe" dxfId="88"/>
    </tableStyle>
  </tableStyles>
  <colors>
    <mruColors>
      <color rgb="FF99FF33"/>
      <color rgb="FF99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powerPivotData" Target="model/item.data"/><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sv-S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75000"/>
                    <a:lumOff val="25000"/>
                  </a:schemeClr>
                </a:solidFill>
                <a:latin typeface="+mn-lt"/>
                <a:ea typeface="+mn-ea"/>
                <a:cs typeface="+mn-cs"/>
              </a:defRPr>
            </a:pPr>
            <a:r>
              <a:rPr lang="en-US" sz="1100">
                <a:solidFill>
                  <a:schemeClr val="tx1">
                    <a:lumMod val="75000"/>
                    <a:lumOff val="25000"/>
                  </a:schemeClr>
                </a:solidFill>
              </a:rPr>
              <a:t>SAMMANFATTNING AV TERMINER</a:t>
            </a:r>
          </a:p>
        </c:rich>
      </c:tx>
      <c:layout>
        <c:manualLayout>
          <c:xMode val="edge"/>
          <c:yMode val="edge"/>
          <c:x val="8.3098968145244884E-3"/>
          <c:y val="3.5650623885918005E-2"/>
        </c:manualLayout>
      </c:layout>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Sammanställning!$M$22</c:f>
              <c:strCache>
                <c:ptCount val="1"/>
                <c:pt idx="0">
                  <c:v>Högskolepoäng</c:v>
                </c:pt>
              </c:strCache>
            </c:strRef>
          </c:tx>
          <c:spPr>
            <a:solidFill>
              <a:schemeClr val="accent1"/>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Sammanställning!$Q$23:$Q$32</c:f>
              <c:strCache>
                <c:ptCount val="10"/>
                <c:pt idx="0">
                  <c:v>Termin 1</c:v>
                </c:pt>
                <c:pt idx="1">
                  <c:v>Termin 2</c:v>
                </c:pt>
                <c:pt idx="2">
                  <c:v>Termin 3</c:v>
                </c:pt>
                <c:pt idx="3">
                  <c:v>Termin 4</c:v>
                </c:pt>
                <c:pt idx="4">
                  <c:v>Termin 5</c:v>
                </c:pt>
                <c:pt idx="5">
                  <c:v>Termin 6</c:v>
                </c:pt>
                <c:pt idx="6">
                  <c:v>Termin 7</c:v>
                </c:pt>
                <c:pt idx="7">
                  <c:v>Termin 8</c:v>
                </c:pt>
                <c:pt idx="8">
                  <c:v>Termin 9</c:v>
                </c:pt>
                <c:pt idx="9">
                  <c:v>Termin 10</c:v>
                </c:pt>
              </c:strCache>
            </c:strRef>
          </c:cat>
          <c:val>
            <c:numRef>
              <c:f>Sammanställning!$M$23:$M$32</c:f>
              <c:numCache>
                <c:formatCode>General</c:formatCode>
                <c:ptCount val="10"/>
                <c:pt idx="0">
                  <c:v>30</c:v>
                </c:pt>
                <c:pt idx="1">
                  <c:v>30</c:v>
                </c:pt>
                <c:pt idx="2">
                  <c:v>30</c:v>
                </c:pt>
                <c:pt idx="3">
                  <c:v>20</c:v>
                </c:pt>
                <c:pt idx="4">
                  <c:v>18</c:v>
                </c:pt>
                <c:pt idx="5">
                  <c:v>6</c:v>
                </c:pt>
                <c:pt idx="6">
                  <c:v>0</c:v>
                </c:pt>
                <c:pt idx="7">
                  <c:v>6</c:v>
                </c:pt>
                <c:pt idx="8">
                  <c:v>0</c:v>
                </c:pt>
                <c:pt idx="9">
                  <c:v>0</c:v>
                </c:pt>
              </c:numCache>
            </c:numRef>
          </c:val>
        </c:ser>
        <c:ser>
          <c:idx val="1"/>
          <c:order val="1"/>
          <c:tx>
            <c:strRef>
              <c:f>Sammanställning!$L$22</c:f>
              <c:strCache>
                <c:ptCount val="1"/>
                <c:pt idx="0">
                  <c:v>Antal kurser</c:v>
                </c:pt>
              </c:strCache>
            </c:strRef>
          </c:tx>
          <c:spPr>
            <a:solidFill>
              <a:schemeClr val="accent2"/>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Sammanställning!$Q$23:$Q$32</c:f>
              <c:strCache>
                <c:ptCount val="10"/>
                <c:pt idx="0">
                  <c:v>Termin 1</c:v>
                </c:pt>
                <c:pt idx="1">
                  <c:v>Termin 2</c:v>
                </c:pt>
                <c:pt idx="2">
                  <c:v>Termin 3</c:v>
                </c:pt>
                <c:pt idx="3">
                  <c:v>Termin 4</c:v>
                </c:pt>
                <c:pt idx="4">
                  <c:v>Termin 5</c:v>
                </c:pt>
                <c:pt idx="5">
                  <c:v>Termin 6</c:v>
                </c:pt>
                <c:pt idx="6">
                  <c:v>Termin 7</c:v>
                </c:pt>
                <c:pt idx="7">
                  <c:v>Termin 8</c:v>
                </c:pt>
                <c:pt idx="8">
                  <c:v>Termin 9</c:v>
                </c:pt>
                <c:pt idx="9">
                  <c:v>Termin 10</c:v>
                </c:pt>
              </c:strCache>
            </c:strRef>
          </c:cat>
          <c:val>
            <c:numRef>
              <c:f>Sammanställning!$L$23:$L$32</c:f>
              <c:numCache>
                <c:formatCode>General</c:formatCode>
                <c:ptCount val="10"/>
                <c:pt idx="0">
                  <c:v>4</c:v>
                </c:pt>
                <c:pt idx="1">
                  <c:v>5</c:v>
                </c:pt>
                <c:pt idx="2">
                  <c:v>5</c:v>
                </c:pt>
                <c:pt idx="3">
                  <c:v>4</c:v>
                </c:pt>
                <c:pt idx="4">
                  <c:v>3</c:v>
                </c:pt>
                <c:pt idx="5">
                  <c:v>1</c:v>
                </c:pt>
                <c:pt idx="6">
                  <c:v>0</c:v>
                </c:pt>
                <c:pt idx="7">
                  <c:v>1</c:v>
                </c:pt>
                <c:pt idx="8">
                  <c:v>0</c:v>
                </c:pt>
                <c:pt idx="9">
                  <c:v>0</c:v>
                </c:pt>
              </c:numCache>
            </c:numRef>
          </c:val>
        </c:ser>
        <c:dLbls>
          <c:dLblPos val="outEnd"/>
          <c:showLegendKey val="0"/>
          <c:showVal val="1"/>
          <c:showCatName val="0"/>
          <c:showSerName val="0"/>
          <c:showPercent val="0"/>
          <c:showBubbleSize val="0"/>
        </c:dLbls>
        <c:gapWidth val="150"/>
        <c:overlap val="-45"/>
        <c:axId val="268321896"/>
        <c:axId val="268323072"/>
      </c:barChart>
      <c:catAx>
        <c:axId val="268321896"/>
        <c:scaling>
          <c:orientation val="maxMin"/>
        </c:scaling>
        <c:delete val="0"/>
        <c:axPos val="l"/>
        <c:majorGridlines>
          <c:spPr>
            <a:ln w="9525" cap="flat" cmpd="sng" algn="ctr">
              <a:solidFill>
                <a:schemeClr val="accent3">
                  <a:lumMod val="50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8323072"/>
        <c:crosses val="autoZero"/>
        <c:auto val="1"/>
        <c:lblAlgn val="ctr"/>
        <c:lblOffset val="100"/>
        <c:noMultiLvlLbl val="0"/>
      </c:catAx>
      <c:valAx>
        <c:axId val="268323072"/>
        <c:scaling>
          <c:orientation val="minMax"/>
        </c:scaling>
        <c:delete val="1"/>
        <c:axPos val="t"/>
        <c:numFmt formatCode="General" sourceLinked="1"/>
        <c:majorTickMark val="none"/>
        <c:minorTickMark val="none"/>
        <c:tickLblPos val="nextTo"/>
        <c:crossAx val="268321896"/>
        <c:crosses val="autoZero"/>
        <c:crossBetween val="between"/>
      </c:valAx>
      <c:spPr>
        <a:noFill/>
        <a:ln>
          <a:noFill/>
        </a:ln>
        <a:effectLst/>
      </c:spPr>
    </c:plotArea>
    <c:legend>
      <c:legendPos val="r"/>
      <c:layout>
        <c:manualLayout>
          <c:xMode val="edge"/>
          <c:yMode val="edge"/>
          <c:x val="0.83523686588356783"/>
          <c:y val="0.21693081713954399"/>
          <c:w val="0.16268563203793074"/>
          <c:h val="0.1955386270859309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a:outerShdw blurRad="50800" dist="50800" dir="5400000" algn="ctr" rotWithShape="0">
        <a:srgbClr val="000000">
          <a:alpha val="0"/>
        </a:srgbClr>
      </a:outerShdw>
    </a:effectLst>
  </c:spPr>
  <c:txPr>
    <a:bodyPr/>
    <a:lstStyle/>
    <a:p>
      <a:pPr>
        <a:defRPr/>
      </a:pPr>
      <a:endParaRPr lang="en-US"/>
    </a:p>
  </c:txPr>
  <c:printSettings>
    <c:headerFooter/>
    <c:pageMargins b="0.75" l="0.7" r="0.7" t="0.75" header="0.3" footer="0.3"/>
    <c:pageSetup/>
  </c:printSettings>
  <c:userShapes r:id="rId3"/>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Label" lockText="1"/>
</file>

<file path=xl/ctrlProps/ctrlProp2.xml><?xml version="1.0" encoding="utf-8"?>
<formControlPr xmlns="http://schemas.microsoft.com/office/spreadsheetml/2009/9/main" objectType="Label" lockText="1"/>
</file>

<file path=xl/ctrlProps/ctrlProp3.xml><?xml version="1.0" encoding="utf-8"?>
<formControlPr xmlns="http://schemas.microsoft.com/office/spreadsheetml/2009/9/main" objectType="Label" lockText="1"/>
</file>

<file path=xl/ctrlProps/ctrlProp4.xml><?xml version="1.0" encoding="utf-8"?>
<formControlPr xmlns="http://schemas.microsoft.com/office/spreadsheetml/2009/9/main" objectType="Label" lockText="1"/>
</file>

<file path=xl/ctrlProps/ctrlProp5.xml><?xml version="1.0" encoding="utf-8"?>
<formControlPr xmlns="http://schemas.microsoft.com/office/spreadsheetml/2009/9/main" objectType="Label" lockText="1"/>
</file>

<file path=xl/ctrlProps/ctrlProp6.xml><?xml version="1.0" encoding="utf-8"?>
<formControlPr xmlns="http://schemas.microsoft.com/office/spreadsheetml/2009/9/main" objectType="Label" lockText="1"/>
</file>

<file path=xl/ctrlProps/ctrlProp7.xml><?xml version="1.0" encoding="utf-8"?>
<formControlPr xmlns="http://schemas.microsoft.com/office/spreadsheetml/2009/9/main" objectType="Label" lockText="1"/>
</file>

<file path=xl/ctrlProps/ctrlProp8.xml><?xml version="1.0" encoding="utf-8"?>
<formControlPr xmlns="http://schemas.microsoft.com/office/spreadsheetml/2009/9/main" objectType="Label" lockText="1"/>
</file>

<file path=xl/ctrlProps/ctrlProp9.xml><?xml version="1.0" encoding="utf-8"?>
<formControlPr xmlns="http://schemas.microsoft.com/office/spreadsheetml/2009/9/main" objectType="Label" lockText="1"/>
</file>

<file path=xl/ctrlProps/ctrlProp10.xml><?xml version="1.0" encoding="utf-8"?>
<formControlPr xmlns="http://schemas.microsoft.com/office/spreadsheetml/2009/9/main" objectType="Drop" dropStyle="combo" dx="16" fmlaRange="'Program och examenskrav'!$E$6:$G$14" noThreeD="1" sel="4" val="0"/>
</file>

<file path=xl/ctrlProps/ctrlProp11.xml><?xml version="1.0" encoding="utf-8"?>
<formControlPr xmlns="http://schemas.microsoft.com/office/spreadsheetml/2009/9/main" objectType="Drop" dropStyle="combo" dx="16" fmlaRange="DynamicSpecRange" noThreeD="1" sel="2" val="0"/>
</file>

<file path=xl/ctrlProps/ctrlProp12.xml><?xml version="1.0" encoding="utf-8"?>
<formControlPr xmlns="http://schemas.microsoft.com/office/spreadsheetml/2009/9/main" objectType="Drop" dropStyle="combo" dx="16" fmlaRange="DynamicSpecRange" noThreeD="1" sel="8" val="0"/>
</file>

<file path=xl/ctrlProps/ctrlProp13.xml><?xml version="1.0" encoding="utf-8"?>
<formControlPr xmlns="http://schemas.microsoft.com/office/spreadsheetml/2009/9/main" objectType="Drop" dropStyle="combo" dx="16" fmlaRange="Konstanter!$D$6:$D$13" noThreeD="1" sel="5" val="0"/>
</file>

<file path=xl/ctrlProps/ctrlProp14.xml><?xml version="1.0" encoding="utf-8"?>
<formControlPr xmlns="http://schemas.microsoft.com/office/spreadsheetml/2009/9/main" objectType="Drop" dropStyle="combo" dx="16" fmlaRange="'Program och examenskrav'!$E$6:$G$14" noThreeD="1" sel="4" val="0"/>
</file>

<file path=xl/ctrlProps/ctrlProp15.xml><?xml version="1.0" encoding="utf-8"?>
<formControlPr xmlns="http://schemas.microsoft.com/office/spreadsheetml/2009/9/main" objectType="Drop" dropStyle="combo" dx="16" fmlaRange="'Program och examenskrav'!$E$6:$G$14" noThreeD="1" sel="7" val="0"/>
</file>

<file path=xl/ctrlProps/ctrlProp16.xml><?xml version="1.0" encoding="utf-8"?>
<formControlPr xmlns="http://schemas.microsoft.com/office/spreadsheetml/2009/9/main" objectType="Radio" firstButton="1" lockText="1" noThreeD="1"/>
</file>

<file path=xl/ctrlProps/ctrlProp17.xml><?xml version="1.0" encoding="utf-8"?>
<formControlPr xmlns="http://schemas.microsoft.com/office/spreadsheetml/2009/9/main" objectType="Radio" checked="Checked" lockText="1" noThreeD="1"/>
</file>

<file path=xl/ctrlProps/ctrlProp18.xml><?xml version="1.0" encoding="utf-8"?>
<formControlPr xmlns="http://schemas.microsoft.com/office/spreadsheetml/2009/9/main" objectType="Drop" dropStyle="combo" dx="16" fmlaLink="Import_Spec" fmlaRange="'Program och examenskrav'!$F$27:$F$69" noThreeD="1" sel="37" val="35"/>
</file>

<file path=xl/ctrlProps/ctrlProp19.xml><?xml version="1.0" encoding="utf-8"?>
<formControlPr xmlns="http://schemas.microsoft.com/office/spreadsheetml/2009/9/main" objectType="Drop" dropStyle="combo" dx="16" fmlaLink="Import_Program" fmlaRange="'Program och examenskrav'!$E$6:$E$14" noThreeD="1" sel="4" val="0"/>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9</xdr:col>
      <xdr:colOff>693769</xdr:colOff>
      <xdr:row>5</xdr:row>
      <xdr:rowOff>323849</xdr:rowOff>
    </xdr:from>
    <xdr:to>
      <xdr:col>14</xdr:col>
      <xdr:colOff>239865</xdr:colOff>
      <xdr:row>5</xdr:row>
      <xdr:rowOff>323849</xdr:rowOff>
    </xdr:to>
    <xdr:cxnSp macro="">
      <xdr:nvCxnSpPr>
        <xdr:cNvPr id="8" name="Kantlinje" descr="&quot;&quot;" title="Kantlinje"/>
        <xdr:cNvCxnSpPr/>
      </xdr:nvCxnSpPr>
      <xdr:spPr>
        <a:xfrm>
          <a:off x="6551644" y="1543049"/>
          <a:ext cx="6061196"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6</xdr:row>
      <xdr:rowOff>0</xdr:rowOff>
    </xdr:from>
    <xdr:to>
      <xdr:col>9</xdr:col>
      <xdr:colOff>0</xdr:colOff>
      <xdr:row>6</xdr:row>
      <xdr:rowOff>0</xdr:rowOff>
    </xdr:to>
    <xdr:cxnSp macro="">
      <xdr:nvCxnSpPr>
        <xdr:cNvPr id="4" name="Kantlinje" descr="&quot;&quot;" title="Kantlinje"/>
        <xdr:cNvCxnSpPr/>
      </xdr:nvCxnSpPr>
      <xdr:spPr>
        <a:xfrm>
          <a:off x="685800" y="1562100"/>
          <a:ext cx="5714816"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371475</xdr:colOff>
      <xdr:row>22</xdr:row>
      <xdr:rowOff>66675</xdr:rowOff>
    </xdr:from>
    <xdr:to>
      <xdr:col>15</xdr:col>
      <xdr:colOff>361950</xdr:colOff>
      <xdr:row>22</xdr:row>
      <xdr:rowOff>66675</xdr:rowOff>
    </xdr:to>
    <xdr:cxnSp macro="">
      <xdr:nvCxnSpPr>
        <xdr:cNvPr id="7" name="Kantlinje" descr="&quot;&quot;" title="Kantlinje"/>
        <xdr:cNvCxnSpPr/>
      </xdr:nvCxnSpPr>
      <xdr:spPr>
        <a:xfrm>
          <a:off x="8848725" y="6962775"/>
          <a:ext cx="6534150" cy="0"/>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571500</xdr:colOff>
      <xdr:row>21</xdr:row>
      <xdr:rowOff>57150</xdr:rowOff>
    </xdr:from>
    <xdr:to>
      <xdr:col>10</xdr:col>
      <xdr:colOff>200025</xdr:colOff>
      <xdr:row>32</xdr:row>
      <xdr:rowOff>152400</xdr:rowOff>
    </xdr:to>
    <xdr:graphicFrame macro="">
      <xdr:nvGraphicFramePr>
        <xdr:cNvPr id="11" name="Terminssammanfattning" descr="Stapeldiagram över poäng totalt och klasser för varje termin." title="Terminssammanfattning"/>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614368</xdr:colOff>
      <xdr:row>26</xdr:row>
      <xdr:rowOff>8337</xdr:rowOff>
    </xdr:from>
    <xdr:to>
      <xdr:col>15</xdr:col>
      <xdr:colOff>11724</xdr:colOff>
      <xdr:row>26</xdr:row>
      <xdr:rowOff>8337</xdr:rowOff>
    </xdr:to>
    <xdr:cxnSp macro="">
      <xdr:nvCxnSpPr>
        <xdr:cNvPr id="34" name="Kantlinje" descr="&quot;&quot;" title="Kantlinje"/>
        <xdr:cNvCxnSpPr/>
      </xdr:nvCxnSpPr>
      <xdr:spPr>
        <a:xfrm>
          <a:off x="9091618" y="8314137"/>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642943</xdr:colOff>
      <xdr:row>24</xdr:row>
      <xdr:rowOff>8337</xdr:rowOff>
    </xdr:from>
    <xdr:to>
      <xdr:col>15</xdr:col>
      <xdr:colOff>40299</xdr:colOff>
      <xdr:row>24</xdr:row>
      <xdr:rowOff>8337</xdr:rowOff>
    </xdr:to>
    <xdr:cxnSp macro="">
      <xdr:nvCxnSpPr>
        <xdr:cNvPr id="35" name="Kantlinje" descr="&quot;&quot;" title="Kantlinje"/>
        <xdr:cNvCxnSpPr/>
      </xdr:nvCxnSpPr>
      <xdr:spPr>
        <a:xfrm>
          <a:off x="9120193" y="7609287"/>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642943</xdr:colOff>
      <xdr:row>28</xdr:row>
      <xdr:rowOff>8336</xdr:rowOff>
    </xdr:from>
    <xdr:to>
      <xdr:col>15</xdr:col>
      <xdr:colOff>40299</xdr:colOff>
      <xdr:row>28</xdr:row>
      <xdr:rowOff>8336</xdr:rowOff>
    </xdr:to>
    <xdr:cxnSp macro="">
      <xdr:nvCxnSpPr>
        <xdr:cNvPr id="36" name="Kantlinje" descr="&quot;&quot;" title="Kantlinje"/>
        <xdr:cNvCxnSpPr/>
      </xdr:nvCxnSpPr>
      <xdr:spPr>
        <a:xfrm>
          <a:off x="9120193" y="9018986"/>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642943</xdr:colOff>
      <xdr:row>30</xdr:row>
      <xdr:rowOff>8336</xdr:rowOff>
    </xdr:from>
    <xdr:to>
      <xdr:col>15</xdr:col>
      <xdr:colOff>40299</xdr:colOff>
      <xdr:row>30</xdr:row>
      <xdr:rowOff>8336</xdr:rowOff>
    </xdr:to>
    <xdr:cxnSp macro="">
      <xdr:nvCxnSpPr>
        <xdr:cNvPr id="37" name="Kantlinje" descr="&quot;&quot;" title="Kantlinje"/>
        <xdr:cNvCxnSpPr/>
      </xdr:nvCxnSpPr>
      <xdr:spPr>
        <a:xfrm>
          <a:off x="9120193" y="9723836"/>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642943</xdr:colOff>
      <xdr:row>32</xdr:row>
      <xdr:rowOff>8023</xdr:rowOff>
    </xdr:from>
    <xdr:to>
      <xdr:col>15</xdr:col>
      <xdr:colOff>40299</xdr:colOff>
      <xdr:row>32</xdr:row>
      <xdr:rowOff>8023</xdr:rowOff>
    </xdr:to>
    <xdr:cxnSp macro="">
      <xdr:nvCxnSpPr>
        <xdr:cNvPr id="38" name="Kantlinje" descr="&quot;&quot;" title="Kantlinje"/>
        <xdr:cNvCxnSpPr/>
      </xdr:nvCxnSpPr>
      <xdr:spPr>
        <a:xfrm>
          <a:off x="9120193" y="10428373"/>
          <a:ext cx="5941031" cy="0"/>
        </a:xfrm>
        <a:prstGeom prst="line">
          <a:avLst/>
        </a:prstGeom>
        <a:ln w="31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428625</xdr:colOff>
      <xdr:row>35</xdr:row>
      <xdr:rowOff>0</xdr:rowOff>
    </xdr:from>
    <xdr:to>
      <xdr:col>8</xdr:col>
      <xdr:colOff>152400</xdr:colOff>
      <xdr:row>35</xdr:row>
      <xdr:rowOff>9525</xdr:rowOff>
    </xdr:to>
    <xdr:cxnSp macro="">
      <xdr:nvCxnSpPr>
        <xdr:cNvPr id="15" name="Straight Connector 1" descr="&quot;&quot;" title="Border"/>
        <xdr:cNvCxnSpPr/>
      </xdr:nvCxnSpPr>
      <xdr:spPr>
        <a:xfrm flipV="1">
          <a:off x="428625" y="11849100"/>
          <a:ext cx="5286375" cy="9525"/>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228696</xdr:colOff>
      <xdr:row>35</xdr:row>
      <xdr:rowOff>0</xdr:rowOff>
    </xdr:from>
    <xdr:to>
      <xdr:col>11</xdr:col>
      <xdr:colOff>1200150</xdr:colOff>
      <xdr:row>35</xdr:row>
      <xdr:rowOff>1</xdr:rowOff>
    </xdr:to>
    <xdr:cxnSp macro="">
      <xdr:nvCxnSpPr>
        <xdr:cNvPr id="22" name="Straight Connector 1" descr="&quot;&quot;" title="Border"/>
        <xdr:cNvCxnSpPr/>
      </xdr:nvCxnSpPr>
      <xdr:spPr>
        <a:xfrm flipV="1">
          <a:off x="5791296" y="11849100"/>
          <a:ext cx="3971829" cy="1"/>
        </a:xfrm>
        <a:prstGeom prst="line">
          <a:avLst/>
        </a:prstGeom>
        <a:ln w="28575">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9</xdr:col>
          <xdr:colOff>9525</xdr:colOff>
          <xdr:row>35</xdr:row>
          <xdr:rowOff>57150</xdr:rowOff>
        </xdr:from>
        <xdr:to>
          <xdr:col>11</xdr:col>
          <xdr:colOff>885825</xdr:colOff>
          <xdr:row>41</xdr:row>
          <xdr:rowOff>0</xdr:rowOff>
        </xdr:to>
        <xdr:sp macro="" textlink="">
          <xdr:nvSpPr>
            <xdr:cNvPr id="1034" name="Etikett 1" hidden="1">
              <a:extLst>
                <a:ext uri="{63B3BB69-23CF-44E3-9099-C40C66FF867C}">
                  <a14:compatExt spid="_x0000_s103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Segoe UI"/>
                  <a:cs typeface="Segoe UI"/>
                </a:rPr>
                <a:t>TATA41 Envariabelanalys 1, </a:t>
              </a:r>
            </a:p>
            <a:p>
              <a:pPr algn="l" rtl="0">
                <a:defRPr sz="1000"/>
              </a:pPr>
              <a:r>
                <a:rPr lang="en-US" sz="800" b="0" i="0" u="none" strike="noStrike" baseline="0">
                  <a:solidFill>
                    <a:srgbClr val="000000"/>
                  </a:solidFill>
                  <a:latin typeface="Segoe UI"/>
                  <a:cs typeface="Segoe UI"/>
                </a:rPr>
                <a:t>TEIE17 Industriell ekonomi, </a:t>
              </a:r>
            </a:p>
            <a:p>
              <a:pPr algn="l" rtl="0">
                <a:defRPr sz="1000"/>
              </a:pPr>
              <a:r>
                <a:rPr lang="en-US" sz="800" b="0" i="0" u="none" strike="noStrike" baseline="0">
                  <a:solidFill>
                    <a:srgbClr val="000000"/>
                  </a:solidFill>
                  <a:latin typeface="Segoe UI"/>
                  <a:cs typeface="Segoe UI"/>
                </a:rPr>
                <a:t>TATA31 Linjär algebra, </a:t>
              </a:r>
            </a:p>
            <a:p>
              <a:pPr algn="l" rtl="0">
                <a:defRPr sz="1000"/>
              </a:pPr>
              <a:r>
                <a:rPr lang="en-US" sz="800" b="0" i="0" u="none" strike="noStrike" baseline="0">
                  <a:solidFill>
                    <a:srgbClr val="000000"/>
                  </a:solidFill>
                  <a:latin typeface="Segoe UI"/>
                  <a:cs typeface="Segoe UI"/>
                </a:rPr>
                <a:t>TATM79 Matematisk grundkurs, </a:t>
              </a:r>
            </a:p>
            <a:p>
              <a:pPr algn="l" rtl="0">
                <a:defRPr sz="1000"/>
              </a:pPr>
              <a:endParaRPr lang="en-US" sz="800" b="0" i="0" u="none" strike="noStrike" baseline="0">
                <a:solidFill>
                  <a:srgbClr val="000000"/>
                </a:solidFill>
                <a:latin typeface="Segoe UI"/>
                <a:cs typeface="Segoe UI"/>
              </a:endParaRPr>
            </a:p>
            <a:p>
              <a:pPr algn="l" rtl="0">
                <a:defRPr sz="1000"/>
              </a:pPr>
              <a:endParaRPr lang="en-US" sz="800" b="0" i="0" u="none" strike="noStrike" baseline="0">
                <a:solidFill>
                  <a:srgbClr val="000000"/>
                </a:solidFill>
                <a:latin typeface="Segoe UI"/>
                <a:cs typeface="Segoe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41</xdr:row>
          <xdr:rowOff>57150</xdr:rowOff>
        </xdr:from>
        <xdr:to>
          <xdr:col>11</xdr:col>
          <xdr:colOff>885825</xdr:colOff>
          <xdr:row>47</xdr:row>
          <xdr:rowOff>0</xdr:rowOff>
        </xdr:to>
        <xdr:sp macro="" textlink="">
          <xdr:nvSpPr>
            <xdr:cNvPr id="1038" name="Etikett 2" hidden="1">
              <a:extLst>
                <a:ext uri="{63B3BB69-23CF-44E3-9099-C40C66FF867C}">
                  <a14:compatExt spid="_x0000_s103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Segoe UI"/>
                  <a:cs typeface="Segoe UI"/>
                </a:rPr>
                <a:t>TSKS08 Introduktionskurs i Matlab, </a:t>
              </a:r>
            </a:p>
            <a:p>
              <a:pPr algn="l" rtl="0">
                <a:defRPr sz="1000"/>
              </a:pPr>
              <a:r>
                <a:rPr lang="en-US" sz="800" b="0" i="0" u="none" strike="noStrike" baseline="0">
                  <a:solidFill>
                    <a:srgbClr val="000000"/>
                  </a:solidFill>
                  <a:latin typeface="Segoe UI"/>
                  <a:cs typeface="Segoe UI"/>
                </a:rPr>
                <a:t>TEIO61 Industriell organisation, grundkurs, </a:t>
              </a:r>
            </a:p>
            <a:p>
              <a:pPr algn="l" rtl="0">
                <a:defRPr sz="1000"/>
              </a:pPr>
              <a:r>
                <a:rPr lang="en-US" sz="800" b="0" i="0" u="none" strike="noStrike" baseline="0">
                  <a:solidFill>
                    <a:srgbClr val="000000"/>
                  </a:solidFill>
                  <a:latin typeface="Segoe UI"/>
                  <a:cs typeface="Segoe UI"/>
                </a:rPr>
                <a:t>TDDD11 Programmering, grundkurs, </a:t>
              </a:r>
            </a:p>
            <a:p>
              <a:pPr algn="l" rtl="0">
                <a:defRPr sz="1000"/>
              </a:pPr>
              <a:r>
                <a:rPr lang="en-US" sz="800" b="0" i="0" u="none" strike="noStrike" baseline="0">
                  <a:solidFill>
                    <a:srgbClr val="000000"/>
                  </a:solidFill>
                  <a:latin typeface="Segoe UI"/>
                  <a:cs typeface="Segoe UI"/>
                </a:rPr>
                <a:t>TATA43 Flervariabelanalys, </a:t>
              </a:r>
            </a:p>
            <a:p>
              <a:pPr algn="l" rtl="0">
                <a:defRPr sz="1000"/>
              </a:pPr>
              <a:r>
                <a:rPr lang="en-US" sz="800" b="0" i="0" u="none" strike="noStrike" baseline="0">
                  <a:solidFill>
                    <a:srgbClr val="000000"/>
                  </a:solidFill>
                  <a:latin typeface="Segoe UI"/>
                  <a:cs typeface="Segoe UI"/>
                </a:rPr>
                <a:t>TATA42 Envariabelanalys 2, </a:t>
              </a:r>
            </a:p>
            <a:p>
              <a:pPr algn="l" rtl="0">
                <a:defRPr sz="1000"/>
              </a:pPr>
              <a:endParaRPr lang="en-US" sz="800" b="0" i="0" u="none" strike="noStrike" baseline="0">
                <a:solidFill>
                  <a:srgbClr val="000000"/>
                </a:solidFill>
                <a:latin typeface="Segoe UI"/>
                <a:cs typeface="Segoe UI"/>
              </a:endParaRPr>
            </a:p>
            <a:p>
              <a:pPr algn="l" rtl="0">
                <a:defRPr sz="1000"/>
              </a:pPr>
              <a:endParaRPr lang="en-US" sz="800" b="0" i="0" u="none" strike="noStrike" baseline="0">
                <a:solidFill>
                  <a:srgbClr val="000000"/>
                </a:solidFill>
                <a:latin typeface="Segoe UI"/>
                <a:cs typeface="Segoe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47</xdr:row>
          <xdr:rowOff>57150</xdr:rowOff>
        </xdr:from>
        <xdr:to>
          <xdr:col>11</xdr:col>
          <xdr:colOff>885825</xdr:colOff>
          <xdr:row>53</xdr:row>
          <xdr:rowOff>0</xdr:rowOff>
        </xdr:to>
        <xdr:sp macro="" textlink="">
          <xdr:nvSpPr>
            <xdr:cNvPr id="1039" name="Etikett 3" hidden="1">
              <a:extLst>
                <a:ext uri="{63B3BB69-23CF-44E3-9099-C40C66FF867C}">
                  <a14:compatExt spid="_x0000_s103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Segoe UI"/>
                  <a:cs typeface="Segoe UI"/>
                </a:rPr>
                <a:t>TFYA14 Fysik, </a:t>
              </a:r>
            </a:p>
            <a:p>
              <a:pPr algn="l" rtl="0">
                <a:defRPr sz="1000"/>
              </a:pPr>
              <a:r>
                <a:rPr lang="en-US" sz="800" b="0" i="0" u="none" strike="noStrike" baseline="0">
                  <a:solidFill>
                    <a:srgbClr val="000000"/>
                  </a:solidFill>
                  <a:latin typeface="Segoe UI"/>
                  <a:cs typeface="Segoe UI"/>
                </a:rPr>
                <a:t>TAOP37 Optimeringslära, fortsättningskurs, </a:t>
              </a:r>
            </a:p>
            <a:p>
              <a:pPr algn="l" rtl="0">
                <a:defRPr sz="1000"/>
              </a:pPr>
              <a:r>
                <a:rPr lang="en-US" sz="800" b="0" i="0" u="none" strike="noStrike" baseline="0">
                  <a:solidFill>
                    <a:srgbClr val="000000"/>
                  </a:solidFill>
                  <a:latin typeface="Segoe UI"/>
                  <a:cs typeface="Segoe UI"/>
                </a:rPr>
                <a:t>TSKS09 Linjära system, </a:t>
              </a:r>
            </a:p>
            <a:p>
              <a:pPr algn="l" rtl="0">
                <a:defRPr sz="1000"/>
              </a:pPr>
              <a:r>
                <a:rPr lang="en-US" sz="800" b="0" i="0" u="none" strike="noStrike" baseline="0">
                  <a:solidFill>
                    <a:srgbClr val="000000"/>
                  </a:solidFill>
                  <a:latin typeface="Segoe UI"/>
                  <a:cs typeface="Segoe UI"/>
                </a:rPr>
                <a:t>TMME27 Mekanik I, </a:t>
              </a:r>
            </a:p>
            <a:p>
              <a:pPr algn="l" rtl="0">
                <a:defRPr sz="1000"/>
              </a:pPr>
              <a:r>
                <a:rPr lang="en-US" sz="800" b="0" i="0" u="none" strike="noStrike" baseline="0">
                  <a:solidFill>
                    <a:srgbClr val="000000"/>
                  </a:solidFill>
                  <a:latin typeface="Segoe UI"/>
                  <a:cs typeface="Segoe UI"/>
                </a:rPr>
                <a:t>TAOP14 Optimeringslära, grundkurs, </a:t>
              </a:r>
            </a:p>
            <a:p>
              <a:pPr algn="l" rtl="0">
                <a:defRPr sz="1000"/>
              </a:pPr>
              <a:r>
                <a:rPr lang="en-US" sz="800" b="0" i="0" u="none" strike="noStrike" baseline="0">
                  <a:solidFill>
                    <a:srgbClr val="000000"/>
                  </a:solidFill>
                  <a:latin typeface="Segoe UI"/>
                  <a:cs typeface="Segoe UI"/>
                </a:rPr>
                <a:t> </a:t>
              </a:r>
            </a:p>
            <a:p>
              <a:pPr algn="l" rtl="0">
                <a:defRPr sz="1000"/>
              </a:pPr>
              <a:endParaRPr lang="en-US" sz="800" b="0" i="0" u="none" strike="noStrike" baseline="0">
                <a:solidFill>
                  <a:srgbClr val="000000"/>
                </a:solidFill>
                <a:latin typeface="Segoe UI"/>
                <a:cs typeface="Segoe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53</xdr:row>
          <xdr:rowOff>57150</xdr:rowOff>
        </xdr:from>
        <xdr:to>
          <xdr:col>11</xdr:col>
          <xdr:colOff>885825</xdr:colOff>
          <xdr:row>59</xdr:row>
          <xdr:rowOff>0</xdr:rowOff>
        </xdr:to>
        <xdr:sp macro="" textlink="">
          <xdr:nvSpPr>
            <xdr:cNvPr id="1040" name="Etikett 4" hidden="1">
              <a:extLst>
                <a:ext uri="{63B3BB69-23CF-44E3-9099-C40C66FF867C}">
                  <a14:compatExt spid="_x0000_s104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Segoe UI"/>
                  <a:cs typeface="Segoe UI"/>
                </a:rPr>
                <a:t>TPPE98 Ekonomisk analys: Ekonomisk teori, </a:t>
              </a:r>
            </a:p>
            <a:p>
              <a:pPr algn="l" rtl="0">
                <a:defRPr sz="1000"/>
              </a:pPr>
              <a:r>
                <a:rPr lang="en-US" sz="800" b="0" i="0" u="none" strike="noStrike" baseline="0">
                  <a:solidFill>
                    <a:srgbClr val="000000"/>
                  </a:solidFill>
                  <a:latin typeface="Segoe UI"/>
                  <a:cs typeface="Segoe UI"/>
                </a:rPr>
                <a:t>TAMS79 Matematisk statistik, grundkurs, </a:t>
              </a:r>
            </a:p>
            <a:p>
              <a:pPr algn="l" rtl="0">
                <a:defRPr sz="1000"/>
              </a:pPr>
              <a:r>
                <a:rPr lang="en-US" sz="800" b="0" i="0" u="none" strike="noStrike" baseline="0">
                  <a:solidFill>
                    <a:srgbClr val="000000"/>
                  </a:solidFill>
                  <a:latin typeface="Segoe UI"/>
                  <a:cs typeface="Segoe UI"/>
                </a:rPr>
                <a:t>TPPE24 Ekonomisk analys: Besluts- och finansiell metodik, </a:t>
              </a:r>
            </a:p>
            <a:p>
              <a:pPr algn="l" rtl="0">
                <a:defRPr sz="1000"/>
              </a:pPr>
              <a:r>
                <a:rPr lang="en-US" sz="800" b="0" i="0" u="none" strike="noStrike" baseline="0">
                  <a:solidFill>
                    <a:srgbClr val="000000"/>
                  </a:solidFill>
                  <a:latin typeface="Segoe UI"/>
                  <a:cs typeface="Segoe UI"/>
                </a:rPr>
                <a:t>TAMS65 Matematisk statistik I, fortsättningskurs, </a:t>
              </a:r>
            </a:p>
            <a:p>
              <a:pPr algn="l" rtl="0">
                <a:defRPr sz="1000"/>
              </a:pPr>
              <a:r>
                <a:rPr lang="en-US" sz="800" b="0" i="0" u="none" strike="noStrike" baseline="0">
                  <a:solidFill>
                    <a:srgbClr val="000000"/>
                  </a:solidFill>
                  <a:latin typeface="Segoe UI"/>
                  <a:cs typeface="Segoe UI"/>
                </a:rPr>
                <a:t> </a:t>
              </a:r>
            </a:p>
            <a:p>
              <a:pPr algn="l" rtl="0">
                <a:defRPr sz="1000"/>
              </a:pPr>
              <a:endParaRPr lang="en-US" sz="800" b="0" i="0" u="none" strike="noStrike" baseline="0">
                <a:solidFill>
                  <a:srgbClr val="000000"/>
                </a:solidFill>
                <a:latin typeface="Segoe UI"/>
                <a:cs typeface="Segoe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59</xdr:row>
          <xdr:rowOff>57150</xdr:rowOff>
        </xdr:from>
        <xdr:to>
          <xdr:col>11</xdr:col>
          <xdr:colOff>885825</xdr:colOff>
          <xdr:row>65</xdr:row>
          <xdr:rowOff>0</xdr:rowOff>
        </xdr:to>
        <xdr:sp macro="" textlink="">
          <xdr:nvSpPr>
            <xdr:cNvPr id="1041" name="Etikett 5" hidden="1">
              <a:extLst>
                <a:ext uri="{63B3BB69-23CF-44E3-9099-C40C66FF867C}">
                  <a14:compatExt spid="_x0000_s104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Segoe UI"/>
                  <a:cs typeface="Segoe UI"/>
                </a:rPr>
                <a:t>TPPE13 Produktionsekonomi, </a:t>
              </a:r>
            </a:p>
            <a:p>
              <a:pPr algn="l" rtl="0">
                <a:defRPr sz="1000"/>
              </a:pPr>
              <a:r>
                <a:rPr lang="en-US" sz="800" b="0" i="0" u="none" strike="noStrike" baseline="0">
                  <a:solidFill>
                    <a:srgbClr val="000000"/>
                  </a:solidFill>
                  <a:latin typeface="Segoe UI"/>
                  <a:cs typeface="Segoe UI"/>
                </a:rPr>
                <a:t>TSRT19 Reglerteknik I, </a:t>
              </a:r>
            </a:p>
            <a:p>
              <a:pPr algn="l" rtl="0">
                <a:defRPr sz="1000"/>
              </a:pPr>
              <a:r>
                <a:rPr lang="en-US" sz="800" b="0" i="0" u="none" strike="noStrike" baseline="0">
                  <a:solidFill>
                    <a:srgbClr val="000000"/>
                  </a:solidFill>
                  <a:latin typeface="Segoe UI"/>
                  <a:cs typeface="Segoe UI"/>
                </a:rPr>
                <a:t>TEIM02 Grundläggande marknadsföring, </a:t>
              </a:r>
            </a:p>
            <a:p>
              <a:pPr algn="l" rtl="0">
                <a:defRPr sz="1000"/>
              </a:pPr>
              <a:r>
                <a:rPr lang="en-US" sz="800" b="0" i="0" u="none" strike="noStrike" baseline="0">
                  <a:solidFill>
                    <a:srgbClr val="000000"/>
                  </a:solidFill>
                  <a:latin typeface="Segoe UI"/>
                  <a:cs typeface="Segoe UI"/>
                </a:rPr>
                <a:t> </a:t>
              </a:r>
            </a:p>
            <a:p>
              <a:pPr algn="l" rtl="0">
                <a:defRPr sz="1000"/>
              </a:pPr>
              <a:endParaRPr lang="en-US" sz="800" b="0" i="0" u="none" strike="noStrike" baseline="0">
                <a:solidFill>
                  <a:srgbClr val="000000"/>
                </a:solidFill>
                <a:latin typeface="Segoe UI"/>
                <a:cs typeface="Segoe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65</xdr:row>
          <xdr:rowOff>57150</xdr:rowOff>
        </xdr:from>
        <xdr:to>
          <xdr:col>11</xdr:col>
          <xdr:colOff>885825</xdr:colOff>
          <xdr:row>71</xdr:row>
          <xdr:rowOff>0</xdr:rowOff>
        </xdr:to>
        <xdr:sp macro="" textlink="">
          <xdr:nvSpPr>
            <xdr:cNvPr id="1042" name="Etikett 6" hidden="1">
              <a:extLst>
                <a:ext uri="{63B3BB69-23CF-44E3-9099-C40C66FF867C}">
                  <a14:compatExt spid="_x0000_s104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Segoe UI"/>
                  <a:cs typeface="Segoe UI"/>
                </a:rPr>
                <a:t>TEIO04 Projektledning, </a:t>
              </a:r>
            </a:p>
            <a:p>
              <a:pPr algn="l" rtl="0">
                <a:defRPr sz="1000"/>
              </a:pPr>
              <a:endParaRPr lang="en-US" sz="800" b="0" i="0" u="none" strike="noStrike" baseline="0">
                <a:solidFill>
                  <a:srgbClr val="000000"/>
                </a:solidFill>
                <a:latin typeface="Segoe UI"/>
                <a:cs typeface="Segoe UI"/>
              </a:endParaRPr>
            </a:p>
            <a:p>
              <a:pPr algn="l" rtl="0">
                <a:defRPr sz="1000"/>
              </a:pPr>
              <a:endParaRPr lang="en-US" sz="800" b="0" i="0" u="none" strike="noStrike" baseline="0">
                <a:solidFill>
                  <a:srgbClr val="000000"/>
                </a:solidFill>
                <a:latin typeface="Segoe UI"/>
                <a:cs typeface="Segoe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71</xdr:row>
          <xdr:rowOff>57150</xdr:rowOff>
        </xdr:from>
        <xdr:to>
          <xdr:col>11</xdr:col>
          <xdr:colOff>885825</xdr:colOff>
          <xdr:row>77</xdr:row>
          <xdr:rowOff>0</xdr:rowOff>
        </xdr:to>
        <xdr:sp macro="" textlink="">
          <xdr:nvSpPr>
            <xdr:cNvPr id="1043" name="Etikett 7" hidden="1">
              <a:extLst>
                <a:ext uri="{63B3BB69-23CF-44E3-9099-C40C66FF867C}">
                  <a14:compatExt spid="_x0000_s104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77</xdr:row>
          <xdr:rowOff>57150</xdr:rowOff>
        </xdr:from>
        <xdr:to>
          <xdr:col>11</xdr:col>
          <xdr:colOff>885825</xdr:colOff>
          <xdr:row>83</xdr:row>
          <xdr:rowOff>0</xdr:rowOff>
        </xdr:to>
        <xdr:sp macro="" textlink="">
          <xdr:nvSpPr>
            <xdr:cNvPr id="1044" name="Etikett 8" hidden="1">
              <a:extLst>
                <a:ext uri="{63B3BB69-23CF-44E3-9099-C40C66FF867C}">
                  <a14:compatExt spid="_x0000_s104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Segoe UI"/>
                  <a:cs typeface="Segoe UI"/>
                </a:rPr>
                <a:t>TEIE06 Integrerad företagsplanering, </a:t>
              </a:r>
            </a:p>
            <a:p>
              <a:pPr algn="l" rtl="0">
                <a:defRPr sz="1000"/>
              </a:pPr>
              <a:endParaRPr lang="en-US" sz="800" b="0" i="0" u="none" strike="noStrike" baseline="0">
                <a:solidFill>
                  <a:srgbClr val="000000"/>
                </a:solidFill>
                <a:latin typeface="Segoe UI"/>
                <a:cs typeface="Segoe UI"/>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83</xdr:row>
          <xdr:rowOff>57150</xdr:rowOff>
        </xdr:from>
        <xdr:to>
          <xdr:col>11</xdr:col>
          <xdr:colOff>885825</xdr:colOff>
          <xdr:row>89</xdr:row>
          <xdr:rowOff>0</xdr:rowOff>
        </xdr:to>
        <xdr:sp macro="" textlink="">
          <xdr:nvSpPr>
            <xdr:cNvPr id="1045" name="Etikett 9" hidden="1">
              <a:extLst>
                <a:ext uri="{63B3BB69-23CF-44E3-9099-C40C66FF867C}">
                  <a14:compatExt spid="_x0000_s104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oneCellAnchor>
    <xdr:from>
      <xdr:col>1</xdr:col>
      <xdr:colOff>0</xdr:colOff>
      <xdr:row>83</xdr:row>
      <xdr:rowOff>0</xdr:rowOff>
    </xdr:from>
    <xdr:ext cx="1104899" cy="876300"/>
    <xdr:sp macro="" textlink="">
      <xdr:nvSpPr>
        <xdr:cNvPr id="41" name="textruta 40"/>
        <xdr:cNvSpPr txBox="1"/>
      </xdr:nvSpPr>
      <xdr:spPr>
        <a:xfrm>
          <a:off x="685800" y="191643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9</a:t>
          </a:r>
        </a:p>
      </xdr:txBody>
    </xdr:sp>
    <xdr:clientData/>
  </xdr:oneCellAnchor>
  <xdr:oneCellAnchor>
    <xdr:from>
      <xdr:col>1</xdr:col>
      <xdr:colOff>0</xdr:colOff>
      <xdr:row>77</xdr:row>
      <xdr:rowOff>0</xdr:rowOff>
    </xdr:from>
    <xdr:ext cx="1104899" cy="876300"/>
    <xdr:sp macro="" textlink="">
      <xdr:nvSpPr>
        <xdr:cNvPr id="42" name="textruta 41"/>
        <xdr:cNvSpPr txBox="1"/>
      </xdr:nvSpPr>
      <xdr:spPr>
        <a:xfrm>
          <a:off x="685800" y="182499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8</a:t>
          </a:r>
        </a:p>
      </xdr:txBody>
    </xdr:sp>
    <xdr:clientData/>
  </xdr:oneCellAnchor>
  <xdr:oneCellAnchor>
    <xdr:from>
      <xdr:col>1</xdr:col>
      <xdr:colOff>0</xdr:colOff>
      <xdr:row>71</xdr:row>
      <xdr:rowOff>0</xdr:rowOff>
    </xdr:from>
    <xdr:ext cx="1104899" cy="876300"/>
    <xdr:sp macro="" textlink="">
      <xdr:nvSpPr>
        <xdr:cNvPr id="43" name="textruta 42"/>
        <xdr:cNvSpPr txBox="1"/>
      </xdr:nvSpPr>
      <xdr:spPr>
        <a:xfrm>
          <a:off x="685800" y="173355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7</a:t>
          </a:r>
        </a:p>
      </xdr:txBody>
    </xdr:sp>
    <xdr:clientData/>
  </xdr:oneCellAnchor>
  <xdr:oneCellAnchor>
    <xdr:from>
      <xdr:col>1</xdr:col>
      <xdr:colOff>0</xdr:colOff>
      <xdr:row>65</xdr:row>
      <xdr:rowOff>0</xdr:rowOff>
    </xdr:from>
    <xdr:ext cx="1104899" cy="876300"/>
    <xdr:sp macro="" textlink="">
      <xdr:nvSpPr>
        <xdr:cNvPr id="44" name="textruta 43"/>
        <xdr:cNvSpPr txBox="1"/>
      </xdr:nvSpPr>
      <xdr:spPr>
        <a:xfrm>
          <a:off x="685800" y="164211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6</a:t>
          </a:r>
        </a:p>
      </xdr:txBody>
    </xdr:sp>
    <xdr:clientData/>
  </xdr:oneCellAnchor>
  <xdr:oneCellAnchor>
    <xdr:from>
      <xdr:col>1</xdr:col>
      <xdr:colOff>0</xdr:colOff>
      <xdr:row>59</xdr:row>
      <xdr:rowOff>0</xdr:rowOff>
    </xdr:from>
    <xdr:ext cx="1104899" cy="876300"/>
    <xdr:sp macro="" textlink="">
      <xdr:nvSpPr>
        <xdr:cNvPr id="45" name="textruta 44"/>
        <xdr:cNvSpPr txBox="1"/>
      </xdr:nvSpPr>
      <xdr:spPr>
        <a:xfrm>
          <a:off x="685800" y="155067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5</a:t>
          </a:r>
        </a:p>
      </xdr:txBody>
    </xdr:sp>
    <xdr:clientData/>
  </xdr:oneCellAnchor>
  <xdr:oneCellAnchor>
    <xdr:from>
      <xdr:col>1</xdr:col>
      <xdr:colOff>0</xdr:colOff>
      <xdr:row>53</xdr:row>
      <xdr:rowOff>0</xdr:rowOff>
    </xdr:from>
    <xdr:ext cx="1104899" cy="876300"/>
    <xdr:sp macro="" textlink="">
      <xdr:nvSpPr>
        <xdr:cNvPr id="46" name="textruta 45"/>
        <xdr:cNvSpPr txBox="1"/>
      </xdr:nvSpPr>
      <xdr:spPr>
        <a:xfrm>
          <a:off x="685800" y="145923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4</a:t>
          </a:r>
        </a:p>
      </xdr:txBody>
    </xdr:sp>
    <xdr:clientData/>
  </xdr:oneCellAnchor>
  <xdr:oneCellAnchor>
    <xdr:from>
      <xdr:col>1</xdr:col>
      <xdr:colOff>0</xdr:colOff>
      <xdr:row>47</xdr:row>
      <xdr:rowOff>0</xdr:rowOff>
    </xdr:from>
    <xdr:ext cx="1104899" cy="876300"/>
    <xdr:sp macro="" textlink="">
      <xdr:nvSpPr>
        <xdr:cNvPr id="47" name="textruta 46"/>
        <xdr:cNvSpPr txBox="1"/>
      </xdr:nvSpPr>
      <xdr:spPr>
        <a:xfrm>
          <a:off x="685800" y="136779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3</a:t>
          </a:r>
        </a:p>
      </xdr:txBody>
    </xdr:sp>
    <xdr:clientData/>
  </xdr:oneCellAnchor>
  <xdr:oneCellAnchor>
    <xdr:from>
      <xdr:col>1</xdr:col>
      <xdr:colOff>0</xdr:colOff>
      <xdr:row>41</xdr:row>
      <xdr:rowOff>0</xdr:rowOff>
    </xdr:from>
    <xdr:ext cx="1104899" cy="876300"/>
    <xdr:sp macro="" textlink="">
      <xdr:nvSpPr>
        <xdr:cNvPr id="48" name="textruta 47"/>
        <xdr:cNvSpPr txBox="1"/>
      </xdr:nvSpPr>
      <xdr:spPr>
        <a:xfrm>
          <a:off x="685800" y="127635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2</a:t>
          </a:r>
        </a:p>
      </xdr:txBody>
    </xdr:sp>
    <xdr:clientData/>
  </xdr:oneCellAnchor>
  <xdr:oneCellAnchor>
    <xdr:from>
      <xdr:col>1</xdr:col>
      <xdr:colOff>0</xdr:colOff>
      <xdr:row>35</xdr:row>
      <xdr:rowOff>0</xdr:rowOff>
    </xdr:from>
    <xdr:ext cx="1104899" cy="876300"/>
    <xdr:sp macro="" textlink="">
      <xdr:nvSpPr>
        <xdr:cNvPr id="49" name="textruta 48"/>
        <xdr:cNvSpPr txBox="1"/>
      </xdr:nvSpPr>
      <xdr:spPr>
        <a:xfrm>
          <a:off x="685800" y="11353800"/>
          <a:ext cx="1104899" cy="876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US" sz="1600">
              <a:latin typeface="Century" panose="02040604050505020304" pitchFamily="18" charset="0"/>
            </a:rPr>
            <a:t>Termin 1</a:t>
          </a:r>
        </a:p>
      </xdr:txBody>
    </xdr:sp>
    <xdr:clientData/>
  </xdr:oneCellAnchor>
</xdr:wsDr>
</file>

<file path=xl/drawings/drawing2.xml><?xml version="1.0" encoding="utf-8"?>
<c:userShapes xmlns:c="http://schemas.openxmlformats.org/drawingml/2006/chart">
  <cdr:relSizeAnchor xmlns:cdr="http://schemas.openxmlformats.org/drawingml/2006/chartDrawing">
    <cdr:from>
      <cdr:x>0.01216</cdr:x>
      <cdr:y>0.10196</cdr:y>
    </cdr:from>
    <cdr:to>
      <cdr:x>0.87231</cdr:x>
      <cdr:y>0.10207</cdr:y>
    </cdr:to>
    <cdr:cxnSp macro="">
      <cdr:nvCxnSpPr>
        <cdr:cNvPr id="2" name="Straight Connector 1" descr="&quot;&quot;" title="Border"/>
        <cdr:cNvCxnSpPr/>
      </cdr:nvCxnSpPr>
      <cdr:spPr>
        <a:xfrm xmlns:a="http://schemas.openxmlformats.org/drawingml/2006/main">
          <a:off x="86202" y="311739"/>
          <a:ext cx="6095523" cy="334"/>
        </a:xfrm>
        <a:prstGeom xmlns:a="http://schemas.openxmlformats.org/drawingml/2006/main" prst="line">
          <a:avLst/>
        </a:prstGeom>
        <a:ln xmlns:a="http://schemas.openxmlformats.org/drawingml/2006/main" w="28575">
          <a:solidFill>
            <a:schemeClr val="accent3">
              <a:lumMod val="50000"/>
            </a:schemeClr>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1914525</xdr:colOff>
          <xdr:row>5</xdr:row>
          <xdr:rowOff>19050</xdr:rowOff>
        </xdr:from>
        <xdr:to>
          <xdr:col>3</xdr:col>
          <xdr:colOff>542925</xdr:colOff>
          <xdr:row>5</xdr:row>
          <xdr:rowOff>323850</xdr:rowOff>
        </xdr:to>
        <xdr:sp macro="" textlink="">
          <xdr:nvSpPr>
            <xdr:cNvPr id="4098" name="Drop Down 2"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6</xdr:row>
          <xdr:rowOff>19050</xdr:rowOff>
        </xdr:from>
        <xdr:to>
          <xdr:col>3</xdr:col>
          <xdr:colOff>542925</xdr:colOff>
          <xdr:row>6</xdr:row>
          <xdr:rowOff>323850</xdr:rowOff>
        </xdr:to>
        <xdr:sp macro="" textlink="">
          <xdr:nvSpPr>
            <xdr:cNvPr id="4099" name="Drop Down 3" hidden="1">
              <a:extLst>
                <a:ext uri="{63B3BB69-23CF-44E3-9099-C40C66FF867C}">
                  <a14:compatExt spid="_x0000_s40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7</xdr:row>
          <xdr:rowOff>38100</xdr:rowOff>
        </xdr:from>
        <xdr:to>
          <xdr:col>3</xdr:col>
          <xdr:colOff>542925</xdr:colOff>
          <xdr:row>8</xdr:row>
          <xdr:rowOff>9525</xdr:rowOff>
        </xdr:to>
        <xdr:sp macro="" textlink="">
          <xdr:nvSpPr>
            <xdr:cNvPr id="4100" name="Drop Down 4" hidden="1">
              <a:extLst>
                <a:ext uri="{63B3BB69-23CF-44E3-9099-C40C66FF867C}">
                  <a14:compatExt spid="_x0000_s4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1914525</xdr:colOff>
          <xdr:row>4</xdr:row>
          <xdr:rowOff>28575</xdr:rowOff>
        </xdr:from>
        <xdr:to>
          <xdr:col>3</xdr:col>
          <xdr:colOff>542925</xdr:colOff>
          <xdr:row>5</xdr:row>
          <xdr:rowOff>0</xdr:rowOff>
        </xdr:to>
        <xdr:sp macro="" textlink="">
          <xdr:nvSpPr>
            <xdr:cNvPr id="4101" name="Drop Down 5" hidden="1">
              <a:extLst>
                <a:ext uri="{63B3BB69-23CF-44E3-9099-C40C66FF867C}">
                  <a14:compatExt spid="_x0000_s41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6</xdr:row>
          <xdr:rowOff>66675</xdr:rowOff>
        </xdr:from>
        <xdr:to>
          <xdr:col>0</xdr:col>
          <xdr:colOff>3019425</xdr:colOff>
          <xdr:row>8</xdr:row>
          <xdr:rowOff>114300</xdr:rowOff>
        </xdr:to>
        <xdr:sp macro="" textlink="">
          <xdr:nvSpPr>
            <xdr:cNvPr id="3074" name="CommandButton1"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3076575</xdr:colOff>
          <xdr:row>6</xdr:row>
          <xdr:rowOff>171450</xdr:rowOff>
        </xdr:from>
        <xdr:to>
          <xdr:col>3</xdr:col>
          <xdr:colOff>1266825</xdr:colOff>
          <xdr:row>8</xdr:row>
          <xdr:rowOff>19050</xdr:rowOff>
        </xdr:to>
        <xdr:sp macro="" textlink="">
          <xdr:nvSpPr>
            <xdr:cNvPr id="3086" name="Drop Down 14" hidden="1">
              <a:extLst>
                <a:ext uri="{63B3BB69-23CF-44E3-9099-C40C66FF867C}">
                  <a14:compatExt spid="_x0000_s3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6</xdr:row>
          <xdr:rowOff>19050</xdr:rowOff>
        </xdr:from>
        <xdr:to>
          <xdr:col>3</xdr:col>
          <xdr:colOff>57150</xdr:colOff>
          <xdr:row>7</xdr:row>
          <xdr:rowOff>57150</xdr:rowOff>
        </xdr:to>
        <xdr:sp macro="" textlink="">
          <xdr:nvSpPr>
            <xdr:cNvPr id="5127" name="CommandButton1" hidden="1">
              <a:extLst>
                <a:ext uri="{63B3BB69-23CF-44E3-9099-C40C66FF867C}">
                  <a14:compatExt spid="_x0000_s51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1095375</xdr:colOff>
          <xdr:row>21</xdr:row>
          <xdr:rowOff>85725</xdr:rowOff>
        </xdr:from>
        <xdr:to>
          <xdr:col>1</xdr:col>
          <xdr:colOff>1323975</xdr:colOff>
          <xdr:row>21</xdr:row>
          <xdr:rowOff>390525</xdr:rowOff>
        </xdr:to>
        <xdr:sp macro="" textlink="">
          <xdr:nvSpPr>
            <xdr:cNvPr id="5128" name="Drop Down 8" hidden="1">
              <a:extLst>
                <a:ext uri="{63B3BB69-23CF-44E3-9099-C40C66FF867C}">
                  <a14:compatExt spid="_x0000_s51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3086100</xdr:colOff>
          <xdr:row>25</xdr:row>
          <xdr:rowOff>28575</xdr:rowOff>
        </xdr:from>
        <xdr:to>
          <xdr:col>3</xdr:col>
          <xdr:colOff>0</xdr:colOff>
          <xdr:row>26</xdr:row>
          <xdr:rowOff>95250</xdr:rowOff>
        </xdr:to>
        <xdr:sp macro="" textlink="">
          <xdr:nvSpPr>
            <xdr:cNvPr id="5129" name="CommandButton2" hidden="1">
              <a:extLst>
                <a:ext uri="{63B3BB69-23CF-44E3-9099-C40C66FF867C}">
                  <a14:compatExt spid="_x0000_s51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457200</xdr:colOff>
          <xdr:row>4</xdr:row>
          <xdr:rowOff>57150</xdr:rowOff>
        </xdr:from>
        <xdr:to>
          <xdr:col>7</xdr:col>
          <xdr:colOff>381000</xdr:colOff>
          <xdr:row>4</xdr:row>
          <xdr:rowOff>390525</xdr:rowOff>
        </xdr:to>
        <xdr:sp macro="" textlink="">
          <xdr:nvSpPr>
            <xdr:cNvPr id="7169" name="CommandButton1" hidden="1">
              <a:extLst>
                <a:ext uri="{63B3BB69-23CF-44E3-9099-C40C66FF867C}">
                  <a14:compatExt spid="_x0000_s71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4</xdr:row>
          <xdr:rowOff>276225</xdr:rowOff>
        </xdr:from>
        <xdr:to>
          <xdr:col>4</xdr:col>
          <xdr:colOff>209550</xdr:colOff>
          <xdr:row>5</xdr:row>
          <xdr:rowOff>19050</xdr:rowOff>
        </xdr:to>
        <xdr:sp macro="" textlink="">
          <xdr:nvSpPr>
            <xdr:cNvPr id="7172" name="Option Button 4" hidden="1">
              <a:extLst>
                <a:ext uri="{63B3BB69-23CF-44E3-9099-C40C66FF867C}">
                  <a14:compatExt spid="_x0000_s71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Ja, lägg alla kurser under vald inriktning/profil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3</xdr:row>
          <xdr:rowOff>171450</xdr:rowOff>
        </xdr:from>
        <xdr:to>
          <xdr:col>4</xdr:col>
          <xdr:colOff>209550</xdr:colOff>
          <xdr:row>4</xdr:row>
          <xdr:rowOff>323850</xdr:rowOff>
        </xdr:to>
        <xdr:sp macro="" textlink="">
          <xdr:nvSpPr>
            <xdr:cNvPr id="7173" name="Option Button 5" hidden="1">
              <a:extLst>
                <a:ext uri="{63B3BB69-23CF-44E3-9099-C40C66FF867C}">
                  <a14:compatExt spid="_x0000_s71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Nej</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xdr:row>
          <xdr:rowOff>85725</xdr:rowOff>
        </xdr:from>
        <xdr:to>
          <xdr:col>7</xdr:col>
          <xdr:colOff>628650</xdr:colOff>
          <xdr:row>6</xdr:row>
          <xdr:rowOff>390525</xdr:rowOff>
        </xdr:to>
        <xdr:sp macro="" textlink="">
          <xdr:nvSpPr>
            <xdr:cNvPr id="7188" name="Drop Down 20" hidden="1">
              <a:extLst>
                <a:ext uri="{63B3BB69-23CF-44E3-9099-C40C66FF867C}">
                  <a14:compatExt spid="_x0000_s71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2133600</xdr:colOff>
          <xdr:row>5</xdr:row>
          <xdr:rowOff>85725</xdr:rowOff>
        </xdr:from>
        <xdr:to>
          <xdr:col>7</xdr:col>
          <xdr:colOff>619125</xdr:colOff>
          <xdr:row>5</xdr:row>
          <xdr:rowOff>390525</xdr:rowOff>
        </xdr:to>
        <xdr:sp macro="" textlink="">
          <xdr:nvSpPr>
            <xdr:cNvPr id="7189" name="Drop Down 21" hidden="1">
              <a:extLst>
                <a:ext uri="{63B3BB69-23CF-44E3-9099-C40C66FF867C}">
                  <a14:compatExt spid="_x0000_s71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Tobias Genborg" refreshedDate="41819.658696296297" createdVersion="5" refreshedVersion="5" minRefreshableVersion="3" recordCount="23">
  <cacheSource type="worksheet">
    <worksheetSource name="Programplan"/>
  </cacheSource>
  <cacheFields count="14">
    <cacheField name="KURSNAMN" numFmtId="0">
      <sharedItems/>
    </cacheField>
    <cacheField name="BETYG" numFmtId="0">
      <sharedItems containsNonDate="0" containsString="0" containsBlank="1"/>
    </cacheField>
    <cacheField name="KURSKOD" numFmtId="0">
      <sharedItems/>
    </cacheField>
    <cacheField name="INRIKTNING" numFmtId="0">
      <sharedItems/>
    </cacheField>
    <cacheField name="NIVÅ" numFmtId="0">
      <sharedItems/>
    </cacheField>
    <cacheField name="POÄNG" numFmtId="0">
      <sharedItems containsSemiMixedTypes="0" containsString="0" containsNumber="1" containsInteger="1" minValue="2" maxValue="10"/>
    </cacheField>
    <cacheField name="ÅRSKURS" numFmtId="0">
      <sharedItems containsSemiMixedTypes="0" containsString="0" containsNumber="1" containsInteger="1" minValue="1" maxValue="4"/>
    </cacheField>
    <cacheField name="TERMIN" numFmtId="0">
      <sharedItems containsSemiMixedTypes="0" containsString="0" containsNumber="1" containsInteger="1" minValue="1" maxValue="9" count="9">
        <n v="1"/>
        <n v="2"/>
        <n v="3"/>
        <n v="4"/>
        <n v="5"/>
        <n v="6"/>
        <n v="8"/>
        <n v="7" u="1"/>
        <n v="9" u="1"/>
      </sharedItems>
    </cacheField>
    <cacheField name="PERIOD" numFmtId="0">
      <sharedItems containsMixedTypes="1" containsNumber="1" minValue="1" maxValue="4" count="17">
        <s v="0, 1; 0, 1; 0, 1; 0, 1; 0, 1; 0, 1"/>
        <s v="1, 2; 1, 2; 1, 2; 1, 2; 1, 2; 1, 2"/>
        <s v="2; 2; 2; 2; 2; 2"/>
        <s v="1; 1; 1; 1; 1; 1"/>
        <s v="1, 2; 1, 2; 1, 2; 1, 2"/>
        <s v="1, 2; 1, 2; 1, 2"/>
        <s v="1; 1; 1"/>
        <s v="2; 2"/>
        <s v="2; 2; 2"/>
        <s v="1; 1; 1; 1; 2; 2"/>
        <s v="1; 1"/>
        <s v="2; 2; 2; 2"/>
        <n v="2" u="1"/>
        <n v="1" u="1"/>
        <n v="3" u="1"/>
        <n v="1.2" u="1"/>
        <n v="4" u="1"/>
      </sharedItems>
    </cacheField>
    <cacheField name="BLOCK" numFmtId="0">
      <sharedItems containsMixedTypes="1" containsNumber="1" minValue="1" maxValue="4" count="23">
        <s v=", 2; , 2; , 2; , 2; , 2; , 2"/>
        <s v="2, 1; 2, 1; 2, 1; 2, 1; 2, 1; 2, 1"/>
        <s v="1, 2+4; 1, 2+4; 1, 2+4; 1, 2+4; 1, 2+4; 1, 2+4"/>
        <s v="3; 3; 3; 3; 3; 3"/>
        <s v="2; 2; 2; 2; 2; 2"/>
        <s v="3, 3; 3, 3; 3, 3; 3, 4"/>
        <s v="1, 1; 1, 1; 1, 1"/>
        <s v="1; 1; 1; 1; 1; 1"/>
        <s v="3, 1; 3, 1; 3, 1"/>
        <s v="2; 2; 2"/>
        <s v="3; 3"/>
        <s v="4; 4; 4; 4; 4; 4"/>
        <s v="4; 4; 3; 3; 3; 3"/>
        <s v="4; 4"/>
        <s v="1; 1"/>
        <s v="2; 2; 2; 2; 2; 4"/>
        <s v=", ; , ; , ; -, -; -, -; -, -"/>
        <s v="4; 4; 4; 3"/>
        <n v="2" u="1"/>
        <n v="2.1" u="1"/>
        <n v="1" u="1"/>
        <n v="3" u="1"/>
        <n v="4" u="1"/>
      </sharedItems>
    </cacheField>
    <cacheField name="Block 1" numFmtId="0">
      <sharedItems containsMixedTypes="1" containsNumber="1" containsInteger="1" minValue="1" maxValue="1"/>
    </cacheField>
    <cacheField name="Block 2" numFmtId="0">
      <sharedItems containsMixedTypes="1" containsNumber="1" containsInteger="1" minValue="1" maxValue="1"/>
    </cacheField>
    <cacheField name="Block 3" numFmtId="0">
      <sharedItems containsMixedTypes="1" containsNumber="1" containsInteger="1" minValue="1" maxValue="1"/>
    </cacheField>
    <cacheField name="Block 4" numFmtId="0">
      <sharedItems containsMixedTypes="1" containsNumber="1" containsInteger="1" minValue="1" maxValue="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3">
  <r>
    <s v="Matematisk grundkurs"/>
    <m/>
    <s v="TATM79"/>
    <s v=" Obligatorisk"/>
    <s v="G1"/>
    <n v="6"/>
    <n v="1"/>
    <x v="0"/>
    <x v="0"/>
    <x v="0"/>
    <s v=""/>
    <n v="1"/>
    <s v=""/>
    <s v=""/>
  </r>
  <r>
    <s v="Linjär algebra"/>
    <m/>
    <s v="TATA31"/>
    <s v=" Obligatorisk"/>
    <s v="G1"/>
    <n v="8"/>
    <n v="1"/>
    <x v="0"/>
    <x v="1"/>
    <x v="1"/>
    <n v="1"/>
    <n v="1"/>
    <s v=""/>
    <s v=""/>
  </r>
  <r>
    <s v="Industriell ekonomi"/>
    <m/>
    <s v="TEIE17"/>
    <s v=" Obligatorisk"/>
    <s v="G1"/>
    <n v="10"/>
    <n v="1"/>
    <x v="0"/>
    <x v="1"/>
    <x v="2"/>
    <n v="1"/>
    <n v="1"/>
    <s v=""/>
    <n v="1"/>
  </r>
  <r>
    <s v="Envariabelanalys 1"/>
    <m/>
    <s v="TATA41"/>
    <s v=" Obligatorisk"/>
    <s v="G1"/>
    <n v="6"/>
    <n v="1"/>
    <x v="0"/>
    <x v="2"/>
    <x v="3"/>
    <s v=""/>
    <s v=""/>
    <n v="1"/>
    <s v=""/>
  </r>
  <r>
    <s v="Envariabelanalys 2"/>
    <m/>
    <s v="TATA42"/>
    <s v=" Obligatorisk"/>
    <s v="G1"/>
    <n v="6"/>
    <n v="1"/>
    <x v="1"/>
    <x v="3"/>
    <x v="4"/>
    <s v=""/>
    <n v="1"/>
    <s v=""/>
    <s v=""/>
  </r>
  <r>
    <s v="Flervariabelanalys"/>
    <m/>
    <s v="TATA43"/>
    <s v=" Obligatorisk"/>
    <s v="G1"/>
    <n v="8"/>
    <n v="1"/>
    <x v="1"/>
    <x v="2"/>
    <x v="4"/>
    <s v=""/>
    <n v="1"/>
    <s v=""/>
    <s v=""/>
  </r>
  <r>
    <s v="Programmering, grundkurs"/>
    <m/>
    <s v="TDDD11"/>
    <s v=" Obligatorisk"/>
    <s v="G1"/>
    <n v="8"/>
    <n v="1"/>
    <x v="1"/>
    <x v="4"/>
    <x v="5"/>
    <s v=""/>
    <s v=""/>
    <n v="1"/>
    <n v="1"/>
  </r>
  <r>
    <s v="Industriell organisation, grundkurs"/>
    <m/>
    <s v="TEIO61"/>
    <s v=" Obligatorisk"/>
    <s v="G2"/>
    <n v="6"/>
    <n v="1"/>
    <x v="1"/>
    <x v="5"/>
    <x v="6"/>
    <n v="1"/>
    <s v=""/>
    <s v=""/>
    <s v=""/>
  </r>
  <r>
    <s v="Optimeringslära, grundkurs"/>
    <m/>
    <s v="TAOP14"/>
    <s v=" Obligatorisk"/>
    <s v="G1"/>
    <n v="6"/>
    <n v="2"/>
    <x v="2"/>
    <x v="3"/>
    <x v="7"/>
    <n v="1"/>
    <s v=""/>
    <s v=""/>
    <s v=""/>
  </r>
  <r>
    <s v="Mekanik I"/>
    <m/>
    <s v="TMME27"/>
    <s v=" Obligatorisk"/>
    <s v="G1"/>
    <n v="10"/>
    <n v="2"/>
    <x v="2"/>
    <x v="5"/>
    <x v="8"/>
    <n v="1"/>
    <s v=""/>
    <n v="1"/>
    <s v=""/>
  </r>
  <r>
    <s v="Linjära system"/>
    <m/>
    <s v="TSKS09"/>
    <s v=" Obligatorisk"/>
    <s v="G1"/>
    <n v="4"/>
    <n v="2"/>
    <x v="2"/>
    <x v="6"/>
    <x v="9"/>
    <s v=""/>
    <n v="1"/>
    <s v=""/>
    <s v=""/>
  </r>
  <r>
    <s v="Optimeringslära, fortsättningskurs"/>
    <m/>
    <s v="TAOP37"/>
    <s v=" Obligatorisk"/>
    <s v="G2"/>
    <n v="4"/>
    <n v="2"/>
    <x v="2"/>
    <x v="7"/>
    <x v="10"/>
    <s v=""/>
    <s v=""/>
    <n v="1"/>
    <s v=""/>
  </r>
  <r>
    <s v="Fysik"/>
    <m/>
    <s v="TFYA14"/>
    <s v=" Obligatorisk"/>
    <s v="G1"/>
    <n v="6"/>
    <n v="2"/>
    <x v="2"/>
    <x v="8"/>
    <x v="9"/>
    <s v=""/>
    <n v="1"/>
    <s v=""/>
    <s v=""/>
  </r>
  <r>
    <s v="Matematisk statistik I, fortsättningskurs"/>
    <m/>
    <s v="TAMS65"/>
    <s v=" Obligatorisk"/>
    <s v="G2"/>
    <n v="6"/>
    <n v="2"/>
    <x v="3"/>
    <x v="9"/>
    <x v="11"/>
    <s v=""/>
    <s v=""/>
    <s v=""/>
    <n v="1"/>
  </r>
  <r>
    <s v="Ekonomisk analys: Besluts- och finansiell metodik"/>
    <m/>
    <s v="TPPE24"/>
    <s v=" Obligatorisk"/>
    <s v="G2"/>
    <n v="6"/>
    <n v="2"/>
    <x v="3"/>
    <x v="2"/>
    <x v="12"/>
    <s v=""/>
    <s v=""/>
    <n v="1"/>
    <n v="1"/>
  </r>
  <r>
    <s v="Matematisk statistik, grundkurs"/>
    <m/>
    <s v="TAMS79"/>
    <s v=" Obligatorisk"/>
    <s v="G1"/>
    <n v="4"/>
    <n v="2"/>
    <x v="3"/>
    <x v="10"/>
    <x v="13"/>
    <s v=""/>
    <s v=""/>
    <s v=""/>
    <n v="1"/>
  </r>
  <r>
    <s v="Ekonomisk analys: Ekonomisk teori"/>
    <m/>
    <s v="TPPE98"/>
    <s v=" Obligatorisk"/>
    <s v="G2"/>
    <n v="4"/>
    <n v="2"/>
    <x v="3"/>
    <x v="10"/>
    <x v="14"/>
    <n v="1"/>
    <s v=""/>
    <s v=""/>
    <s v=""/>
  </r>
  <r>
    <s v="Grundläggande marknadsföring"/>
    <m/>
    <s v="TEIM02"/>
    <s v=" Obligatorisk"/>
    <s v="G2"/>
    <n v="6"/>
    <n v="3"/>
    <x v="4"/>
    <x v="3"/>
    <x v="7"/>
    <n v="1"/>
    <s v=""/>
    <s v=""/>
    <s v=""/>
  </r>
  <r>
    <s v="Reglerteknik I"/>
    <m/>
    <s v="TSRT19"/>
    <s v=" Obligatorisk"/>
    <s v="G2"/>
    <n v="6"/>
    <n v="3"/>
    <x v="4"/>
    <x v="3"/>
    <x v="11"/>
    <s v=""/>
    <s v=""/>
    <s v=""/>
    <n v="1"/>
  </r>
  <r>
    <s v="Produktionsekonomi"/>
    <m/>
    <s v="TPPE13"/>
    <s v=" Obligatorisk"/>
    <s v="G2"/>
    <n v="6"/>
    <n v="3"/>
    <x v="4"/>
    <x v="2"/>
    <x v="15"/>
    <s v=""/>
    <n v="1"/>
    <s v=""/>
    <n v="1"/>
  </r>
  <r>
    <s v="Projektledning"/>
    <m/>
    <s v="TEIO04"/>
    <s v=" Obligatorisk"/>
    <s v="G2"/>
    <n v="6"/>
    <n v="3"/>
    <x v="5"/>
    <x v="3"/>
    <x v="11"/>
    <s v=""/>
    <s v=""/>
    <s v=""/>
    <n v="1"/>
  </r>
  <r>
    <s v="Integrerad företagsplanering"/>
    <m/>
    <s v="TEIE06"/>
    <s v=" Obligatorisk"/>
    <s v="A"/>
    <n v="6"/>
    <n v="4"/>
    <x v="6"/>
    <x v="1"/>
    <x v="16"/>
    <s v=""/>
    <s v=""/>
    <s v=""/>
    <s v=""/>
  </r>
  <r>
    <s v="Introduktionskurs i Matlab"/>
    <m/>
    <s v="TSKS08"/>
    <s v=" Obligatorisk"/>
    <s v="G1"/>
    <n v="2"/>
    <n v="1"/>
    <x v="1"/>
    <x v="11"/>
    <x v="17"/>
    <s v=""/>
    <s v=""/>
    <n v="1"/>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erminsammans." cacheId="0" dataPosition="0" applyNumberFormats="0" applyBorderFormats="0" applyFontFormats="0" applyPatternFormats="0" applyAlignmentFormats="0" applyWidthHeightFormats="1" dataCaption="Värden" updatedVersion="5" minRefreshableVersion="3" useAutoFormatting="1" rowGrandTotals="0" colGrandTotals="0" itemPrintTitles="1" createdVersion="5" indent="0" compact="0" outline="1" outlineData="1" compactData="0" multipleFieldFilters="0" chartFormat="8">
  <location ref="H15:L85" firstHeaderRow="0" firstDataRow="1" firstDataCol="3"/>
  <pivotFields count="14">
    <pivotField dataField="1" compact="0" showAll="0" insertBlankRow="1"/>
    <pivotField compact="0" showAll="0" insertBlankRow="1"/>
    <pivotField compact="0" showAll="0" insertBlankRow="1"/>
    <pivotField compact="0" showAll="0" insertBlankRow="1"/>
    <pivotField compact="0" showAll="0" insertBlankRow="1"/>
    <pivotField dataField="1" compact="0" showAll="0" insertBlankRow="1"/>
    <pivotField compact="0" showAll="0" insertBlankRow="1"/>
    <pivotField axis="axisRow" compact="0" showAll="0" insertBlankRow="1">
      <items count="10">
        <item x="0"/>
        <item x="1"/>
        <item x="4"/>
        <item x="5"/>
        <item x="3"/>
        <item x="2"/>
        <item x="6"/>
        <item m="1" x="7"/>
        <item m="1" x="8"/>
        <item t="default"/>
      </items>
    </pivotField>
    <pivotField axis="axisRow" compact="0" showAll="0" insertBlankRow="1">
      <items count="18">
        <item m="1" x="13"/>
        <item m="1" x="12"/>
        <item m="1" x="16"/>
        <item m="1" x="14"/>
        <item m="1" x="15"/>
        <item x="0"/>
        <item x="1"/>
        <item x="2"/>
        <item x="3"/>
        <item x="4"/>
        <item x="5"/>
        <item x="6"/>
        <item x="7"/>
        <item x="8"/>
        <item x="9"/>
        <item x="10"/>
        <item x="11"/>
        <item t="default"/>
      </items>
    </pivotField>
    <pivotField axis="axisRow" compact="0" showAll="0" insertBlankRow="1">
      <items count="24">
        <item m="1" x="20"/>
        <item m="1" x="18"/>
        <item m="1" x="21"/>
        <item m="1" x="22"/>
        <item m="1" x="19"/>
        <item x="0"/>
        <item x="1"/>
        <item x="2"/>
        <item x="3"/>
        <item x="4"/>
        <item x="5"/>
        <item x="6"/>
        <item x="7"/>
        <item x="8"/>
        <item x="9"/>
        <item x="10"/>
        <item x="11"/>
        <item x="12"/>
        <item x="13"/>
        <item x="14"/>
        <item x="15"/>
        <item x="16"/>
        <item x="17"/>
        <item t="default"/>
      </items>
    </pivotField>
    <pivotField compact="0" showAll="0" defaultSubtotal="0"/>
    <pivotField compact="0" showAll="0" defaultSubtotal="0"/>
    <pivotField compact="0" showAll="0" defaultSubtotal="0"/>
    <pivotField compact="0" showAll="0" defaultSubtotal="0"/>
  </pivotFields>
  <rowFields count="3">
    <field x="7"/>
    <field x="8"/>
    <field x="9"/>
  </rowFields>
  <rowItems count="70">
    <i>
      <x/>
    </i>
    <i r="1">
      <x v="5"/>
    </i>
    <i r="2">
      <x v="5"/>
    </i>
    <i t="blank" r="1">
      <x v="5"/>
    </i>
    <i r="1">
      <x v="6"/>
    </i>
    <i r="2">
      <x v="6"/>
    </i>
    <i r="2">
      <x v="7"/>
    </i>
    <i t="blank" r="1">
      <x v="6"/>
    </i>
    <i r="1">
      <x v="7"/>
    </i>
    <i r="2">
      <x v="8"/>
    </i>
    <i t="blank" r="1">
      <x v="7"/>
    </i>
    <i>
      <x v="1"/>
    </i>
    <i r="1">
      <x v="7"/>
    </i>
    <i r="2">
      <x v="9"/>
    </i>
    <i t="blank" r="1">
      <x v="7"/>
    </i>
    <i r="1">
      <x v="8"/>
    </i>
    <i r="2">
      <x v="9"/>
    </i>
    <i t="blank" r="1">
      <x v="8"/>
    </i>
    <i r="1">
      <x v="9"/>
    </i>
    <i r="2">
      <x v="10"/>
    </i>
    <i t="blank" r="1">
      <x v="9"/>
    </i>
    <i r="1">
      <x v="10"/>
    </i>
    <i r="2">
      <x v="11"/>
    </i>
    <i t="blank" r="1">
      <x v="10"/>
    </i>
    <i r="1">
      <x v="16"/>
    </i>
    <i r="2">
      <x v="22"/>
    </i>
    <i t="blank" r="1">
      <x v="16"/>
    </i>
    <i>
      <x v="2"/>
    </i>
    <i r="1">
      <x v="7"/>
    </i>
    <i r="2">
      <x v="20"/>
    </i>
    <i t="blank" r="1">
      <x v="7"/>
    </i>
    <i r="1">
      <x v="8"/>
    </i>
    <i r="2">
      <x v="12"/>
    </i>
    <i r="2">
      <x v="16"/>
    </i>
    <i t="blank" r="1">
      <x v="8"/>
    </i>
    <i>
      <x v="3"/>
    </i>
    <i r="1">
      <x v="8"/>
    </i>
    <i r="2">
      <x v="16"/>
    </i>
    <i t="blank" r="1">
      <x v="8"/>
    </i>
    <i>
      <x v="4"/>
    </i>
    <i r="1">
      <x v="7"/>
    </i>
    <i r="2">
      <x v="17"/>
    </i>
    <i t="blank" r="1">
      <x v="7"/>
    </i>
    <i r="1">
      <x v="14"/>
    </i>
    <i r="2">
      <x v="16"/>
    </i>
    <i t="blank" r="1">
      <x v="14"/>
    </i>
    <i r="1">
      <x v="15"/>
    </i>
    <i r="2">
      <x v="18"/>
    </i>
    <i r="2">
      <x v="19"/>
    </i>
    <i t="blank" r="1">
      <x v="15"/>
    </i>
    <i>
      <x v="5"/>
    </i>
    <i r="1">
      <x v="8"/>
    </i>
    <i r="2">
      <x v="12"/>
    </i>
    <i t="blank" r="1">
      <x v="8"/>
    </i>
    <i r="1">
      <x v="10"/>
    </i>
    <i r="2">
      <x v="13"/>
    </i>
    <i t="blank" r="1">
      <x v="10"/>
    </i>
    <i r="1">
      <x v="11"/>
    </i>
    <i r="2">
      <x v="14"/>
    </i>
    <i t="blank" r="1">
      <x v="11"/>
    </i>
    <i r="1">
      <x v="12"/>
    </i>
    <i r="2">
      <x v="15"/>
    </i>
    <i t="blank" r="1">
      <x v="12"/>
    </i>
    <i r="1">
      <x v="13"/>
    </i>
    <i r="2">
      <x v="14"/>
    </i>
    <i t="blank" r="1">
      <x v="13"/>
    </i>
    <i>
      <x v="6"/>
    </i>
    <i r="1">
      <x v="6"/>
    </i>
    <i r="2">
      <x v="21"/>
    </i>
    <i t="blank" r="1">
      <x v="6"/>
    </i>
  </rowItems>
  <colFields count="1">
    <field x="-2"/>
  </colFields>
  <colItems count="2">
    <i>
      <x/>
    </i>
    <i i="1">
      <x v="1"/>
    </i>
  </colItems>
  <dataFields count="2">
    <dataField name="Antal av KURSNAMN" fld="0" subtotal="count" baseField="0" baseItem="0"/>
    <dataField name="Summa av POÄNG" fld="5" baseField="0" baseItem="0"/>
  </dataFields>
  <formats count="11">
    <format dxfId="32">
      <pivotArea outline="0" collapsedLevelsAreSubtotals="1" fieldPosition="0"/>
    </format>
    <format dxfId="31">
      <pivotArea type="all" dataOnly="0" outline="0" fieldPosition="0"/>
    </format>
    <format dxfId="30">
      <pivotArea outline="0" collapsedLevelsAreSubtotals="1" fieldPosition="0"/>
    </format>
    <format dxfId="29">
      <pivotArea dataOnly="0" labelOnly="1" outline="0" fieldPosition="0">
        <references count="1">
          <reference field="7" count="0"/>
        </references>
      </pivotArea>
    </format>
    <format dxfId="28">
      <pivotArea dataOnly="0" labelOnly="1" outline="0" fieldPosition="0">
        <references count="2">
          <reference field="7" count="0" selected="0"/>
          <reference field="8" count="0"/>
        </references>
      </pivotArea>
    </format>
    <format dxfId="27">
      <pivotArea dataOnly="0" labelOnly="1" outline="0" fieldPosition="0">
        <references count="3">
          <reference field="7" count="0" selected="0"/>
          <reference field="8" count="0" selected="0"/>
          <reference field="9" count="0"/>
        </references>
      </pivotArea>
    </format>
    <format dxfId="26">
      <pivotArea dataOnly="0" labelOnly="1" outline="0" fieldPosition="0">
        <references count="1">
          <reference field="4294967294" count="2">
            <x v="0"/>
            <x v="1"/>
          </reference>
        </references>
      </pivotArea>
    </format>
    <format dxfId="25">
      <pivotArea dataOnly="0" labelOnly="1" outline="0" fieldPosition="0">
        <references count="1">
          <reference field="4294967294" count="2">
            <x v="0"/>
            <x v="1"/>
          </reference>
        </references>
      </pivotArea>
    </format>
    <format dxfId="24">
      <pivotArea field="7" type="button" dataOnly="0" labelOnly="1" outline="0" axis="axisRow" fieldPosition="0"/>
    </format>
    <format dxfId="23">
      <pivotArea dataOnly="0" outline="0" fieldPosition="0">
        <references count="1">
          <reference field="4294967294" count="2">
            <x v="0"/>
            <x v="1"/>
          </reference>
        </references>
      </pivotArea>
    </format>
    <format dxfId="22">
      <pivotArea dataOnly="0" labelOnly="1" outline="0" fieldPosition="0">
        <references count="1">
          <reference field="4294967294" count="2">
            <x v="0"/>
            <x v="1"/>
          </reference>
        </references>
      </pivotArea>
    </format>
  </formats>
  <pivotTableStyleInfo name="PivotStyleMedium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Externadata_64" connectionId="133"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Externadata_110" connectionId="58"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Externadata_31" connectionId="9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Externadata_180" connectionId="55"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Externadata_136" connectionId="7"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Externadata_169" connectionId="43"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Externadata_175" connectionId="50"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Externadata_162" connectionId="35"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Externadata_54" connectionId="12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Externadata_91" connectionId="163"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Externadata_184" connectionId="60"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Externadata_30" connectionId="95"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Externadata_181" connectionId="56"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Externadata_65" connectionId="134"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Externadata_29" connectionId="9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Externadata_111" connectionId="69"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Externadata_165" connectionId="39"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Externadata_195" connectionId="72"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Externadata_83" connectionId="154"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Externadata_32" connectionId="98"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Externadata_203" connectionId="81"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Externadata_190" connectionId="66"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Externadata_163" connectionId="37"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Externadata_182" connectionId="57"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Externadata_56" connectionId="124"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Externadata_118" connectionId="89"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Externadata_33" connectionId="9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Externadata_126" connectionId="106"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Externadata_143" connectionId="15"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Externadata_134" connectionId="5"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Externadata_80" connectionId="150"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Externadata_28" connectionId="9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Externadata_89" connectionId="160"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Externadata_74" connectionId="144"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Externadata_193" connectionId="7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Externadata_177" connectionId="52"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Externadata_78" connectionId="148"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Externadata_60" connectionId="128"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Externadata_128" connectionId="16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Externadata_90" connectionId="161"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Externadata_94" connectionId="166"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Externadata_107" connectionId="25"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Externadata_73" connectionId="14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Externadata_148" connectionId="20"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Externadata_72" connectionId="142"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Externadata_171" connectionId="45"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Externadata_34" connectionId="100"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Externadata_198" connectionId="7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Externadata_174" connectionId="4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Externadata_87" connectionId="158"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Externadata_93" connectionId="165"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Externadata_189" connectionId="65"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Externadata_166" connectionId="40"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Externadata_119" connectionId="90"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Externadata_188" connectionId="64"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Externadata_201" connectionId="78"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Externadata_159" connectionId="32"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Externadata_109" connectionId="47"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Externadata_179" connectionId="54"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Externadata_131" connectionId="171"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Externadata_194" connectionId="7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Externadata_85" connectionId="156"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Externadata_155" connectionId="28"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Externadata_98" connectionId="96"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Externadata_204" connectionId="82"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Externadata_147" connectionId="19"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Externadata_105" connectionId="3"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Externadata_67" connectionId="136"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Externadata_199" connectionId="76"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Externadata_46" connectionId="113"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Externadata_164" connectionId="38"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Externadata_99" connectionId="107"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Externadata_138" connectionId="9"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Externadata_146" connectionId="18"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Externadata_151" connectionId="23"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Externadata_145" connectionId="17"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Externadata_100" connectionId="118"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Externadata_187" connectionId="63"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Externadata_44" connectionId="111"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Externadata_167" connectionId="41"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Externadata_142" connectionId="13"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Externadata_106" connectionId="14"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Externadata_176" connectionId="51"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Externadata_108" connectionId="36"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Externadata_183" connectionId="59"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Externadata_125" connectionId="105"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Externadata_70" connectionId="139"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Externadata_43" connectionId="110"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Externadata_61" connectionId="130"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Externadata_116" connectionId="87"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Externadata_121" connectionId="92"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Externadata_120" connectionId="91"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Externadata_81" connectionId="152"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Externadata_153" connectionId="26"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Externadata_96" connectionId="2"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Externadata_158" connectionId="31"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Externadata_144" connectionId="16"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Externadata_41" connectionId="108"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Externadata_68" connectionId="137"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Externadata_75" connectionId="145"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Externadata_104" connectionId="162"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Externadata_135" connectionId="6"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Externadata_95" connectionId="1"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Externadata_66" connectionId="135"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Externadata_51" connectionId="119"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Externadata_200" connectionId="77"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Externadata_133" connectionId="4"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Externadata_48" connectionId="115"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Externadata_168" connectionId="42"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Externadata_161" connectionId="34"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Externadata_97" connectionId="85"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Externadata_47" connectionId="114"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Externadata_191" connectionId="67"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Externadata_196" connectionId="73"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Externadata_160" connectionId="33"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Externadata_86" connectionId="157"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Externadata_192" connectionId="68"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Externadata_202" connectionId="79"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Externadata_154" connectionId="27"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Externadata_170" connectionId="44"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Externadata_77" connectionId="147"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Externadata_101" connectionId="129"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Externadata_185" connectionId="61"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Externadata_59" connectionId="127"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Externadata_84" connectionId="155"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Externadata_55" connectionId="123"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Externadata_139" connectionId="10"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Externadata_197" connectionId="74"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Externadata_129" connectionId="169"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Externadata_173" connectionId="48"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Externadata_127" connectionId="167"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Externadata_63" connectionId="132"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Externadata_122" connectionId="102"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Externadata_113" connectionId="83"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Externadata_130" connectionId="170"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Externadata_150" connectionId="22"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Externadata_117" connectionId="88"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Externadata_57" connectionId="125"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Externadata_42" connectionId="109"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Externadata_172" connectionId="46"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Externadata_137" connectionId="8"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Externadata_52" connectionId="120"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Externadata_115" connectionId="86"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Externadata_132" connectionId="172"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Externadata_124" connectionId="104"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Externadata_92" connectionId="164"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Externadata_49" connectionId="116"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Externadata_58" connectionId="126"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Externadata_149" connectionId="21"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Externadata_141" connectionId="12"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Externadata_102" connectionId="140"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Externadata_123" connectionId="103"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Externadata_140" connectionId="11"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Externadata_82" connectionId="153"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Externadata_112" connectionId="80"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Externadata_186" connectionId="62"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Externadata_152" connectionId="24"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Externadata_114" connectionId="84"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Externadata_62" connectionId="131"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Externadata_71" connectionId="141"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Externadata_178" connectionId="53"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Externadata_156" connectionId="29"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Externadata_157" connectionId="30"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Externadata_79" connectionId="149"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Externadata_53" connectionId="121"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Externadata_76" connectionId="146"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Externadata_88" connectionId="159"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Externadata_69" connectionId="138"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Externadata_45" connectionId="112"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Externadata_35" connectionId="101"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Externadata_103" connectionId="151"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Externadata_50" connectionId="117" autoFormatId="16" applyNumberFormats="0" applyBorderFormats="0" applyFontFormats="1" applyPatternFormats="1" applyAlignmentFormats="0" applyWidthHeightFormats="0"/>
</file>

<file path=xl/tables/table1.xml><?xml version="1.0" encoding="utf-8"?>
<table xmlns="http://schemas.openxmlformats.org/spreadsheetml/2006/main" id="1" name="Examenskrav" displayName="Examenskrav" ref="K6:N11" totalsRowCount="1" headerRowDxfId="87" dataDxfId="86" totalsRowDxfId="85">
  <autoFilter ref="K6:N10"/>
  <tableColumns count="4">
    <tableColumn id="1" name="KURSPOÄNGSKRAV" dataDxfId="84" totalsRowDxfId="83"/>
    <tableColumn id="2" name="SUMMA" dataDxfId="82" totalsRowDxfId="81"/>
    <tableColumn id="3" name="TAGNA" dataDxfId="80" totalsRowDxfId="79">
      <calculatedColumnFormula>IFERROR(SUMIFS(#REF!,#REF!,Examenskrav[[#This Row],[KURSPOÄNGSKRAV]],#REF!,"=Ja"),"")</calculatedColumnFormula>
    </tableColumn>
    <tableColumn id="4" name="KVAR ATT TA" dataDxfId="78" totalsRowDxfId="77">
      <calculatedColumnFormula>IFERROR(Examenskrav[[#This Row],[SUMMA]]-Examenskrav[[#This Row],[TAGNA]],"")</calculatedColumnFormula>
    </tableColumn>
  </tableColumns>
  <tableStyleInfo name="Credit Requirements Summary" showFirstColumn="0" showLastColumn="0" showRowStripes="0" showColumnStripes="1"/>
  <extLst>
    <ext xmlns:x14="http://schemas.microsoft.com/office/spreadsheetml/2009/9/main" uri="{504A1905-F514-4f6f-8877-14C23A59335A}">
      <x14:table altText="Examenskrav" altTextSummary="Lista med poängkrav, till exempel huvudämne, samt totalt antal poäng, intjänade poäng och återstående poäng."/>
    </ext>
  </extLst>
</table>
</file>

<file path=xl/tables/table2.xml><?xml version="1.0" encoding="utf-8"?>
<table xmlns="http://schemas.openxmlformats.org/spreadsheetml/2006/main" id="5" name="Programplan" displayName="Programplan" ref="B15:O38" totalsRowShown="0" headerRowDxfId="76" dataDxfId="75" tableBorderDxfId="74">
  <autoFilter ref="B15:O38"/>
  <sortState ref="B21:O43">
    <sortCondition ref="I20:I43"/>
  </sortState>
  <tableColumns count="14">
    <tableColumn id="1" name="KURSNAMN" dataDxfId="73"/>
    <tableColumn id="9" name="BETYG" dataDxfId="72"/>
    <tableColumn id="2" name="KURSKOD" dataDxfId="71"/>
    <tableColumn id="3" name="INRIKTNING" dataDxfId="70"/>
    <tableColumn id="4" name="NIVÅ" dataDxfId="69"/>
    <tableColumn id="5" name="POÄNG" dataDxfId="68"/>
    <tableColumn id="11" name="ÅRSKURS" dataDxfId="67"/>
    <tableColumn id="6" name="TERMIN" dataDxfId="66"/>
    <tableColumn id="7" name="PERIOD" dataDxfId="65"/>
    <tableColumn id="10" name="BLOCK" dataDxfId="64"/>
    <tableColumn id="8" name="Block 1" dataDxfId="63">
      <calculatedColumnFormula>IFERROR(IF(SEARCH("1",Programplan[[#This Row],[BLOCK]])&gt;0,COUNTA(Programplan[[#This Row],[BLOCK]]),""),"")</calculatedColumnFormula>
    </tableColumn>
    <tableColumn id="12" name="Block 2" dataDxfId="62">
      <calculatedColumnFormula>IFERROR(IF(SEARCH("2",Programplan[[#This Row],[BLOCK]],1)&gt;0,COUNTA(Programplan[[#This Row],[BLOCK]]),""),"")</calculatedColumnFormula>
    </tableColumn>
    <tableColumn id="13" name="Block 3" dataDxfId="61">
      <calculatedColumnFormula>IFERROR(IF(SEARCH("3",Programplan[[#This Row],[BLOCK]],1)&gt;0,COUNTA(Programplan[[#This Row],[BLOCK]]),""),"")</calculatedColumnFormula>
    </tableColumn>
    <tableColumn id="14" name="Block 4" dataDxfId="60">
      <calculatedColumnFormula>IFERROR(IF(SEARCH("4",Programplan[[#This Row],[BLOCK]],1)&gt;0,COUNTA(Programplan[[#This Row],[BLOCK]]),""),"")</calculatedColumnFormula>
    </tableColumn>
  </tableColumns>
  <tableStyleInfo name="Course Listing" showFirstColumn="0" showLastColumn="0" showRowStripes="1" showColumnStripes="0"/>
</table>
</file>

<file path=xl/tables/table3.xml><?xml version="1.0" encoding="utf-8"?>
<table xmlns="http://schemas.openxmlformats.org/spreadsheetml/2006/main" id="6" name="ProgramKurser" displayName="ProgramKurser" ref="A15:L368" headerRowDxfId="59">
  <autoFilter ref="A15:L368">
    <filterColumn colId="10">
      <filters>
        <filter val="Civilingenjör i Industriell Ekonomi"/>
      </filters>
    </filterColumn>
  </autoFilter>
  <sortState ref="A148:L331">
    <sortCondition ref="B15:B368"/>
  </sortState>
  <tableColumns count="12">
    <tableColumn id="1" name="KURSNAMN" totalsRowLabel="Summa" dataDxfId="58" totalsRowDxfId="57"/>
    <tableColumn id="13" name="INGÅR I KURSPLAN" dataDxfId="56"/>
    <tableColumn id="2" name="KURSKOD" dataDxfId="55" totalsRowDxfId="54"/>
    <tableColumn id="3" name="INRIKTNING" dataDxfId="53" totalsRowDxfId="52"/>
    <tableColumn id="4" name="NIVÅ" dataDxfId="51" totalsRowDxfId="50"/>
    <tableColumn id="5" name="KURSPOÄNG" dataDxfId="49" totalsRowDxfId="48"/>
    <tableColumn id="7" name="TERMIN" totalsRowFunction="sum" dataDxfId="47" totalsRowDxfId="46"/>
    <tableColumn id="6" name="PERIOD" dataDxfId="45"/>
    <tableColumn id="8" name="ÅRSKURS" dataDxfId="44"/>
    <tableColumn id="9" name="BLOCK" dataDxfId="43"/>
    <tableColumn id="11" name="PROGRAM" dataDxfId="42"/>
    <tableColumn id="10" name="ÅR" dataDxfId="41"/>
  </tableColumns>
  <tableStyleInfo name="Course Listing" showFirstColumn="0" showLastColumn="0" showRowStripes="1" showColumnStripes="1"/>
  <extLst>
    <ext xmlns:x14="http://schemas.microsoft.com/office/spreadsheetml/2009/9/main" uri="{504A1905-F514-4f6f-8877-14C23A59335A}">
      <x14:table altText="Kurstabell" altTextSummary="Kurslista, kursnummer, examenskrav, poängtimmar, slutförande av kurs och termin."/>
    </ext>
  </extLst>
</table>
</file>

<file path=xl/tables/table4.xml><?xml version="1.0" encoding="utf-8"?>
<table xmlns="http://schemas.openxmlformats.org/spreadsheetml/2006/main" id="13" name="AvailablePrograms" displayName="AvailablePrograms" ref="E5:G14" headerRowDxfId="40" dataDxfId="39">
  <autoFilter ref="E5:G14"/>
  <sortState ref="E6:G14">
    <sortCondition ref="E5:E14"/>
  </sortState>
  <tableColumns count="3">
    <tableColumn id="1" name="PROGRAMNAMN" totalsRowLabel="Summa" dataDxfId="38"/>
    <tableColumn id="2" name="HÖGSKOLEPOÄNG" dataDxfId="37"/>
    <tableColumn id="3" name="ÅR" totalsRowFunction="count" dataDxfId="36"/>
  </tableColumns>
  <tableStyleInfo name="Course Listing" showFirstColumn="1" showLastColumn="0" showRowStripes="1" showColumnStripes="1"/>
</table>
</file>

<file path=xl/tables/table5.xml><?xml version="1.0" encoding="utf-8"?>
<table xmlns="http://schemas.openxmlformats.org/spreadsheetml/2006/main" id="18" name="Spec" displayName="Spec" ref="E26:F69" totalsRowShown="0" dataDxfId="35">
  <autoFilter ref="E26:F69"/>
  <sortState ref="E41:F69">
    <sortCondition ref="F26:F69"/>
  </sortState>
  <tableColumns count="2">
    <tableColumn id="1" name="PROGRAM" dataDxfId="34"/>
    <tableColumn id="2" name="INRIKTNING" dataDxfId="33"/>
  </tableColumns>
  <tableStyleInfo name="Course Listing" showFirstColumn="0" showLastColumn="0" showRowStripes="1" showColumnStripes="0"/>
</table>
</file>

<file path=xl/tables/table6.xml><?xml version="1.0" encoding="utf-8"?>
<table xmlns="http://schemas.openxmlformats.org/spreadsheetml/2006/main" id="7" name="SearchTable" displayName="SearchTable" ref="N5:P154" totalsRowShown="0" headerRowDxfId="21" dataDxfId="20">
  <autoFilter ref="N5:P154"/>
  <tableColumns count="3">
    <tableColumn id="1" name="SearchRank" dataDxfId="19">
      <calculatedColumnFormula>IFERROR(_xlfn.RANK.EQ(O6,ProgramKurser[],1),"FEL")</calculatedColumnFormula>
    </tableColumn>
    <tableColumn id="2" name="Search" dataDxfId="18">
      <calculatedColumnFormula>IFERROR(SEARCH(SearchField,Programkurser!#REF!)+ROW()/100000,"")</calculatedColumnFormula>
    </tableColumn>
    <tableColumn id="3" name="NAME" dataDxfId="17">
      <calculatedColumnFormula>ProgramKurser[KURSNAMN]</calculatedColumnFormula>
    </tableColumn>
  </tableColumns>
  <tableStyleInfo name="Course Listing" showFirstColumn="0" showLastColumn="0" showRowStripes="1" showColumnStripes="0"/>
</table>
</file>

<file path=xl/tables/table7.xml><?xml version="1.0" encoding="utf-8"?>
<table xmlns="http://schemas.openxmlformats.org/spreadsheetml/2006/main" id="3" name="Antagningsår" displayName="Antagningsår" ref="D5:D13" totalsRowShown="0" headerRowDxfId="16" dataDxfId="15">
  <autoFilter ref="D5:D13"/>
  <tableColumns count="1">
    <tableColumn id="1" name="Antagningsår" dataDxfId="14"/>
  </tableColumns>
  <tableStyleInfo name="TableStyleLight3" showFirstColumn="0" showLastColumn="0" showRowStripes="1" showColumnStripes="0"/>
</table>
</file>

<file path=xl/tables/table8.xml><?xml version="1.0" encoding="utf-8"?>
<table xmlns="http://schemas.openxmlformats.org/spreadsheetml/2006/main" id="4" name="Tabell4" displayName="Tabell4" ref="B5:B10" totalsRowShown="0" dataDxfId="13" headerRowCellStyle="Dekorfärg3">
  <autoFilter ref="B5:B10"/>
  <tableColumns count="1">
    <tableColumn id="1" name="Möjliga betyg" dataDxfId="12"/>
  </tableColumns>
  <tableStyleInfo name="TableStyleLight1" showFirstColumn="0" showLastColumn="0" showRowStripes="1" showColumnStripes="0"/>
</table>
</file>

<file path=xl/tables/table9.xml><?xml version="1.0" encoding="utf-8"?>
<table xmlns="http://schemas.openxmlformats.org/spreadsheetml/2006/main" id="8" name="Tabell8" displayName="Tabell8" ref="F5:F8" totalsRowShown="0" headerRowDxfId="11" dataDxfId="10">
  <autoFilter ref="F5:F8"/>
  <tableColumns count="1">
    <tableColumn id="1" name="Nivåer" dataDxfId="9"/>
  </tableColumns>
  <tableStyleInfo name="Course Listing" showFirstColumn="0" showLastColumn="0" showRowStripes="1" showColumnStripes="0"/>
</table>
</file>

<file path=xl/tables/table10.xml><?xml version="1.0" encoding="utf-8"?>
<table xmlns="http://schemas.openxmlformats.org/spreadsheetml/2006/main" id="9" name="Tabell9" displayName="Tabell9" ref="H5:H15" totalsRowShown="0" headerRowDxfId="8" dataDxfId="7">
  <autoFilter ref="H5:H15"/>
  <tableColumns count="1">
    <tableColumn id="1" name="Terminer" dataDxfId="6"/>
  </tableColumns>
  <tableStyleInfo name="Course Listing" showFirstColumn="0" showLastColumn="0" showRowStripes="1" showColumnStripes="0"/>
</table>
</file>

<file path=xl/tables/table11.xml><?xml version="1.0" encoding="utf-8"?>
<table xmlns="http://schemas.openxmlformats.org/spreadsheetml/2006/main" id="10" name="Tabell10" displayName="Tabell10" ref="J5:J8" totalsRowShown="0" headerRowDxfId="5" dataDxfId="4">
  <autoFilter ref="J5:J8"/>
  <tableColumns count="1">
    <tableColumn id="1" name="Perioder" dataDxfId="3"/>
  </tableColumns>
  <tableStyleInfo name="Course Listing" showFirstColumn="0" showLastColumn="0" showRowStripes="1" showColumnStripes="0"/>
</table>
</file>

<file path=xl/tables/table12.xml><?xml version="1.0" encoding="utf-8"?>
<table xmlns="http://schemas.openxmlformats.org/spreadsheetml/2006/main" id="11" name="Tabell11" displayName="Tabell11" ref="L5:L10" totalsRowShown="0" headerRowDxfId="2" dataDxfId="1">
  <autoFilter ref="L5:L10"/>
  <tableColumns count="1">
    <tableColumn id="1" name="År" dataDxfId="0"/>
  </tableColumns>
  <tableStyleInfo name="Course Listing" showFirstColumn="0" showLastColumn="0" showRowStripes="1" showColumnStripes="0"/>
</table>
</file>

<file path=xl/theme/theme1.xml><?xml version="1.0" encoding="utf-8"?>
<a:theme xmlns:a="http://schemas.openxmlformats.org/drawingml/2006/main" name="Office Theme">
  <a:themeElements>
    <a:clrScheme name="College Credit Tracker">
      <a:dk1>
        <a:sysClr val="windowText" lastClr="000000"/>
      </a:dk1>
      <a:lt1>
        <a:sysClr val="window" lastClr="FFFFFF"/>
      </a:lt1>
      <a:dk2>
        <a:srgbClr val="000000"/>
      </a:dk2>
      <a:lt2>
        <a:srgbClr val="F2F2F2"/>
      </a:lt2>
      <a:accent1>
        <a:srgbClr val="EBB828"/>
      </a:accent1>
      <a:accent2>
        <a:srgbClr val="269E6F"/>
      </a:accent2>
      <a:accent3>
        <a:srgbClr val="2699BA"/>
      </a:accent3>
      <a:accent4>
        <a:srgbClr val="EA8B23"/>
      </a:accent4>
      <a:accent5>
        <a:srgbClr val="8163A7"/>
      </a:accent5>
      <a:accent6>
        <a:srgbClr val="DB5368"/>
      </a:accent6>
      <a:hlink>
        <a:srgbClr val="269EBA"/>
      </a:hlink>
      <a:folHlink>
        <a:srgbClr val="8163A7"/>
      </a:folHlink>
    </a:clrScheme>
    <a:fontScheme name="College Credit Tracker">
      <a:majorFont>
        <a:latin typeface="Bookman Old Style"/>
        <a:ea typeface=""/>
        <a:cs typeface=""/>
      </a:majorFont>
      <a:minorFont>
        <a:latin typeface="Franklin Gothic Medium"/>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table" Target="../tables/table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ctrlProp" Target="../ctrlProps/ctrlProp13.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14.xml"/><Relationship Id="rId5" Type="http://schemas.openxmlformats.org/officeDocument/2006/relationships/image" Target="../media/image1.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4.vml"/><Relationship Id="rId7" Type="http://schemas.openxmlformats.org/officeDocument/2006/relationships/image" Target="../media/image3.emf"/><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ontrol" Target="../activeX/activeX3.xml"/><Relationship Id="rId5" Type="http://schemas.openxmlformats.org/officeDocument/2006/relationships/image" Target="../media/image2.emf"/><Relationship Id="rId10" Type="http://schemas.openxmlformats.org/officeDocument/2006/relationships/table" Target="../tables/table5.xml"/><Relationship Id="rId4" Type="http://schemas.openxmlformats.org/officeDocument/2006/relationships/control" Target="../activeX/activeX2.xml"/><Relationship Id="rId9" Type="http://schemas.openxmlformats.org/officeDocument/2006/relationships/table" Target="../tables/table4.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8.xml"/><Relationship Id="rId3" Type="http://schemas.openxmlformats.org/officeDocument/2006/relationships/vmlDrawing" Target="../drawings/vmlDrawing5.vml"/><Relationship Id="rId7" Type="http://schemas.openxmlformats.org/officeDocument/2006/relationships/ctrlProp" Target="../ctrlProps/ctrlProp17.x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ctrlProp" Target="../ctrlProps/ctrlProp16.xml"/><Relationship Id="rId5" Type="http://schemas.openxmlformats.org/officeDocument/2006/relationships/image" Target="../media/image4.emf"/><Relationship Id="rId4" Type="http://schemas.openxmlformats.org/officeDocument/2006/relationships/control" Target="../activeX/activeX4.xml"/><Relationship Id="rId9" Type="http://schemas.openxmlformats.org/officeDocument/2006/relationships/ctrlProp" Target="../ctrlProps/ctrlProp19.xml"/></Relationships>
</file>

<file path=xl/worksheets/_rels/sheet7.xml.rels><?xml version="1.0" encoding="UTF-8" standalone="yes"?>
<Relationships xmlns="http://schemas.openxmlformats.org/package/2006/relationships"><Relationship Id="rId117" Type="http://schemas.openxmlformats.org/officeDocument/2006/relationships/queryTable" Target="../queryTables/queryTable34.xml"/><Relationship Id="rId21" Type="http://schemas.openxmlformats.org/officeDocument/2006/relationships/hyperlink" Target="http://kdb-5.liu.se/liu/lith/studiehandboken/svkursplan.lasso?&amp;k_budget_year=2014&amp;k_kurskod=TMME27" TargetMode="External"/><Relationship Id="rId42" Type="http://schemas.openxmlformats.org/officeDocument/2006/relationships/hyperlink" Target="http://kdb-5.liu.se/liu/lith/studiehandboken/svkursplan.lasso?&amp;k_budget_year=2014&amp;k_kurskod=TMMV09" TargetMode="External"/><Relationship Id="rId63" Type="http://schemas.openxmlformats.org/officeDocument/2006/relationships/hyperlink" Target="http://kdb-5.liu.se/liu/lith/studiehandboken/svkursplan.lasso?&amp;k_budget_year=2014&amp;k_kurskod=TEIO04" TargetMode="External"/><Relationship Id="rId84" Type="http://schemas.openxmlformats.org/officeDocument/2006/relationships/queryTable" Target="../queryTables/queryTable1.xml"/><Relationship Id="rId138" Type="http://schemas.openxmlformats.org/officeDocument/2006/relationships/queryTable" Target="../queryTables/queryTable55.xml"/><Relationship Id="rId159" Type="http://schemas.openxmlformats.org/officeDocument/2006/relationships/queryTable" Target="../queryTables/queryTable76.xml"/><Relationship Id="rId170" Type="http://schemas.openxmlformats.org/officeDocument/2006/relationships/queryTable" Target="../queryTables/queryTable87.xml"/><Relationship Id="rId191" Type="http://schemas.openxmlformats.org/officeDocument/2006/relationships/queryTable" Target="../queryTables/queryTable108.xml"/><Relationship Id="rId205" Type="http://schemas.openxmlformats.org/officeDocument/2006/relationships/queryTable" Target="../queryTables/queryTable122.xml"/><Relationship Id="rId226" Type="http://schemas.openxmlformats.org/officeDocument/2006/relationships/queryTable" Target="../queryTables/queryTable143.xml"/><Relationship Id="rId247" Type="http://schemas.openxmlformats.org/officeDocument/2006/relationships/queryTable" Target="../queryTables/queryTable164.xml"/><Relationship Id="rId107" Type="http://schemas.openxmlformats.org/officeDocument/2006/relationships/queryTable" Target="../queryTables/queryTable24.xml"/><Relationship Id="rId11" Type="http://schemas.openxmlformats.org/officeDocument/2006/relationships/hyperlink" Target="http://kdb-5.liu.se/liu/lith/studiehandboken/svkursplan.lasso?&amp;k_budget_year=2014&amp;k_kurskod=TGTU35" TargetMode="External"/><Relationship Id="rId32" Type="http://schemas.openxmlformats.org/officeDocument/2006/relationships/hyperlink" Target="http://kdb-5.liu.se/liu/lith/studiehandboken/svkursplan.lasso?&amp;k_budget_year=2014&amp;k_kurskod=TFBI11" TargetMode="External"/><Relationship Id="rId53" Type="http://schemas.openxmlformats.org/officeDocument/2006/relationships/hyperlink" Target="http://kdb-5.liu.se/liu/lith/studiehandboken/svkursplan.lasso?&amp;k_budget_year=2014&amp;k_kurskod=TDDD71" TargetMode="External"/><Relationship Id="rId74" Type="http://schemas.openxmlformats.org/officeDocument/2006/relationships/hyperlink" Target="http://kdb-5.liu.se/liu/lith/studiehandboken/svkursplan.lasso?&amp;k_budget_year=2014&amp;k_kurskod=TSEA56" TargetMode="External"/><Relationship Id="rId128" Type="http://schemas.openxmlformats.org/officeDocument/2006/relationships/queryTable" Target="../queryTables/queryTable45.xml"/><Relationship Id="rId149" Type="http://schemas.openxmlformats.org/officeDocument/2006/relationships/queryTable" Target="../queryTables/queryTable66.xml"/><Relationship Id="rId5" Type="http://schemas.openxmlformats.org/officeDocument/2006/relationships/hyperlink" Target="http://kdb-5.liu.se/liu/lith/studiehandboken/svkursplan.lasso?&amp;k_budget_year=2014&amp;k_kurskod=TATA31" TargetMode="External"/><Relationship Id="rId95" Type="http://schemas.openxmlformats.org/officeDocument/2006/relationships/queryTable" Target="../queryTables/queryTable12.xml"/><Relationship Id="rId160" Type="http://schemas.openxmlformats.org/officeDocument/2006/relationships/queryTable" Target="../queryTables/queryTable77.xml"/><Relationship Id="rId181" Type="http://schemas.openxmlformats.org/officeDocument/2006/relationships/queryTable" Target="../queryTables/queryTable98.xml"/><Relationship Id="rId216" Type="http://schemas.openxmlformats.org/officeDocument/2006/relationships/queryTable" Target="../queryTables/queryTable133.xml"/><Relationship Id="rId237" Type="http://schemas.openxmlformats.org/officeDocument/2006/relationships/queryTable" Target="../queryTables/queryTable154.xml"/><Relationship Id="rId22" Type="http://schemas.openxmlformats.org/officeDocument/2006/relationships/hyperlink" Target="http://kdb-5.liu.se/liu/lith/studiehandboken/svkursplan.lasso?&amp;k_budget_year=2014&amp;k_kurskod=TSKS09" TargetMode="External"/><Relationship Id="rId43" Type="http://schemas.openxmlformats.org/officeDocument/2006/relationships/hyperlink" Target="http://kdb-5.liu.se/liu/lith/studiehandboken/svkursplan.lasso?&amp;k_budget_year=2014&amp;k_kurskod=TEIM02" TargetMode="External"/><Relationship Id="rId64" Type="http://schemas.openxmlformats.org/officeDocument/2006/relationships/hyperlink" Target="http://kdb-5.liu.se/liu/lith/studiehandboken/svkursplan.lasso?&amp;k_budget_year=2014&amp;k_kurskod=NBIA25" TargetMode="External"/><Relationship Id="rId118" Type="http://schemas.openxmlformats.org/officeDocument/2006/relationships/queryTable" Target="../queryTables/queryTable35.xml"/><Relationship Id="rId139" Type="http://schemas.openxmlformats.org/officeDocument/2006/relationships/queryTable" Target="../queryTables/queryTable56.xml"/><Relationship Id="rId85" Type="http://schemas.openxmlformats.org/officeDocument/2006/relationships/queryTable" Target="../queryTables/queryTable2.xml"/><Relationship Id="rId150" Type="http://schemas.openxmlformats.org/officeDocument/2006/relationships/queryTable" Target="../queryTables/queryTable67.xml"/><Relationship Id="rId171" Type="http://schemas.openxmlformats.org/officeDocument/2006/relationships/queryTable" Target="../queryTables/queryTable88.xml"/><Relationship Id="rId192" Type="http://schemas.openxmlformats.org/officeDocument/2006/relationships/queryTable" Target="../queryTables/queryTable109.xml"/><Relationship Id="rId206" Type="http://schemas.openxmlformats.org/officeDocument/2006/relationships/queryTable" Target="../queryTables/queryTable123.xml"/><Relationship Id="rId227" Type="http://schemas.openxmlformats.org/officeDocument/2006/relationships/queryTable" Target="../queryTables/queryTable144.xml"/><Relationship Id="rId248" Type="http://schemas.openxmlformats.org/officeDocument/2006/relationships/queryTable" Target="../queryTables/queryTable165.xml"/><Relationship Id="rId12" Type="http://schemas.openxmlformats.org/officeDocument/2006/relationships/hyperlink" Target="http://kdb-5.liu.se/liu/lith/studiehandboken/svkursplan.lasso?&amp;k_budget_year=2014&amp;k_kurskod=TATA42" TargetMode="External"/><Relationship Id="rId33" Type="http://schemas.openxmlformats.org/officeDocument/2006/relationships/hyperlink" Target="http://kdb-5.liu.se/liu/lith/studiehandboken/svkursplan.lasso?&amp;k_budget_year=2014&amp;k_kurskod=TMEL53" TargetMode="External"/><Relationship Id="rId108" Type="http://schemas.openxmlformats.org/officeDocument/2006/relationships/queryTable" Target="../queryTables/queryTable25.xml"/><Relationship Id="rId129" Type="http://schemas.openxmlformats.org/officeDocument/2006/relationships/queryTable" Target="../queryTables/queryTable46.xml"/><Relationship Id="rId54" Type="http://schemas.openxmlformats.org/officeDocument/2006/relationships/hyperlink" Target="http://kdb-5.liu.se/liu/lith/studiehandboken/svkursplan.lasso?&amp;k_budget_year=2014&amp;k_kurskod=TDTS10" TargetMode="External"/><Relationship Id="rId70" Type="http://schemas.openxmlformats.org/officeDocument/2006/relationships/hyperlink" Target="http://kdb-5.liu.se/liu/lith/studiehandboken/svkursplan.lasso?&amp;k_budget_year=2014&amp;k_kurskod=TKMJ39" TargetMode="External"/><Relationship Id="rId75" Type="http://schemas.openxmlformats.org/officeDocument/2006/relationships/hyperlink" Target="http://kdb-5.liu.se/liu/lith/studiehandboken/svkursplan.lasso?&amp;k_budget_year=2014&amp;k_kurskod=NBIA23" TargetMode="External"/><Relationship Id="rId91" Type="http://schemas.openxmlformats.org/officeDocument/2006/relationships/queryTable" Target="../queryTables/queryTable8.xml"/><Relationship Id="rId96" Type="http://schemas.openxmlformats.org/officeDocument/2006/relationships/queryTable" Target="../queryTables/queryTable13.xml"/><Relationship Id="rId140" Type="http://schemas.openxmlformats.org/officeDocument/2006/relationships/queryTable" Target="../queryTables/queryTable57.xml"/><Relationship Id="rId145" Type="http://schemas.openxmlformats.org/officeDocument/2006/relationships/queryTable" Target="../queryTables/queryTable62.xml"/><Relationship Id="rId161" Type="http://schemas.openxmlformats.org/officeDocument/2006/relationships/queryTable" Target="../queryTables/queryTable78.xml"/><Relationship Id="rId166" Type="http://schemas.openxmlformats.org/officeDocument/2006/relationships/queryTable" Target="../queryTables/queryTable83.xml"/><Relationship Id="rId182" Type="http://schemas.openxmlformats.org/officeDocument/2006/relationships/queryTable" Target="../queryTables/queryTable99.xml"/><Relationship Id="rId187" Type="http://schemas.openxmlformats.org/officeDocument/2006/relationships/queryTable" Target="../queryTables/queryTable104.xml"/><Relationship Id="rId217" Type="http://schemas.openxmlformats.org/officeDocument/2006/relationships/queryTable" Target="../queryTables/queryTable134.xml"/><Relationship Id="rId1" Type="http://schemas.openxmlformats.org/officeDocument/2006/relationships/hyperlink" Target="http://www.liu.se/" TargetMode="External"/><Relationship Id="rId6" Type="http://schemas.openxmlformats.org/officeDocument/2006/relationships/hyperlink" Target="http://kdb-5.liu.se/liu/lith/studiehandboken/svkursplan.lasso?&amp;k_budget_year=2014&amp;k_kurskod=TATM79" TargetMode="External"/><Relationship Id="rId212" Type="http://schemas.openxmlformats.org/officeDocument/2006/relationships/queryTable" Target="../queryTables/queryTable129.xml"/><Relationship Id="rId233" Type="http://schemas.openxmlformats.org/officeDocument/2006/relationships/queryTable" Target="../queryTables/queryTable150.xml"/><Relationship Id="rId238" Type="http://schemas.openxmlformats.org/officeDocument/2006/relationships/queryTable" Target="../queryTables/queryTable155.xml"/><Relationship Id="rId254" Type="http://schemas.openxmlformats.org/officeDocument/2006/relationships/queryTable" Target="../queryTables/queryTable171.xml"/><Relationship Id="rId23" Type="http://schemas.openxmlformats.org/officeDocument/2006/relationships/hyperlink" Target="http://kdb-5.liu.se/liu/lith/studiehandboken/svkursplan.lasso?&amp;k_budget_year=2014&amp;k_kurskod=THEN18" TargetMode="External"/><Relationship Id="rId28" Type="http://schemas.openxmlformats.org/officeDocument/2006/relationships/hyperlink" Target="http://kdb-5.liu.se/liu/lith/studiehandboken/svkursplan.lasso?&amp;k_budget_year=2014&amp;k_kurskod=THEN18" TargetMode="External"/><Relationship Id="rId49" Type="http://schemas.openxmlformats.org/officeDocument/2006/relationships/hyperlink" Target="http://kdb-5.liu.se/liu/lith/studiehandboken/svkursplan.lasso?&amp;k_budget_year=2014&amp;k_kurskod=TSEA51" TargetMode="External"/><Relationship Id="rId114" Type="http://schemas.openxmlformats.org/officeDocument/2006/relationships/queryTable" Target="../queryTables/queryTable31.xml"/><Relationship Id="rId119" Type="http://schemas.openxmlformats.org/officeDocument/2006/relationships/queryTable" Target="../queryTables/queryTable36.xml"/><Relationship Id="rId44" Type="http://schemas.openxmlformats.org/officeDocument/2006/relationships/hyperlink" Target="http://kdb-5.liu.se/liu/lith/studiehandboken/svkursplan.lasso?&amp;k_budget_year=2014&amp;k_kurskod=TSRT19" TargetMode="External"/><Relationship Id="rId60" Type="http://schemas.openxmlformats.org/officeDocument/2006/relationships/hyperlink" Target="http://kdb-5.liu.se/liu/lith/studiehandboken/svkursplan.lasso?&amp;k_budget_year=2014&amp;k_kurskod=TMPT04" TargetMode="External"/><Relationship Id="rId65" Type="http://schemas.openxmlformats.org/officeDocument/2006/relationships/hyperlink" Target="http://kdb-5.liu.se/liu/lith/studiehandboken/svkursplan.lasso?&amp;k_budget_year=2014&amp;k_kurskod=TBMT19" TargetMode="External"/><Relationship Id="rId81" Type="http://schemas.openxmlformats.org/officeDocument/2006/relationships/hyperlink" Target="http://kdb-5.liu.se/liu/lith/studiehandboken/svkursplan.lasso?&amp;k_budget_year=2014&amp;k_kurskod=TMPS32" TargetMode="External"/><Relationship Id="rId86" Type="http://schemas.openxmlformats.org/officeDocument/2006/relationships/queryTable" Target="../queryTables/queryTable3.xml"/><Relationship Id="rId130" Type="http://schemas.openxmlformats.org/officeDocument/2006/relationships/queryTable" Target="../queryTables/queryTable47.xml"/><Relationship Id="rId135" Type="http://schemas.openxmlformats.org/officeDocument/2006/relationships/queryTable" Target="../queryTables/queryTable52.xml"/><Relationship Id="rId151" Type="http://schemas.openxmlformats.org/officeDocument/2006/relationships/queryTable" Target="../queryTables/queryTable68.xml"/><Relationship Id="rId156" Type="http://schemas.openxmlformats.org/officeDocument/2006/relationships/queryTable" Target="../queryTables/queryTable73.xml"/><Relationship Id="rId177" Type="http://schemas.openxmlformats.org/officeDocument/2006/relationships/queryTable" Target="../queryTables/queryTable94.xml"/><Relationship Id="rId198" Type="http://schemas.openxmlformats.org/officeDocument/2006/relationships/queryTable" Target="../queryTables/queryTable115.xml"/><Relationship Id="rId172" Type="http://schemas.openxmlformats.org/officeDocument/2006/relationships/queryTable" Target="../queryTables/queryTable89.xml"/><Relationship Id="rId193" Type="http://schemas.openxmlformats.org/officeDocument/2006/relationships/queryTable" Target="../queryTables/queryTable110.xml"/><Relationship Id="rId202" Type="http://schemas.openxmlformats.org/officeDocument/2006/relationships/queryTable" Target="../queryTables/queryTable119.xml"/><Relationship Id="rId207" Type="http://schemas.openxmlformats.org/officeDocument/2006/relationships/queryTable" Target="../queryTables/queryTable124.xml"/><Relationship Id="rId223" Type="http://schemas.openxmlformats.org/officeDocument/2006/relationships/queryTable" Target="../queryTables/queryTable140.xml"/><Relationship Id="rId228" Type="http://schemas.openxmlformats.org/officeDocument/2006/relationships/queryTable" Target="../queryTables/queryTable145.xml"/><Relationship Id="rId244" Type="http://schemas.openxmlformats.org/officeDocument/2006/relationships/queryTable" Target="../queryTables/queryTable161.xml"/><Relationship Id="rId249" Type="http://schemas.openxmlformats.org/officeDocument/2006/relationships/queryTable" Target="../queryTables/queryTable166.xml"/><Relationship Id="rId13" Type="http://schemas.openxmlformats.org/officeDocument/2006/relationships/hyperlink" Target="http://kdb-5.liu.se/liu/lith/studiehandboken/svkursplan.lasso?&amp;k_budget_year=2014&amp;k_kurskod=TDDD11" TargetMode="External"/><Relationship Id="rId18" Type="http://schemas.openxmlformats.org/officeDocument/2006/relationships/hyperlink" Target="http://kdb-5.liu.se/liu/lith/studiehandboken/svkursplan.lasso?&amp;k_budget_year=2014&amp;k_kurskod=TEIO61" TargetMode="External"/><Relationship Id="rId39" Type="http://schemas.openxmlformats.org/officeDocument/2006/relationships/hyperlink" Target="http://kdb-5.liu.se/liu/lith/studiehandboken/svkursplan.lasso?&amp;k_budget_year=2014&amp;k_kurskod=TATA80" TargetMode="External"/><Relationship Id="rId109" Type="http://schemas.openxmlformats.org/officeDocument/2006/relationships/queryTable" Target="../queryTables/queryTable26.xml"/><Relationship Id="rId34" Type="http://schemas.openxmlformats.org/officeDocument/2006/relationships/hyperlink" Target="http://kdb-5.liu.se/liu/lith/studiehandboken/svkursplan.lasso?&amp;k_budget_year=2014&amp;k_kurskod=TMMV03" TargetMode="External"/><Relationship Id="rId50" Type="http://schemas.openxmlformats.org/officeDocument/2006/relationships/hyperlink" Target="http://kdb-5.liu.se/liu/lith/studiehandboken/svkursplan.lasso?&amp;k_budget_year=2014&amp;k_kurskod=TSEA57" TargetMode="External"/><Relationship Id="rId55" Type="http://schemas.openxmlformats.org/officeDocument/2006/relationships/hyperlink" Target="http://kdb-5.liu.se/liu/lith/studiehandboken/svkursplan.lasso?&amp;k_budget_year=2014&amp;k_kurskod=TEAE05" TargetMode="External"/><Relationship Id="rId76" Type="http://schemas.openxmlformats.org/officeDocument/2006/relationships/hyperlink" Target="http://kdb-5.liu.se/liu/lith/studiehandboken/svkursplan.lasso?&amp;k_budget_year=2014&amp;k_kurskod=TBMT34" TargetMode="External"/><Relationship Id="rId97" Type="http://schemas.openxmlformats.org/officeDocument/2006/relationships/queryTable" Target="../queryTables/queryTable14.xml"/><Relationship Id="rId104" Type="http://schemas.openxmlformats.org/officeDocument/2006/relationships/queryTable" Target="../queryTables/queryTable21.xml"/><Relationship Id="rId120" Type="http://schemas.openxmlformats.org/officeDocument/2006/relationships/queryTable" Target="../queryTables/queryTable37.xml"/><Relationship Id="rId125" Type="http://schemas.openxmlformats.org/officeDocument/2006/relationships/queryTable" Target="../queryTables/queryTable42.xml"/><Relationship Id="rId141" Type="http://schemas.openxmlformats.org/officeDocument/2006/relationships/queryTable" Target="../queryTables/queryTable58.xml"/><Relationship Id="rId146" Type="http://schemas.openxmlformats.org/officeDocument/2006/relationships/queryTable" Target="../queryTables/queryTable63.xml"/><Relationship Id="rId167" Type="http://schemas.openxmlformats.org/officeDocument/2006/relationships/queryTable" Target="../queryTables/queryTable84.xml"/><Relationship Id="rId188" Type="http://schemas.openxmlformats.org/officeDocument/2006/relationships/queryTable" Target="../queryTables/queryTable105.xml"/><Relationship Id="rId7" Type="http://schemas.openxmlformats.org/officeDocument/2006/relationships/hyperlink" Target="http://kdb-5.liu.se/liu/lith/studiehandboken/svkursplan.lasso?&amp;k_budget_year=2014&amp;k_kurskod=TEIE17" TargetMode="External"/><Relationship Id="rId71" Type="http://schemas.openxmlformats.org/officeDocument/2006/relationships/hyperlink" Target="http://kdb-5.liu.se/liu/lith/studiehandboken/svkursplan.lasso?&amp;k_budget_year=2014&amp;k_kurskod=TMKT14" TargetMode="External"/><Relationship Id="rId92" Type="http://schemas.openxmlformats.org/officeDocument/2006/relationships/queryTable" Target="../queryTables/queryTable9.xml"/><Relationship Id="rId162" Type="http://schemas.openxmlformats.org/officeDocument/2006/relationships/queryTable" Target="../queryTables/queryTable79.xml"/><Relationship Id="rId183" Type="http://schemas.openxmlformats.org/officeDocument/2006/relationships/queryTable" Target="../queryTables/queryTable100.xml"/><Relationship Id="rId213" Type="http://schemas.openxmlformats.org/officeDocument/2006/relationships/queryTable" Target="../queryTables/queryTable130.xml"/><Relationship Id="rId218" Type="http://schemas.openxmlformats.org/officeDocument/2006/relationships/queryTable" Target="../queryTables/queryTable135.xml"/><Relationship Id="rId234" Type="http://schemas.openxmlformats.org/officeDocument/2006/relationships/queryTable" Target="../queryTables/queryTable151.xml"/><Relationship Id="rId239" Type="http://schemas.openxmlformats.org/officeDocument/2006/relationships/queryTable" Target="../queryTables/queryTable156.xml"/><Relationship Id="rId2" Type="http://schemas.openxmlformats.org/officeDocument/2006/relationships/hyperlink" Target="http://www.lith.liu.se/" TargetMode="External"/><Relationship Id="rId29" Type="http://schemas.openxmlformats.org/officeDocument/2006/relationships/hyperlink" Target="http://kdb-5.liu.se/liu/lith/studiehandboken/svkursplan.lasso?&amp;k_budget_year=2014&amp;k_kurskod=TAMS79" TargetMode="External"/><Relationship Id="rId250" Type="http://schemas.openxmlformats.org/officeDocument/2006/relationships/queryTable" Target="../queryTables/queryTable167.xml"/><Relationship Id="rId255" Type="http://schemas.openxmlformats.org/officeDocument/2006/relationships/queryTable" Target="../queryTables/queryTable172.xml"/><Relationship Id="rId24" Type="http://schemas.openxmlformats.org/officeDocument/2006/relationships/hyperlink" Target="http://kdb-5.liu.se/liu/lith/studiehandboken/svkursplan.lasso?&amp;k_budget_year=2014&amp;k_kurskod=TAMS79" TargetMode="External"/><Relationship Id="rId40" Type="http://schemas.openxmlformats.org/officeDocument/2006/relationships/hyperlink" Target="http://kdb-5.liu.se/liu/lith/studiehandboken/svkursplan.lasso?&amp;k_budget_year=2014&amp;k_kurskod=TFKE52" TargetMode="External"/><Relationship Id="rId45" Type="http://schemas.openxmlformats.org/officeDocument/2006/relationships/hyperlink" Target="http://kdb-5.liu.se/liu/lith/studiehandboken/svkursplan.lasso?&amp;k_budget_year=2014&amp;k_kurskod=TBME04" TargetMode="External"/><Relationship Id="rId66" Type="http://schemas.openxmlformats.org/officeDocument/2006/relationships/hyperlink" Target="http://kdb-5.liu.se/liu/lith/studiehandboken/svkursplan.lasso?&amp;k_budget_year=2014&amp;k_kurskod=TBMT34" TargetMode="External"/><Relationship Id="rId87" Type="http://schemas.openxmlformats.org/officeDocument/2006/relationships/queryTable" Target="../queryTables/queryTable4.xml"/><Relationship Id="rId110" Type="http://schemas.openxmlformats.org/officeDocument/2006/relationships/queryTable" Target="../queryTables/queryTable27.xml"/><Relationship Id="rId115" Type="http://schemas.openxmlformats.org/officeDocument/2006/relationships/queryTable" Target="../queryTables/queryTable32.xml"/><Relationship Id="rId131" Type="http://schemas.openxmlformats.org/officeDocument/2006/relationships/queryTable" Target="../queryTables/queryTable48.xml"/><Relationship Id="rId136" Type="http://schemas.openxmlformats.org/officeDocument/2006/relationships/queryTable" Target="../queryTables/queryTable53.xml"/><Relationship Id="rId157" Type="http://schemas.openxmlformats.org/officeDocument/2006/relationships/queryTable" Target="../queryTables/queryTable74.xml"/><Relationship Id="rId178" Type="http://schemas.openxmlformats.org/officeDocument/2006/relationships/queryTable" Target="../queryTables/queryTable95.xml"/><Relationship Id="rId61" Type="http://schemas.openxmlformats.org/officeDocument/2006/relationships/hyperlink" Target="http://kdb-5.liu.se/liu/lith/studiehandboken/svkursplan.lasso?&amp;k_budget_year=2014&amp;k_kurskod=TSDT18" TargetMode="External"/><Relationship Id="rId82" Type="http://schemas.openxmlformats.org/officeDocument/2006/relationships/hyperlink" Target="http://kdb-5.liu.se/liu/lith/studiehandboken/svkursplan.lasso?&amp;k_budget_year=2014&amp;k_kurskod=TSEA56" TargetMode="External"/><Relationship Id="rId152" Type="http://schemas.openxmlformats.org/officeDocument/2006/relationships/queryTable" Target="../queryTables/queryTable69.xml"/><Relationship Id="rId173" Type="http://schemas.openxmlformats.org/officeDocument/2006/relationships/queryTable" Target="../queryTables/queryTable90.xml"/><Relationship Id="rId194" Type="http://schemas.openxmlformats.org/officeDocument/2006/relationships/queryTable" Target="../queryTables/queryTable111.xml"/><Relationship Id="rId199" Type="http://schemas.openxmlformats.org/officeDocument/2006/relationships/queryTable" Target="../queryTables/queryTable116.xml"/><Relationship Id="rId203" Type="http://schemas.openxmlformats.org/officeDocument/2006/relationships/queryTable" Target="../queryTables/queryTable120.xml"/><Relationship Id="rId208" Type="http://schemas.openxmlformats.org/officeDocument/2006/relationships/queryTable" Target="../queryTables/queryTable125.xml"/><Relationship Id="rId229" Type="http://schemas.openxmlformats.org/officeDocument/2006/relationships/queryTable" Target="../queryTables/queryTable146.xml"/><Relationship Id="rId19" Type="http://schemas.openxmlformats.org/officeDocument/2006/relationships/hyperlink" Target="http://kdb-5.liu.se/liu/lith/studiehandboken/svkursplan.lasso?&amp;k_budget_year=2014&amp;k_kurskod=TSKS08" TargetMode="External"/><Relationship Id="rId224" Type="http://schemas.openxmlformats.org/officeDocument/2006/relationships/queryTable" Target="../queryTables/queryTable141.xml"/><Relationship Id="rId240" Type="http://schemas.openxmlformats.org/officeDocument/2006/relationships/queryTable" Target="../queryTables/queryTable157.xml"/><Relationship Id="rId245" Type="http://schemas.openxmlformats.org/officeDocument/2006/relationships/queryTable" Target="../queryTables/queryTable162.xml"/><Relationship Id="rId14" Type="http://schemas.openxmlformats.org/officeDocument/2006/relationships/hyperlink" Target="http://kdb-5.liu.se/liu/lith/studiehandboken/svkursplan.lasso?&amp;k_budget_year=2014&amp;k_kurskod=TEIO61" TargetMode="External"/><Relationship Id="rId30" Type="http://schemas.openxmlformats.org/officeDocument/2006/relationships/hyperlink" Target="http://kdb-5.liu.se/liu/lith/studiehandboken/svkursplan.lasso?&amp;k_budget_year=2014&amp;k_kurskod=TPPE98" TargetMode="External"/><Relationship Id="rId35" Type="http://schemas.openxmlformats.org/officeDocument/2006/relationships/hyperlink" Target="http://kdb-5.liu.se/liu/lith/studiehandboken/svkursplan.lasso?&amp;k_budget_year=2014&amp;k_kurskod=TPTE06" TargetMode="External"/><Relationship Id="rId56" Type="http://schemas.openxmlformats.org/officeDocument/2006/relationships/hyperlink" Target="http://kdb-5.liu.se/liu/lith/studiehandboken/svkursplan.lasso?&amp;k_budget_year=2014&amp;k_kurskod=TFBI22" TargetMode="External"/><Relationship Id="rId77" Type="http://schemas.openxmlformats.org/officeDocument/2006/relationships/hyperlink" Target="http://kdb-5.liu.se/liu/lith/studiehandboken/svkursplan.lasso?&amp;k_budget_year=2014&amp;k_kurskod=TDDD12" TargetMode="External"/><Relationship Id="rId100" Type="http://schemas.openxmlformats.org/officeDocument/2006/relationships/queryTable" Target="../queryTables/queryTable17.xml"/><Relationship Id="rId105" Type="http://schemas.openxmlformats.org/officeDocument/2006/relationships/queryTable" Target="../queryTables/queryTable22.xml"/><Relationship Id="rId126" Type="http://schemas.openxmlformats.org/officeDocument/2006/relationships/queryTable" Target="../queryTables/queryTable43.xml"/><Relationship Id="rId147" Type="http://schemas.openxmlformats.org/officeDocument/2006/relationships/queryTable" Target="../queryTables/queryTable64.xml"/><Relationship Id="rId168" Type="http://schemas.openxmlformats.org/officeDocument/2006/relationships/queryTable" Target="../queryTables/queryTable85.xml"/><Relationship Id="rId8" Type="http://schemas.openxmlformats.org/officeDocument/2006/relationships/hyperlink" Target="http://kdb-5.liu.se/liu/lith/studiehandboken/svkursplan.lasso?&amp;k_budget_year=2014&amp;k_kurskod=TATA31" TargetMode="External"/><Relationship Id="rId51" Type="http://schemas.openxmlformats.org/officeDocument/2006/relationships/hyperlink" Target="http://kdb-5.liu.se/liu/lith/studiehandboken/svkursplan.lasso?&amp;k_budget_year=2014&amp;k_kurskod=TPPE13" TargetMode="External"/><Relationship Id="rId72" Type="http://schemas.openxmlformats.org/officeDocument/2006/relationships/hyperlink" Target="http://kdb-5.liu.se/liu/lith/studiehandboken/svkursplan.lasso?&amp;k_budget_year=2014&amp;k_kurskod=TMMV16" TargetMode="External"/><Relationship Id="rId93" Type="http://schemas.openxmlformats.org/officeDocument/2006/relationships/queryTable" Target="../queryTables/queryTable10.xml"/><Relationship Id="rId98" Type="http://schemas.openxmlformats.org/officeDocument/2006/relationships/queryTable" Target="../queryTables/queryTable15.xml"/><Relationship Id="rId121" Type="http://schemas.openxmlformats.org/officeDocument/2006/relationships/queryTable" Target="../queryTables/queryTable38.xml"/><Relationship Id="rId142" Type="http://schemas.openxmlformats.org/officeDocument/2006/relationships/queryTable" Target="../queryTables/queryTable59.xml"/><Relationship Id="rId163" Type="http://schemas.openxmlformats.org/officeDocument/2006/relationships/queryTable" Target="../queryTables/queryTable80.xml"/><Relationship Id="rId184" Type="http://schemas.openxmlformats.org/officeDocument/2006/relationships/queryTable" Target="../queryTables/queryTable101.xml"/><Relationship Id="rId189" Type="http://schemas.openxmlformats.org/officeDocument/2006/relationships/queryTable" Target="../queryTables/queryTable106.xml"/><Relationship Id="rId219" Type="http://schemas.openxmlformats.org/officeDocument/2006/relationships/queryTable" Target="../queryTables/queryTable136.xml"/><Relationship Id="rId3" Type="http://schemas.openxmlformats.org/officeDocument/2006/relationships/hyperlink" Target="http://www.liu.se/" TargetMode="External"/><Relationship Id="rId214" Type="http://schemas.openxmlformats.org/officeDocument/2006/relationships/queryTable" Target="../queryTables/queryTable131.xml"/><Relationship Id="rId230" Type="http://schemas.openxmlformats.org/officeDocument/2006/relationships/queryTable" Target="../queryTables/queryTable147.xml"/><Relationship Id="rId235" Type="http://schemas.openxmlformats.org/officeDocument/2006/relationships/queryTable" Target="../queryTables/queryTable152.xml"/><Relationship Id="rId251" Type="http://schemas.openxmlformats.org/officeDocument/2006/relationships/queryTable" Target="../queryTables/queryTable168.xml"/><Relationship Id="rId25" Type="http://schemas.openxmlformats.org/officeDocument/2006/relationships/hyperlink" Target="http://kdb-5.liu.se/liu/lith/studiehandboken/svkursplan.lasso?&amp;k_budget_year=2014&amp;k_kurskod=TFYA14" TargetMode="External"/><Relationship Id="rId46" Type="http://schemas.openxmlformats.org/officeDocument/2006/relationships/hyperlink" Target="http://kdb-5.liu.se/liu/lith/studiehandboken/svkursplan.lasso?&amp;k_budget_year=2014&amp;k_kurskod=TFBI22" TargetMode="External"/><Relationship Id="rId67" Type="http://schemas.openxmlformats.org/officeDocument/2006/relationships/hyperlink" Target="http://kdb-5.liu.se/liu/lith/studiehandboken/svkursplan.lasso?&amp;k_budget_year=2014&amp;k_kurskod=TDDC30" TargetMode="External"/><Relationship Id="rId116" Type="http://schemas.openxmlformats.org/officeDocument/2006/relationships/queryTable" Target="../queryTables/queryTable33.xml"/><Relationship Id="rId137" Type="http://schemas.openxmlformats.org/officeDocument/2006/relationships/queryTable" Target="../queryTables/queryTable54.xml"/><Relationship Id="rId158" Type="http://schemas.openxmlformats.org/officeDocument/2006/relationships/queryTable" Target="../queryTables/queryTable75.xml"/><Relationship Id="rId20" Type="http://schemas.openxmlformats.org/officeDocument/2006/relationships/hyperlink" Target="http://kdb-5.liu.se/liu/lith/studiehandboken/svkursplan.lasso?&amp;k_budget_year=2014&amp;k_kurskod=TAOP14" TargetMode="External"/><Relationship Id="rId41" Type="http://schemas.openxmlformats.org/officeDocument/2006/relationships/hyperlink" Target="http://kdb-5.liu.se/liu/lith/studiehandboken/svkursplan.lasso?&amp;k_budget_year=2014&amp;k_kurskod=TMHL07" TargetMode="External"/><Relationship Id="rId62" Type="http://schemas.openxmlformats.org/officeDocument/2006/relationships/hyperlink" Target="http://kdb-5.liu.se/liu/lith/studiehandboken/svkursplan.lasso?&amp;k_budget_year=2014&amp;k_kurskod=TSEA57" TargetMode="External"/><Relationship Id="rId83" Type="http://schemas.openxmlformats.org/officeDocument/2006/relationships/hyperlink" Target="http://kdb-5.liu.se/liu/lith/studiehandboken/svkursplan.lasso?&amp;k_budget_year=2014&amp;k_kurskod=TSKS10" TargetMode="External"/><Relationship Id="rId88" Type="http://schemas.openxmlformats.org/officeDocument/2006/relationships/queryTable" Target="../queryTables/queryTable5.xml"/><Relationship Id="rId111" Type="http://schemas.openxmlformats.org/officeDocument/2006/relationships/queryTable" Target="../queryTables/queryTable28.xml"/><Relationship Id="rId132" Type="http://schemas.openxmlformats.org/officeDocument/2006/relationships/queryTable" Target="../queryTables/queryTable49.xml"/><Relationship Id="rId153" Type="http://schemas.openxmlformats.org/officeDocument/2006/relationships/queryTable" Target="../queryTables/queryTable70.xml"/><Relationship Id="rId174" Type="http://schemas.openxmlformats.org/officeDocument/2006/relationships/queryTable" Target="../queryTables/queryTable91.xml"/><Relationship Id="rId179" Type="http://schemas.openxmlformats.org/officeDocument/2006/relationships/queryTable" Target="../queryTables/queryTable96.xml"/><Relationship Id="rId195" Type="http://schemas.openxmlformats.org/officeDocument/2006/relationships/queryTable" Target="../queryTables/queryTable112.xml"/><Relationship Id="rId209" Type="http://schemas.openxmlformats.org/officeDocument/2006/relationships/queryTable" Target="../queryTables/queryTable126.xml"/><Relationship Id="rId190" Type="http://schemas.openxmlformats.org/officeDocument/2006/relationships/queryTable" Target="../queryTables/queryTable107.xml"/><Relationship Id="rId204" Type="http://schemas.openxmlformats.org/officeDocument/2006/relationships/queryTable" Target="../queryTables/queryTable121.xml"/><Relationship Id="rId220" Type="http://schemas.openxmlformats.org/officeDocument/2006/relationships/queryTable" Target="../queryTables/queryTable137.xml"/><Relationship Id="rId225" Type="http://schemas.openxmlformats.org/officeDocument/2006/relationships/queryTable" Target="../queryTables/queryTable142.xml"/><Relationship Id="rId241" Type="http://schemas.openxmlformats.org/officeDocument/2006/relationships/queryTable" Target="../queryTables/queryTable158.xml"/><Relationship Id="rId246" Type="http://schemas.openxmlformats.org/officeDocument/2006/relationships/queryTable" Target="../queryTables/queryTable163.xml"/><Relationship Id="rId15" Type="http://schemas.openxmlformats.org/officeDocument/2006/relationships/hyperlink" Target="http://kdb-5.liu.se/liu/lith/studiehandboken/svkursplan.lasso?&amp;k_budget_year=2014&amp;k_kurskod=TGTU35" TargetMode="External"/><Relationship Id="rId36" Type="http://schemas.openxmlformats.org/officeDocument/2006/relationships/hyperlink" Target="http://kdb-5.liu.se/liu/lith/studiehandboken/svkursplan.lasso?&amp;k_budget_year=2014&amp;k_kurskod=TAMS65" TargetMode="External"/><Relationship Id="rId57" Type="http://schemas.openxmlformats.org/officeDocument/2006/relationships/hyperlink" Target="http://kdb-5.liu.se/liu/lith/studiehandboken/svkursplan.lasso?&amp;k_budget_year=2014&amp;k_kurskod=TFKE32" TargetMode="External"/><Relationship Id="rId106" Type="http://schemas.openxmlformats.org/officeDocument/2006/relationships/queryTable" Target="../queryTables/queryTable23.xml"/><Relationship Id="rId127" Type="http://schemas.openxmlformats.org/officeDocument/2006/relationships/queryTable" Target="../queryTables/queryTable44.xml"/><Relationship Id="rId10" Type="http://schemas.openxmlformats.org/officeDocument/2006/relationships/hyperlink" Target="http://kdb-5.liu.se/liu/lith/studiehandboken/svkursplan.lasso?&amp;k_budget_year=2014&amp;k_kurskod=TEIE17" TargetMode="External"/><Relationship Id="rId31" Type="http://schemas.openxmlformats.org/officeDocument/2006/relationships/hyperlink" Target="http://kdb-5.liu.se/liu/lith/studiehandboken/svkursplan.lasso?&amp;k_budget_year=2014&amp;k_kurskod=TDDC30" TargetMode="External"/><Relationship Id="rId52" Type="http://schemas.openxmlformats.org/officeDocument/2006/relationships/hyperlink" Target="http://kdb-5.liu.se/liu/lith/studiehandboken/svkursplan.lasso?&amp;k_budget_year=2014&amp;k_kurskod=NBIB45" TargetMode="External"/><Relationship Id="rId73" Type="http://schemas.openxmlformats.org/officeDocument/2006/relationships/hyperlink" Target="http://kdb-5.liu.se/liu/lith/studiehandboken/svkursplan.lasso?&amp;k_budget_year=2014&amp;k_kurskod=TMPS32" TargetMode="External"/><Relationship Id="rId78" Type="http://schemas.openxmlformats.org/officeDocument/2006/relationships/hyperlink" Target="http://kdb-5.liu.se/liu/lith/studiehandboken/svkursplan.lasso?&amp;k_budget_year=2014&amp;k_kurskod=TDDD81" TargetMode="External"/><Relationship Id="rId94" Type="http://schemas.openxmlformats.org/officeDocument/2006/relationships/queryTable" Target="../queryTables/queryTable11.xml"/><Relationship Id="rId99" Type="http://schemas.openxmlformats.org/officeDocument/2006/relationships/queryTable" Target="../queryTables/queryTable16.xml"/><Relationship Id="rId101" Type="http://schemas.openxmlformats.org/officeDocument/2006/relationships/queryTable" Target="../queryTables/queryTable18.xml"/><Relationship Id="rId122" Type="http://schemas.openxmlformats.org/officeDocument/2006/relationships/queryTable" Target="../queryTables/queryTable39.xml"/><Relationship Id="rId143" Type="http://schemas.openxmlformats.org/officeDocument/2006/relationships/queryTable" Target="../queryTables/queryTable60.xml"/><Relationship Id="rId148" Type="http://schemas.openxmlformats.org/officeDocument/2006/relationships/queryTable" Target="../queryTables/queryTable65.xml"/><Relationship Id="rId164" Type="http://schemas.openxmlformats.org/officeDocument/2006/relationships/queryTable" Target="../queryTables/queryTable81.xml"/><Relationship Id="rId169" Type="http://schemas.openxmlformats.org/officeDocument/2006/relationships/queryTable" Target="../queryTables/queryTable86.xml"/><Relationship Id="rId185" Type="http://schemas.openxmlformats.org/officeDocument/2006/relationships/queryTable" Target="../queryTables/queryTable102.xml"/><Relationship Id="rId4" Type="http://schemas.openxmlformats.org/officeDocument/2006/relationships/hyperlink" Target="http://kdb-5.liu.se/liu/lith/studiehandboken/svkursplan.lasso?&amp;k_budget_year=2014&amp;k_kurskod=TATM79" TargetMode="External"/><Relationship Id="rId9" Type="http://schemas.openxmlformats.org/officeDocument/2006/relationships/hyperlink" Target="http://kdb-5.liu.se/liu/lith/studiehandboken/svkursplan.lasso?&amp;k_budget_year=2014&amp;k_kurskod=TATA41" TargetMode="External"/><Relationship Id="rId180" Type="http://schemas.openxmlformats.org/officeDocument/2006/relationships/queryTable" Target="../queryTables/queryTable97.xml"/><Relationship Id="rId210" Type="http://schemas.openxmlformats.org/officeDocument/2006/relationships/queryTable" Target="../queryTables/queryTable127.xml"/><Relationship Id="rId215" Type="http://schemas.openxmlformats.org/officeDocument/2006/relationships/queryTable" Target="../queryTables/queryTable132.xml"/><Relationship Id="rId236" Type="http://schemas.openxmlformats.org/officeDocument/2006/relationships/queryTable" Target="../queryTables/queryTable153.xml"/><Relationship Id="rId26" Type="http://schemas.openxmlformats.org/officeDocument/2006/relationships/hyperlink" Target="http://kdb-5.liu.se/liu/lith/studiehandboken/svkursplan.lasso?&amp;k_budget_year=2014&amp;k_kurskod=TMME27" TargetMode="External"/><Relationship Id="rId231" Type="http://schemas.openxmlformats.org/officeDocument/2006/relationships/queryTable" Target="../queryTables/queryTable148.xml"/><Relationship Id="rId252" Type="http://schemas.openxmlformats.org/officeDocument/2006/relationships/queryTable" Target="../queryTables/queryTable169.xml"/><Relationship Id="rId47" Type="http://schemas.openxmlformats.org/officeDocument/2006/relationships/hyperlink" Target="http://kdb-5.liu.se/liu/lith/studiehandboken/svkursplan.lasso?&amp;k_budget_year=2014&amp;k_kurskod=TKMJ24" TargetMode="External"/><Relationship Id="rId68" Type="http://schemas.openxmlformats.org/officeDocument/2006/relationships/hyperlink" Target="http://kdb-5.liu.se/liu/lith/studiehandboken/svkursplan.lasso?&amp;k_budget_year=2014&amp;k_kurskod=TDDD81" TargetMode="External"/><Relationship Id="rId89" Type="http://schemas.openxmlformats.org/officeDocument/2006/relationships/queryTable" Target="../queryTables/queryTable6.xml"/><Relationship Id="rId112" Type="http://schemas.openxmlformats.org/officeDocument/2006/relationships/queryTable" Target="../queryTables/queryTable29.xml"/><Relationship Id="rId133" Type="http://schemas.openxmlformats.org/officeDocument/2006/relationships/queryTable" Target="../queryTables/queryTable50.xml"/><Relationship Id="rId154" Type="http://schemas.openxmlformats.org/officeDocument/2006/relationships/queryTable" Target="../queryTables/queryTable71.xml"/><Relationship Id="rId175" Type="http://schemas.openxmlformats.org/officeDocument/2006/relationships/queryTable" Target="../queryTables/queryTable92.xml"/><Relationship Id="rId196" Type="http://schemas.openxmlformats.org/officeDocument/2006/relationships/queryTable" Target="../queryTables/queryTable113.xml"/><Relationship Id="rId200" Type="http://schemas.openxmlformats.org/officeDocument/2006/relationships/queryTable" Target="../queryTables/queryTable117.xml"/><Relationship Id="rId16" Type="http://schemas.openxmlformats.org/officeDocument/2006/relationships/hyperlink" Target="http://kdb-5.liu.se/liu/lith/studiehandboken/svkursplan.lasso?&amp;k_budget_year=2014&amp;k_kurskod=TATA43" TargetMode="External"/><Relationship Id="rId221" Type="http://schemas.openxmlformats.org/officeDocument/2006/relationships/queryTable" Target="../queryTables/queryTable138.xml"/><Relationship Id="rId242" Type="http://schemas.openxmlformats.org/officeDocument/2006/relationships/queryTable" Target="../queryTables/queryTable159.xml"/><Relationship Id="rId37" Type="http://schemas.openxmlformats.org/officeDocument/2006/relationships/hyperlink" Target="http://kdb-5.liu.se/liu/lith/studiehandboken/svkursplan.lasso?&amp;k_budget_year=2014&amp;k_kurskod=TPPE24" TargetMode="External"/><Relationship Id="rId58" Type="http://schemas.openxmlformats.org/officeDocument/2006/relationships/hyperlink" Target="http://kdb-5.liu.se/liu/lith/studiehandboken/svkursplan.lasso?&amp;k_budget_year=2014&amp;k_kurskod=TMES34" TargetMode="External"/><Relationship Id="rId79" Type="http://schemas.openxmlformats.org/officeDocument/2006/relationships/hyperlink" Target="http://kdb-5.liu.se/liu/lith/studiehandboken/svkursplan.lasso?&amp;k_budget_year=2014&amp;k_kurskod=TDDD83" TargetMode="External"/><Relationship Id="rId102" Type="http://schemas.openxmlformats.org/officeDocument/2006/relationships/queryTable" Target="../queryTables/queryTable19.xml"/><Relationship Id="rId123" Type="http://schemas.openxmlformats.org/officeDocument/2006/relationships/queryTable" Target="../queryTables/queryTable40.xml"/><Relationship Id="rId144" Type="http://schemas.openxmlformats.org/officeDocument/2006/relationships/queryTable" Target="../queryTables/queryTable61.xml"/><Relationship Id="rId90" Type="http://schemas.openxmlformats.org/officeDocument/2006/relationships/queryTable" Target="../queryTables/queryTable7.xml"/><Relationship Id="rId165" Type="http://schemas.openxmlformats.org/officeDocument/2006/relationships/queryTable" Target="../queryTables/queryTable82.xml"/><Relationship Id="rId186" Type="http://schemas.openxmlformats.org/officeDocument/2006/relationships/queryTable" Target="../queryTables/queryTable103.xml"/><Relationship Id="rId211" Type="http://schemas.openxmlformats.org/officeDocument/2006/relationships/queryTable" Target="../queryTables/queryTable128.xml"/><Relationship Id="rId232" Type="http://schemas.openxmlformats.org/officeDocument/2006/relationships/queryTable" Target="../queryTables/queryTable149.xml"/><Relationship Id="rId253" Type="http://schemas.openxmlformats.org/officeDocument/2006/relationships/queryTable" Target="../queryTables/queryTable170.xml"/><Relationship Id="rId27" Type="http://schemas.openxmlformats.org/officeDocument/2006/relationships/hyperlink" Target="http://kdb-5.liu.se/liu/lith/studiehandboken/svkursplan.lasso?&amp;k_budget_year=2014&amp;k_kurskod=TEIM03" TargetMode="External"/><Relationship Id="rId48" Type="http://schemas.openxmlformats.org/officeDocument/2006/relationships/hyperlink" Target="http://kdb-5.liu.se/liu/lith/studiehandboken/svkursplan.lasso?&amp;k_budget_year=2014&amp;k_kurskod=TMPT04" TargetMode="External"/><Relationship Id="rId69" Type="http://schemas.openxmlformats.org/officeDocument/2006/relationships/hyperlink" Target="http://kdb-5.liu.se/liu/lith/studiehandboken/svkursplan.lasso?&amp;k_budget_year=2014&amp;k_kurskod=TDDD83" TargetMode="External"/><Relationship Id="rId113" Type="http://schemas.openxmlformats.org/officeDocument/2006/relationships/queryTable" Target="../queryTables/queryTable30.xml"/><Relationship Id="rId134" Type="http://schemas.openxmlformats.org/officeDocument/2006/relationships/queryTable" Target="../queryTables/queryTable51.xml"/><Relationship Id="rId80" Type="http://schemas.openxmlformats.org/officeDocument/2006/relationships/hyperlink" Target="http://kdb-5.liu.se/liu/lith/studiehandboken/svkursplan.lasso?&amp;k_budget_year=2014&amp;k_kurskod=TMMV16" TargetMode="External"/><Relationship Id="rId155" Type="http://schemas.openxmlformats.org/officeDocument/2006/relationships/queryTable" Target="../queryTables/queryTable72.xml"/><Relationship Id="rId176" Type="http://schemas.openxmlformats.org/officeDocument/2006/relationships/queryTable" Target="../queryTables/queryTable93.xml"/><Relationship Id="rId197" Type="http://schemas.openxmlformats.org/officeDocument/2006/relationships/queryTable" Target="../queryTables/queryTable114.xml"/><Relationship Id="rId201" Type="http://schemas.openxmlformats.org/officeDocument/2006/relationships/queryTable" Target="../queryTables/queryTable118.xml"/><Relationship Id="rId222" Type="http://schemas.openxmlformats.org/officeDocument/2006/relationships/queryTable" Target="../queryTables/queryTable139.xml"/><Relationship Id="rId243" Type="http://schemas.openxmlformats.org/officeDocument/2006/relationships/queryTable" Target="../queryTables/queryTable160.xml"/><Relationship Id="rId17" Type="http://schemas.openxmlformats.org/officeDocument/2006/relationships/hyperlink" Target="http://kdb-5.liu.se/liu/lith/studiehandboken/svkursplan.lasso?&amp;k_budget_year=2014&amp;k_kurskod=TDDD11" TargetMode="External"/><Relationship Id="rId38" Type="http://schemas.openxmlformats.org/officeDocument/2006/relationships/hyperlink" Target="http://kdb-5.liu.se/liu/lith/studiehandboken/svkursplan.lasso?&amp;k_budget_year=2014&amp;k_kurskod=TATA52" TargetMode="External"/><Relationship Id="rId59" Type="http://schemas.openxmlformats.org/officeDocument/2006/relationships/hyperlink" Target="http://kdb-5.liu.se/liu/lith/studiehandboken/svkursplan.lasso?&amp;k_budget_year=2014&amp;k_kurskod=TMKM86" TargetMode="External"/><Relationship Id="rId103" Type="http://schemas.openxmlformats.org/officeDocument/2006/relationships/queryTable" Target="../queryTables/queryTable20.xml"/><Relationship Id="rId124" Type="http://schemas.openxmlformats.org/officeDocument/2006/relationships/queryTable" Target="../queryTables/queryTable41.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8.xml"/><Relationship Id="rId7" Type="http://schemas.openxmlformats.org/officeDocument/2006/relationships/table" Target="../tables/table12.xml"/><Relationship Id="rId2" Type="http://schemas.openxmlformats.org/officeDocument/2006/relationships/table" Target="../tables/table7.xml"/><Relationship Id="rId1" Type="http://schemas.openxmlformats.org/officeDocument/2006/relationships/table" Target="../tables/table6.xml"/><Relationship Id="rId6" Type="http://schemas.openxmlformats.org/officeDocument/2006/relationships/table" Target="../tables/table11.xml"/><Relationship Id="rId5" Type="http://schemas.openxmlformats.org/officeDocument/2006/relationships/table" Target="../tables/table10.xml"/><Relationship Id="rId4"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2">
    <tabColor rgb="FF00B0F0"/>
    <pageSetUpPr autoPageBreaks="0" fitToPage="1"/>
  </sheetPr>
  <dimension ref="A1:Y89"/>
  <sheetViews>
    <sheetView showGridLines="0" tabSelected="1" zoomScaleNormal="100" workbookViewId="0">
      <selection activeCell="B36" sqref="B36:B41"/>
    </sheetView>
  </sheetViews>
  <sheetFormatPr defaultRowHeight="18" customHeight="1" x14ac:dyDescent="0.3"/>
  <cols>
    <col min="2" max="2" width="14.625" customWidth="1"/>
    <col min="3" max="3" width="16.5" customWidth="1"/>
    <col min="4" max="4" width="1.875" customWidth="1"/>
    <col min="5" max="5" width="8.125" bestFit="1" customWidth="1"/>
    <col min="6" max="6" width="8" customWidth="1"/>
    <col min="7" max="7" width="6.875" bestFit="1" customWidth="1"/>
    <col min="8" max="8" width="8" bestFit="1" customWidth="1"/>
    <col min="9" max="9" width="3.875" customWidth="1"/>
    <col min="10" max="10" width="11.25" customWidth="1"/>
    <col min="11" max="11" width="29.25" customWidth="1"/>
    <col min="12" max="12" width="14.875" customWidth="1"/>
    <col min="13" max="13" width="14.375" customWidth="1"/>
    <col min="14" max="14" width="15.75" customWidth="1"/>
    <col min="15" max="15" width="13.25" customWidth="1"/>
    <col min="16" max="16" width="16.5" customWidth="1"/>
    <col min="17" max="17" width="14.5" customWidth="1"/>
    <col min="18" max="23" width="24.25" customWidth="1"/>
    <col min="24" max="24" width="22.5" customWidth="1"/>
    <col min="25" max="25" width="19.375" customWidth="1"/>
    <col min="26" max="26" width="8.875" customWidth="1"/>
    <col min="27" max="27" width="11.25" customWidth="1"/>
    <col min="28" max="30" width="1.875" customWidth="1"/>
    <col min="31" max="31" width="19.125" bestFit="1" customWidth="1"/>
    <col min="32" max="32" width="11.25" bestFit="1" customWidth="1"/>
  </cols>
  <sheetData>
    <row r="1" spans="1:21" ht="6.75" customHeight="1" x14ac:dyDescent="0.3">
      <c r="A1" s="1"/>
      <c r="B1" s="1"/>
      <c r="C1" s="1"/>
      <c r="D1" s="1"/>
      <c r="E1" s="1"/>
      <c r="F1" s="1"/>
      <c r="G1" s="1"/>
      <c r="H1" s="1"/>
      <c r="I1" s="1"/>
      <c r="J1" s="1"/>
      <c r="K1" s="1"/>
      <c r="L1" s="1"/>
      <c r="M1" s="1"/>
      <c r="N1" s="1"/>
      <c r="O1" s="8"/>
      <c r="P1" s="8"/>
      <c r="Q1" s="8"/>
      <c r="R1" s="8"/>
      <c r="S1" s="8"/>
      <c r="T1" s="8"/>
      <c r="U1" s="8"/>
    </row>
    <row r="2" spans="1:21" ht="51" customHeight="1" x14ac:dyDescent="0.3">
      <c r="A2" s="103" t="s">
        <v>979</v>
      </c>
      <c r="B2" s="103"/>
      <c r="C2" s="103"/>
      <c r="D2" s="103"/>
      <c r="E2" s="103"/>
      <c r="F2" s="103"/>
      <c r="G2" s="103"/>
      <c r="H2" s="103"/>
      <c r="I2" s="103"/>
      <c r="J2" s="6"/>
      <c r="K2" s="203" t="str">
        <f>'Ditt informationsblad'!$E$2</f>
        <v>Civilingenjör i Industriell Ekonomi                                                                                                                                 med inriktning Datateknik och Ekonomiska informationssystem</v>
      </c>
      <c r="L2" s="203"/>
      <c r="M2" s="203"/>
      <c r="N2" s="203"/>
      <c r="O2" s="8"/>
      <c r="P2" s="8"/>
      <c r="Q2" s="8"/>
      <c r="R2" s="8"/>
      <c r="S2" s="8"/>
      <c r="T2" s="8"/>
      <c r="U2" s="8"/>
    </row>
    <row r="3" spans="1:21" ht="6.75" customHeight="1" x14ac:dyDescent="0.3">
      <c r="A3" s="1"/>
      <c r="B3" s="1"/>
      <c r="C3" s="1"/>
      <c r="D3" s="1"/>
      <c r="E3" s="1"/>
      <c r="F3" s="1"/>
      <c r="G3" s="1"/>
      <c r="H3" s="1"/>
      <c r="I3" s="1"/>
      <c r="J3" s="1"/>
      <c r="K3" s="1"/>
      <c r="L3" s="5"/>
      <c r="M3" s="1"/>
      <c r="N3" s="1"/>
      <c r="O3" s="8"/>
      <c r="P3" s="8"/>
      <c r="Q3" s="8"/>
      <c r="R3" s="8"/>
      <c r="S3" s="8"/>
      <c r="T3" s="8"/>
      <c r="U3" s="8"/>
    </row>
    <row r="4" spans="1:21" ht="9" customHeight="1" x14ac:dyDescent="0.3">
      <c r="G4" s="104"/>
      <c r="H4" s="104"/>
      <c r="I4" s="104"/>
      <c r="J4" s="71"/>
    </row>
    <row r="5" spans="1:21" ht="22.5" customHeight="1" x14ac:dyDescent="0.3">
      <c r="G5" s="104"/>
      <c r="H5" s="104"/>
      <c r="I5" s="104"/>
      <c r="J5" s="71"/>
    </row>
    <row r="6" spans="1:21" ht="27" customHeight="1" x14ac:dyDescent="0.3">
      <c r="B6" s="105" t="s">
        <v>60</v>
      </c>
      <c r="C6" s="105"/>
      <c r="D6" s="105"/>
      <c r="E6" s="105"/>
      <c r="F6" s="105" t="s">
        <v>57</v>
      </c>
      <c r="G6" s="105"/>
      <c r="H6" s="105"/>
      <c r="K6" s="12" t="s">
        <v>1</v>
      </c>
      <c r="L6" s="13" t="s">
        <v>2</v>
      </c>
      <c r="M6" s="13" t="s">
        <v>3</v>
      </c>
      <c r="N6" s="13" t="s">
        <v>4</v>
      </c>
      <c r="O6" s="14"/>
    </row>
    <row r="7" spans="1:21" ht="21" customHeight="1" x14ac:dyDescent="0.3">
      <c r="B7" s="101" t="s">
        <v>54</v>
      </c>
      <c r="C7" s="101"/>
      <c r="D7" s="101"/>
      <c r="E7" s="70">
        <f xml:space="preserve"> SUMIF(Programplan[NIVÅ],"G1",Programplan[POÄNG]) + SUMIF(Programplan[NIVÅ],"G2",Programplan[POÄNG])</f>
        <v>134</v>
      </c>
      <c r="F7" s="190" t="s">
        <v>61</v>
      </c>
      <c r="G7" s="190"/>
      <c r="H7" s="190"/>
      <c r="I7">
        <f>E7-SUMIFS(Programplan[POÄNG],Programplan[NIVÅ],"G1",Programplan[BETYG],"")-SUMIFS(Programplan[POÄNG],Programplan[NIVÅ],"G2",Programplan[BETYG],"")</f>
        <v>54</v>
      </c>
      <c r="K7" s="15" t="s">
        <v>0</v>
      </c>
      <c r="L7" s="16">
        <f>VLOOKUP(Program,AvailablePrograms[],2,FALSE)</f>
        <v>300</v>
      </c>
      <c r="M7" s="16">
        <f>I11</f>
        <v>46</v>
      </c>
      <c r="N7" s="17">
        <f>IFERROR(Examenskrav[[#This Row],[SUMMA]]-Examenskrav[[#This Row],[TAGNA]],"")</f>
        <v>254</v>
      </c>
      <c r="O7" s="16"/>
    </row>
    <row r="8" spans="1:21" ht="21" customHeight="1" x14ac:dyDescent="0.3">
      <c r="B8" s="101" t="s">
        <v>58</v>
      </c>
      <c r="C8" s="101"/>
      <c r="D8" s="101"/>
      <c r="E8" s="70">
        <f xml:space="preserve"> SUMIF(Programplan[NIVÅ],"A",Programplan[POÄNG])</f>
        <v>6</v>
      </c>
      <c r="F8" s="190" t="s">
        <v>61</v>
      </c>
      <c r="G8" s="190"/>
      <c r="H8" s="190"/>
      <c r="I8">
        <f>E8-SUMIFS(Programplan[POÄNG],Programplan[NIVÅ],"A",Programplan[BETYG],"")</f>
        <v>0</v>
      </c>
      <c r="K8" s="67" t="str">
        <f>IF(OR(TechSpec="",TechSpec=" Ingen"),"Profil 1",TechSpec)</f>
        <v>Datateknik</v>
      </c>
      <c r="L8" s="16">
        <f>60</f>
        <v>60</v>
      </c>
      <c r="M8" s="16">
        <f>I9</f>
        <v>0</v>
      </c>
      <c r="N8" s="17">
        <f>IFERROR(Examenskrav[[#This Row],[SUMMA]]-Examenskrav[[#This Row],[TAGNA]],"")</f>
        <v>60</v>
      </c>
      <c r="O8" s="16"/>
    </row>
    <row r="9" spans="1:21" ht="21" customHeight="1" x14ac:dyDescent="0.3">
      <c r="B9" s="101" t="str">
        <f xml:space="preserve"> IF(TechSpec="","",CONCATENATE("Inom ", TechSpec))</f>
        <v>Inom Datateknik</v>
      </c>
      <c r="C9" s="101"/>
      <c r="D9" s="101"/>
      <c r="E9" s="70">
        <f>SUMIF(Programplan[INRIKTNING],TechSpec,Programplan[POÄNG])</f>
        <v>0</v>
      </c>
      <c r="F9" s="190" t="s">
        <v>61</v>
      </c>
      <c r="G9" s="190"/>
      <c r="H9" s="190"/>
      <c r="I9">
        <f>E9-SUMIFS(Programplan[POÄNG],Programplan[INRIKTNING],TechSpec,Programplan[BETYG],"")</f>
        <v>0</v>
      </c>
      <c r="K9" s="67" t="str">
        <f>IF(OR(EcoSpec="",EcoSpec=" Ingen"),"Profil 2",EcoSpec)</f>
        <v>Ekonomiska informationssystem</v>
      </c>
      <c r="L9" s="16">
        <v>60</v>
      </c>
      <c r="M9" s="16">
        <f>I10</f>
        <v>0</v>
      </c>
      <c r="N9" s="17">
        <f>IFERROR(Examenskrav[[#This Row],[SUMMA]]-Examenskrav[[#This Row],[TAGNA]],"")</f>
        <v>60</v>
      </c>
      <c r="O9" s="16"/>
    </row>
    <row r="10" spans="1:21" ht="21" customHeight="1" x14ac:dyDescent="0.3">
      <c r="B10" s="101" t="str">
        <f xml:space="preserve"> IF(OR(EcoSpec=" Ingen",EcoSpec=""),"",CONCATENATE("Inom ", EcoSpec))</f>
        <v>Inom Ekonomiska informationssystem</v>
      </c>
      <c r="C10" s="101"/>
      <c r="D10" s="101"/>
      <c r="E10" s="70">
        <f>IF(B10="","",SUMIF(Programplan[INRIKTNING],EcoSpec,Programplan[POÄNG]))</f>
        <v>0</v>
      </c>
      <c r="F10" s="190" t="s">
        <v>61</v>
      </c>
      <c r="G10" s="190"/>
      <c r="H10" s="190"/>
      <c r="I10">
        <f>IFERROR(E10-SUMIFS(Programplan[POÄNG],Programplan[INRIKTNING],EcoSpec,Programplan[BETYG],""),"")</f>
        <v>0</v>
      </c>
      <c r="K10" s="67" t="s">
        <v>58</v>
      </c>
      <c r="L10" s="16">
        <v>90</v>
      </c>
      <c r="M10" s="17">
        <f>I8</f>
        <v>0</v>
      </c>
      <c r="N10" s="17">
        <f>IFERROR(Examenskrav[[#This Row],[SUMMA]]-Examenskrav[[#This Row],[TAGNA]],"")</f>
        <v>90</v>
      </c>
      <c r="O10" s="16"/>
    </row>
    <row r="11" spans="1:21" ht="29.25" customHeight="1" x14ac:dyDescent="0.3">
      <c r="B11" s="183" t="s">
        <v>55</v>
      </c>
      <c r="C11" s="102"/>
      <c r="D11" s="102"/>
      <c r="E11" s="66">
        <f xml:space="preserve"> SUM(Programplan[POÄNG])</f>
        <v>140</v>
      </c>
      <c r="F11" s="215" t="s">
        <v>56</v>
      </c>
      <c r="G11" s="215"/>
      <c r="H11" s="215"/>
      <c r="I11" s="68">
        <f>SUMIFS(Programplan[POÄNG],Programplan[BETYG],"G")+SUMIFS(Programplan[POÄNG],Programplan[BETYG],"3")+SUMIFS(Programplan[POÄNG],Programplan[BETYG],"4")+SUMIFS(Programplan[POÄNG],Programplan[BETYG],"5")</f>
        <v>46</v>
      </c>
      <c r="K11" s="14"/>
      <c r="L11" s="128"/>
      <c r="M11" s="128"/>
      <c r="N11" s="128"/>
      <c r="O11" s="128"/>
    </row>
    <row r="12" spans="1:21" ht="21" customHeight="1" x14ac:dyDescent="0.3">
      <c r="G12" s="18"/>
      <c r="H12" s="18"/>
      <c r="I12" s="18"/>
      <c r="J12" s="18"/>
      <c r="K12" s="11"/>
      <c r="L12" s="11"/>
      <c r="M12" s="11"/>
      <c r="N12" s="11"/>
      <c r="O12" s="11"/>
    </row>
    <row r="13" spans="1:21" ht="30" customHeight="1" thickBot="1" x14ac:dyDescent="0.35">
      <c r="B13" s="184" t="s">
        <v>180</v>
      </c>
      <c r="C13" s="108"/>
      <c r="D13" s="140"/>
      <c r="E13" s="185">
        <f>IFERROR(AVERAGE(Programplan[BETYG]),"")</f>
        <v>4</v>
      </c>
      <c r="F13" s="205" t="s">
        <v>980</v>
      </c>
      <c r="G13" s="205"/>
      <c r="H13" s="205"/>
      <c r="I13" s="205"/>
      <c r="J13" s="205"/>
      <c r="K13" s="202" t="s">
        <v>7</v>
      </c>
      <c r="L13" s="202"/>
      <c r="M13" s="210">
        <f>Avslutade_poäng</f>
        <v>46</v>
      </c>
      <c r="N13" s="211"/>
      <c r="O13" s="213" t="str">
        <f>CONCATENATE(TEXT(M7/L7,"##%")," SLUTFÖRD!")</f>
        <v>15% SLUTFÖRD!</v>
      </c>
      <c r="P13" s="214"/>
      <c r="Q13" s="214"/>
    </row>
    <row r="14" spans="1:21" ht="30" customHeight="1" thickTop="1" x14ac:dyDescent="0.3">
      <c r="F14" s="99"/>
      <c r="G14" s="99"/>
      <c r="H14" s="99"/>
      <c r="I14" s="99"/>
      <c r="J14" s="18"/>
      <c r="K14" s="92"/>
      <c r="L14" s="92"/>
      <c r="M14" s="100"/>
      <c r="N14" s="100"/>
      <c r="O14" s="76"/>
    </row>
    <row r="15" spans="1:21" ht="9" customHeight="1" x14ac:dyDescent="0.3">
      <c r="A15" s="1"/>
      <c r="B15" s="1"/>
      <c r="C15" s="1"/>
      <c r="D15" s="1"/>
      <c r="E15" s="1"/>
      <c r="F15" s="1"/>
      <c r="G15" s="1"/>
      <c r="H15" s="1"/>
      <c r="I15" s="1"/>
      <c r="J15" s="1"/>
      <c r="K15" s="1"/>
      <c r="L15" s="1"/>
      <c r="M15" s="1"/>
      <c r="N15" s="1"/>
      <c r="O15" s="8"/>
      <c r="P15" s="8"/>
      <c r="Q15" s="8"/>
      <c r="R15" s="8"/>
      <c r="S15" s="8"/>
      <c r="T15" s="8"/>
      <c r="U15" s="8"/>
    </row>
    <row r="16" spans="1:21" ht="51" customHeight="1" x14ac:dyDescent="0.3">
      <c r="A16" s="212" t="s">
        <v>63</v>
      </c>
      <c r="B16" s="212"/>
      <c r="C16" s="212"/>
      <c r="D16" s="212"/>
      <c r="E16" s="212"/>
      <c r="F16" s="212"/>
      <c r="G16" s="106"/>
      <c r="H16" s="106"/>
      <c r="I16" s="106"/>
      <c r="J16" s="6"/>
      <c r="K16" s="208"/>
      <c r="L16" s="209"/>
      <c r="M16" s="209"/>
      <c r="N16" s="209"/>
      <c r="O16" s="209"/>
      <c r="P16" s="209"/>
      <c r="Q16" s="8"/>
      <c r="R16" s="8"/>
      <c r="S16" s="8"/>
      <c r="T16" s="8"/>
      <c r="U16" s="8"/>
    </row>
    <row r="17" spans="1:25" ht="9" customHeight="1" x14ac:dyDescent="0.3">
      <c r="A17" s="1"/>
      <c r="B17" s="1"/>
      <c r="C17" s="1"/>
      <c r="D17" s="1"/>
      <c r="E17" s="1"/>
      <c r="F17" s="1"/>
      <c r="G17" s="1"/>
      <c r="H17" s="1"/>
      <c r="I17" s="1"/>
      <c r="J17" s="1"/>
      <c r="K17" s="1"/>
      <c r="L17" s="5"/>
      <c r="M17" s="1"/>
      <c r="N17" s="1"/>
      <c r="O17" s="8"/>
      <c r="P17" s="8"/>
      <c r="Q17" s="8"/>
      <c r="R17" s="8"/>
      <c r="S17" s="8"/>
      <c r="T17" s="8"/>
      <c r="U17" s="8"/>
    </row>
    <row r="18" spans="1:25" ht="19.5" customHeight="1" x14ac:dyDescent="0.3"/>
    <row r="19" spans="1:25" ht="35.25" customHeight="1" x14ac:dyDescent="0.3">
      <c r="B19" s="206" t="s">
        <v>981</v>
      </c>
      <c r="C19" s="206"/>
      <c r="D19" s="206"/>
      <c r="E19" s="206"/>
      <c r="F19" s="206"/>
      <c r="G19" s="206"/>
      <c r="K19" s="206" t="s">
        <v>100</v>
      </c>
      <c r="L19" s="206"/>
      <c r="M19" s="206"/>
      <c r="N19" s="206"/>
      <c r="O19" s="206"/>
      <c r="P19" s="79"/>
    </row>
    <row r="20" spans="1:25" ht="51.75" customHeight="1" thickBot="1" x14ac:dyDescent="0.35">
      <c r="B20" s="207"/>
      <c r="C20" s="207"/>
      <c r="D20" s="207"/>
      <c r="E20" s="207"/>
      <c r="F20" s="207"/>
      <c r="G20" s="207"/>
      <c r="K20" s="207"/>
      <c r="L20" s="207"/>
      <c r="M20" s="207"/>
      <c r="N20" s="207"/>
      <c r="O20" s="207"/>
      <c r="P20" s="79"/>
      <c r="Q20" s="80"/>
      <c r="R20" s="81" t="s">
        <v>95</v>
      </c>
      <c r="S20" s="81"/>
      <c r="T20" s="81"/>
      <c r="U20" s="81"/>
      <c r="V20" s="81" t="s">
        <v>95</v>
      </c>
      <c r="W20" s="80"/>
      <c r="X20" s="80"/>
      <c r="Y20" s="80"/>
    </row>
    <row r="21" spans="1:25" ht="21" customHeight="1" thickTop="1" x14ac:dyDescent="0.3">
      <c r="Q21" s="80"/>
      <c r="R21" s="82">
        <v>1</v>
      </c>
      <c r="S21" s="81"/>
      <c r="T21" s="81"/>
      <c r="U21" s="81"/>
      <c r="V21" s="82">
        <v>2</v>
      </c>
      <c r="W21" s="80"/>
      <c r="X21" s="80"/>
      <c r="Y21" s="80"/>
    </row>
    <row r="22" spans="1:25" ht="30.75" customHeight="1" x14ac:dyDescent="0.2">
      <c r="K22" s="126" t="s">
        <v>59</v>
      </c>
      <c r="L22" s="126" t="s">
        <v>64</v>
      </c>
      <c r="M22" s="126" t="s">
        <v>65</v>
      </c>
      <c r="N22" s="204" t="s">
        <v>90</v>
      </c>
      <c r="O22" s="204"/>
      <c r="P22" s="204"/>
      <c r="Q22" s="80" t="s">
        <v>94</v>
      </c>
      <c r="R22" s="77">
        <v>1</v>
      </c>
      <c r="S22" s="77">
        <v>2</v>
      </c>
      <c r="T22" s="77">
        <v>3</v>
      </c>
      <c r="U22" s="77">
        <v>4</v>
      </c>
      <c r="V22" s="77">
        <v>1</v>
      </c>
      <c r="W22" s="77">
        <v>2</v>
      </c>
      <c r="X22" s="77">
        <v>3</v>
      </c>
      <c r="Y22" s="77">
        <v>4</v>
      </c>
    </row>
    <row r="23" spans="1:25" ht="27.75" customHeight="1" x14ac:dyDescent="0.3">
      <c r="K23" s="125">
        <v>1</v>
      </c>
      <c r="L23" s="124">
        <f>IFERROR(GETPIVOTDATA("Antal av KURSNAMN",Data!$H$15,"TERMIN",Konstanter!H6),"")</f>
        <v>4</v>
      </c>
      <c r="M23" s="124">
        <f>IFERROR(GETPIVOTDATA("Summa av POÄNG",Data!$H$15,"TERMIN",Konstanter!H6),"")</f>
        <v>30</v>
      </c>
      <c r="N23" s="201" t="str">
        <f>IF(COUNTIF(R23:Y23,"&gt;1")&gt;0,"Potientiella schemakrockar i denna termin.","")</f>
        <v/>
      </c>
      <c r="O23" s="201"/>
      <c r="P23" s="201"/>
      <c r="Q23" s="78" t="str">
        <f>CONCATENATE("Termin ",$K23)</f>
        <v>Termin 1</v>
      </c>
      <c r="R23" s="83">
        <f>IFERROR(GETPIVOTDATA("Antal av KURSNAMN",Data!$H$15,"Termin",$K23,"Period",$R$21,"Block",R$22),0)</f>
        <v>0</v>
      </c>
      <c r="S23" s="83">
        <f>IFERROR(GETPIVOTDATA("Antal av KURSNAMN",Data!$H$15,"Termin",$K23,"Period",$R$21,"Block",S$22),0)</f>
        <v>0</v>
      </c>
      <c r="T23" s="83">
        <f>IFERROR(GETPIVOTDATA("Antal av KURSNAMN",Data!$H$15,"Termin",$K23,"Period",$R$21,"Block",T$22),0)</f>
        <v>0</v>
      </c>
      <c r="U23" s="84">
        <f>IFERROR(GETPIVOTDATA("Antal av KURSNAMN",Data!$H$15,"Termin",$K23,"Period",$R$21,"Block",U$22),0)</f>
        <v>0</v>
      </c>
      <c r="V23" s="84">
        <f>IFERROR(GETPIVOTDATA("Antal av KURSNAMN",Data!$H$15,"Termin",$K23,"Period",$V$21,"Block",V$22),0)</f>
        <v>0</v>
      </c>
      <c r="W23" s="83">
        <f>IFERROR(GETPIVOTDATA("Antal av KURSNAMN",Data!$H$15,"Termin",$K23,"Period",$V$21,"Block",W$22),0)</f>
        <v>0</v>
      </c>
      <c r="X23" s="83">
        <f>IFERROR(GETPIVOTDATA("Antal av KURSNAMN",Data!$H$15,"Termin",$K23,"Period",$V$21,"Block",X$22),0)</f>
        <v>0</v>
      </c>
      <c r="Y23" s="83">
        <f>IFERROR(GETPIVOTDATA("Antal av KURSNAMN",Data!$H$15,"Termin",$K23,"Period",$V$21,"Block",Y$22),0)</f>
        <v>0</v>
      </c>
    </row>
    <row r="24" spans="1:25" ht="27.75" customHeight="1" x14ac:dyDescent="0.3">
      <c r="K24" s="125">
        <v>2</v>
      </c>
      <c r="L24" s="124">
        <f>IFERROR(GETPIVOTDATA("Antal av KURSNAMN",Data!$H$15,"TERMIN",Konstanter!H7),"")</f>
        <v>5</v>
      </c>
      <c r="M24" s="124">
        <f>IFERROR(GETPIVOTDATA("Summa av POÄNG",Data!$H$15,"TERMIN",Konstanter!H7),"")</f>
        <v>30</v>
      </c>
      <c r="N24" s="201" t="str">
        <f>CONCATENATE(IF(COUNTIF(R24:Y24,"&gt;1")&gt;0,"Potientiella schemakrockar i denna termin. ",""),IF(IF(SUM(M23:M24)&lt;60,SUM(M23:M24)&lt;&gt;0),"Mindre än 60 hp detta läsår",""))</f>
        <v/>
      </c>
      <c r="O24" s="201"/>
      <c r="P24" s="201"/>
      <c r="Q24" s="78" t="str">
        <f t="shared" ref="Q24:Q31" si="0">CONCATENATE("Termin ",$K24)</f>
        <v>Termin 2</v>
      </c>
      <c r="R24" s="83">
        <f>IFERROR(GETPIVOTDATA("Antal av KURSNAMN",Data!$H$15,"Termin",$K24,"Period",$R$21,"Block",R$22),0)</f>
        <v>0</v>
      </c>
      <c r="S24" s="83">
        <f>IFERROR(GETPIVOTDATA("Antal av KURSNAMN",Data!$H$15,"Termin",$K24,"Period",$R$21,"Block",S$22),0)</f>
        <v>0</v>
      </c>
      <c r="T24" s="83">
        <f>IFERROR(GETPIVOTDATA("Antal av KURSNAMN",Data!$H$15,"Termin",$K24,"Period",$R$21,"Block",T$22),0)</f>
        <v>0</v>
      </c>
      <c r="U24" s="84">
        <f>IFERROR(GETPIVOTDATA("Antal av KURSNAMN",Data!$H$15,"Termin",$K24,"Period",$R$21,"Block",U$22),0)</f>
        <v>0</v>
      </c>
      <c r="V24" s="84">
        <f>IFERROR(GETPIVOTDATA("Antal av KURSNAMN",Data!$H$15,"Termin",$K24,"Period",$V$21,"Block",V$22),0)</f>
        <v>0</v>
      </c>
      <c r="W24" s="83">
        <f>IFERROR(GETPIVOTDATA("Antal av KURSNAMN",Data!$H$15,"Termin",$K24,"Period",$V$21,"Block",W$22),0)</f>
        <v>0</v>
      </c>
      <c r="X24" s="83">
        <f>IFERROR(GETPIVOTDATA("Antal av KURSNAMN",Data!$H$15,"Termin",$K24,"Period",$V$21,"Block",X$22),0)</f>
        <v>0</v>
      </c>
      <c r="Y24" s="83">
        <f>IFERROR(GETPIVOTDATA("Antal av KURSNAMN",Data!$H$15,"Termin",$K24,"Period",$V$21,"Block",Y$22),0)</f>
        <v>0</v>
      </c>
    </row>
    <row r="25" spans="1:25" ht="27.75" customHeight="1" x14ac:dyDescent="0.3">
      <c r="K25" s="125">
        <v>3</v>
      </c>
      <c r="L25" s="124">
        <f>IFERROR(GETPIVOTDATA("Antal av KURSNAMN",Data!$H$15,"TERMIN",Konstanter!H8),"")</f>
        <v>5</v>
      </c>
      <c r="M25" s="124">
        <f>IFERROR(GETPIVOTDATA("Summa av POÄNG",Data!$H$15,"TERMIN",Konstanter!H8),"")</f>
        <v>30</v>
      </c>
      <c r="N25" s="201" t="str">
        <f>IF(COUNTIF(R25:Y25,"&gt;1")&gt;0,"Potientiella schemakrockar i denna termin.","")</f>
        <v/>
      </c>
      <c r="O25" s="201"/>
      <c r="P25" s="201"/>
      <c r="Q25" s="78" t="str">
        <f t="shared" si="0"/>
        <v>Termin 3</v>
      </c>
      <c r="R25" s="83">
        <f>IFERROR(GETPIVOTDATA("Antal av KURSNAMN",Data!$H$15,"Termin",$K25,"Period",$R$21,"Block",R$22),0)</f>
        <v>0</v>
      </c>
      <c r="S25" s="83">
        <f>IFERROR(GETPIVOTDATA("Antal av KURSNAMN",Data!$H$15,"Termin",$K25,"Period",$R$21,"Block",S$22),0)</f>
        <v>0</v>
      </c>
      <c r="T25" s="83">
        <f>IFERROR(GETPIVOTDATA("Antal av KURSNAMN",Data!$H$15,"Termin",$K25,"Period",$R$21,"Block",T$22),0)</f>
        <v>0</v>
      </c>
      <c r="U25" s="84">
        <f>IFERROR(GETPIVOTDATA("Antal av KURSNAMN",Data!$H$15,"Termin",$K25,"Period",$R$21,"Block",U$22),0)</f>
        <v>0</v>
      </c>
      <c r="V25" s="84">
        <f>IFERROR(GETPIVOTDATA("Antal av KURSNAMN",Data!$H$15,"Termin",$K25,"Period",$V$21,"Block",V$22),0)</f>
        <v>0</v>
      </c>
      <c r="W25" s="83">
        <f>IFERROR(GETPIVOTDATA("Antal av KURSNAMN",Data!$H$15,"Termin",$K25,"Period",$V$21,"Block",W$22),0)</f>
        <v>0</v>
      </c>
      <c r="X25" s="83">
        <f>IFERROR(GETPIVOTDATA("Antal av KURSNAMN",Data!$H$15,"Termin",$K25,"Period",$V$21,"Block",X$22),0)</f>
        <v>0</v>
      </c>
      <c r="Y25" s="83">
        <f>IFERROR(GETPIVOTDATA("Antal av KURSNAMN",Data!$H$15,"Termin",$K25,"Period",$V$21,"Block",Y$22),0)</f>
        <v>0</v>
      </c>
    </row>
    <row r="26" spans="1:25" ht="27.75" customHeight="1" x14ac:dyDescent="0.3">
      <c r="K26" s="125">
        <v>4</v>
      </c>
      <c r="L26" s="124">
        <f>IFERROR(GETPIVOTDATA("Antal av KURSNAMN",Data!$H$15,"TERMIN",Konstanter!H9),"")</f>
        <v>4</v>
      </c>
      <c r="M26" s="124">
        <f>IFERROR(GETPIVOTDATA("Summa av POÄNG",Data!$H$15,"TERMIN",Konstanter!H9),"")</f>
        <v>20</v>
      </c>
      <c r="N26" s="201" t="str">
        <f>CONCATENATE(IF(COUNTIF(R26:Y26,"&gt;1")&gt;0,"Potientiella schemakrockar i denna termin. ",""),IF(IF(SUM(M25:M26)&lt;60,SUM(M25:M26)&lt;&gt;0),"Mindre än 60 hp detta läsår",""))</f>
        <v>Mindre än 60 hp detta läsår</v>
      </c>
      <c r="O26" s="201"/>
      <c r="P26" s="201"/>
      <c r="Q26" s="78" t="str">
        <f t="shared" si="0"/>
        <v>Termin 4</v>
      </c>
      <c r="R26" s="83">
        <f>IFERROR(GETPIVOTDATA("Antal av KURSNAMN",Data!$H$15,"Termin",$K26,"Period",$R$21,"Block",R$22),0)</f>
        <v>0</v>
      </c>
      <c r="S26" s="83">
        <f>IFERROR(GETPIVOTDATA("Antal av KURSNAMN",Data!$H$15,"Termin",$K26,"Period",$R$21,"Block",S$22),0)</f>
        <v>0</v>
      </c>
      <c r="T26" s="83">
        <f>IFERROR(GETPIVOTDATA("Antal av KURSNAMN",Data!$H$15,"Termin",$K26,"Period",$R$21,"Block",T$22),0)</f>
        <v>0</v>
      </c>
      <c r="U26" s="84">
        <f>IFERROR(GETPIVOTDATA("Antal av KURSNAMN",Data!$H$15,"Termin",$K26,"Period",$R$21,"Block",U$22),0)</f>
        <v>0</v>
      </c>
      <c r="V26" s="84">
        <f>IFERROR(GETPIVOTDATA("Antal av KURSNAMN",Data!$H$15,"Termin",$K26,"Period",$V$21,"Block",V$22),0)</f>
        <v>0</v>
      </c>
      <c r="W26" s="83">
        <f>IFERROR(GETPIVOTDATA("Antal av KURSNAMN",Data!$H$15,"Termin",$K26,"Period",$V$21,"Block",W$22),0)</f>
        <v>0</v>
      </c>
      <c r="X26" s="83">
        <f>IFERROR(GETPIVOTDATA("Antal av KURSNAMN",Data!$H$15,"Termin",$K26,"Period",$V$21,"Block",X$22),0)</f>
        <v>0</v>
      </c>
      <c r="Y26" s="83">
        <f>IFERROR(GETPIVOTDATA("Antal av KURSNAMN",Data!$H$15,"Termin",$K26,"Period",$V$21,"Block",Y$22),0)</f>
        <v>0</v>
      </c>
    </row>
    <row r="27" spans="1:25" ht="27.75" customHeight="1" x14ac:dyDescent="0.3">
      <c r="K27" s="125">
        <v>5</v>
      </c>
      <c r="L27" s="124">
        <f>IFERROR(GETPIVOTDATA("Antal av KURSNAMN",Data!$H$15,"TERMIN",Konstanter!H10),"")</f>
        <v>3</v>
      </c>
      <c r="M27" s="124">
        <f>IFERROR(GETPIVOTDATA("Summa av POÄNG",Data!$H$15,"TERMIN",Konstanter!H10),"")</f>
        <v>18</v>
      </c>
      <c r="N27" s="201" t="str">
        <f>IF(COUNTIF(R27:Y27,"&gt;1")&gt;0,"Potientiella schemakrockar i denna termin.","")</f>
        <v/>
      </c>
      <c r="O27" s="201"/>
      <c r="P27" s="201"/>
      <c r="Q27" s="78" t="str">
        <f t="shared" si="0"/>
        <v>Termin 5</v>
      </c>
      <c r="R27" s="83">
        <f>IFERROR(GETPIVOTDATA("Antal av KURSNAMN",Data!$H$15,"Termin",$K27,"Period",$R$21,"Block",R$22),0)</f>
        <v>0</v>
      </c>
      <c r="S27" s="83">
        <f>IFERROR(GETPIVOTDATA("Antal av KURSNAMN",Data!$H$15,"Termin",$K27,"Period",$R$21,"Block",S$22),0)</f>
        <v>0</v>
      </c>
      <c r="T27" s="83">
        <f>IFERROR(GETPIVOTDATA("Antal av KURSNAMN",Data!$H$15,"Termin",$K27,"Period",$R$21,"Block",T$22),0)</f>
        <v>0</v>
      </c>
      <c r="U27" s="84">
        <f>IFERROR(GETPIVOTDATA("Antal av KURSNAMN",Data!$H$15,"Termin",$K27,"Period",$R$21,"Block",U$22),0)</f>
        <v>0</v>
      </c>
      <c r="V27" s="84">
        <f>IFERROR(GETPIVOTDATA("Antal av KURSNAMN",Data!$H$15,"Termin",$K27,"Period",$V$21,"Block",V$22),0)</f>
        <v>0</v>
      </c>
      <c r="W27" s="83">
        <f>IFERROR(GETPIVOTDATA("Antal av KURSNAMN",Data!$H$15,"Termin",$K27,"Period",$V$21,"Block",W$22),0)</f>
        <v>0</v>
      </c>
      <c r="X27" s="83">
        <f>IFERROR(GETPIVOTDATA("Antal av KURSNAMN",Data!$H$15,"Termin",$K27,"Period",$V$21,"Block",X$22),0)</f>
        <v>0</v>
      </c>
      <c r="Y27" s="83">
        <f>IFERROR(GETPIVOTDATA("Antal av KURSNAMN",Data!$H$15,"Termin",$K27,"Period",$V$21,"Block",Y$22),0)</f>
        <v>0</v>
      </c>
    </row>
    <row r="28" spans="1:25" ht="27.75" customHeight="1" x14ac:dyDescent="0.3">
      <c r="K28" s="125">
        <v>6</v>
      </c>
      <c r="L28" s="124">
        <f>IFERROR(GETPIVOTDATA("Antal av KURSNAMN",Data!$H$15,"TERMIN",Konstanter!H11),"")</f>
        <v>1</v>
      </c>
      <c r="M28" s="124">
        <f>IFERROR(GETPIVOTDATA("Summa av POÄNG",Data!$H$15,"TERMIN",Konstanter!H11),"")</f>
        <v>6</v>
      </c>
      <c r="N28" s="201" t="str">
        <f>CONCATENATE(IF(COUNTIF(R28:Y28,"&gt;1")&gt;0,"Potientiella schemakrockar i denna termin. ",""),IF(IF(SUM(M27:M28)&lt;60,SUM(M27:M28)&lt;&gt;0),"Mindre än 60 hp detta läsår",""))</f>
        <v>Mindre än 60 hp detta läsår</v>
      </c>
      <c r="O28" s="201"/>
      <c r="P28" s="201"/>
      <c r="Q28" s="78" t="str">
        <f t="shared" si="0"/>
        <v>Termin 6</v>
      </c>
      <c r="R28" s="83">
        <f>IFERROR(GETPIVOTDATA("Antal av KURSNAMN",Data!$H$15,"Termin",$K28,"Period",$R$21,"Block",R$22),0)</f>
        <v>0</v>
      </c>
      <c r="S28" s="83">
        <f>IFERROR(GETPIVOTDATA("Antal av KURSNAMN",Data!$H$15,"Termin",$K28,"Period",$R$21,"Block",S$22),0)</f>
        <v>0</v>
      </c>
      <c r="T28" s="83">
        <f>IFERROR(GETPIVOTDATA("Antal av KURSNAMN",Data!$H$15,"Termin",$K28,"Period",$R$21,"Block",T$22),0)</f>
        <v>0</v>
      </c>
      <c r="U28" s="84">
        <f>IFERROR(GETPIVOTDATA("Antal av KURSNAMN",Data!$H$15,"Termin",$K28,"Period",$R$21,"Block",U$22),0)</f>
        <v>0</v>
      </c>
      <c r="V28" s="84">
        <f>IFERROR(GETPIVOTDATA("Antal av KURSNAMN",Data!$H$15,"Termin",$K28,"Period",$V$21,"Block",V$22),0)</f>
        <v>0</v>
      </c>
      <c r="W28" s="83">
        <f>IFERROR(GETPIVOTDATA("Antal av KURSNAMN",Data!$H$15,"Termin",$K28,"Period",$V$21,"Block",W$22),0)</f>
        <v>0</v>
      </c>
      <c r="X28" s="83">
        <f>IFERROR(GETPIVOTDATA("Antal av KURSNAMN",Data!$H$15,"Termin",$K28,"Period",$V$21,"Block",X$22),0)</f>
        <v>0</v>
      </c>
      <c r="Y28" s="83">
        <f>IFERROR(GETPIVOTDATA("Antal av KURSNAMN",Data!$H$15,"Termin",$K28,"Period",$V$21,"Block",Y$22),0)</f>
        <v>0</v>
      </c>
    </row>
    <row r="29" spans="1:25" ht="27.75" customHeight="1" x14ac:dyDescent="0.3">
      <c r="K29" s="125">
        <v>7</v>
      </c>
      <c r="L29" s="124" t="str">
        <f>IFERROR(GETPIVOTDATA("Antal av KURSNAMN",Data!$H$15,"TERMIN",Konstanter!H12),"")</f>
        <v/>
      </c>
      <c r="M29" s="124" t="str">
        <f>IFERROR(GETPIVOTDATA("Summa av POÄNG",Data!$H$15,"TERMIN",Konstanter!H12),"")</f>
        <v/>
      </c>
      <c r="N29" s="201" t="str">
        <f>IF(COUNTIF(R29:Y29,"&gt;1")&gt;0,"Potientiella schemakrockar i denna termin.","")</f>
        <v/>
      </c>
      <c r="O29" s="201"/>
      <c r="P29" s="201"/>
      <c r="Q29" s="78" t="str">
        <f t="shared" si="0"/>
        <v>Termin 7</v>
      </c>
      <c r="R29" s="83">
        <f>IFERROR(GETPIVOTDATA("Antal av KURSNAMN",Data!$H$15,"Termin",$K29,"Period",$R$21,"Block",R$22),0)</f>
        <v>0</v>
      </c>
      <c r="S29" s="83">
        <f>IFERROR(GETPIVOTDATA("Antal av KURSNAMN",Data!$H$15,"Termin",$K29,"Period",$R$21,"Block",S$22),0)</f>
        <v>0</v>
      </c>
      <c r="T29" s="83">
        <f>IFERROR(GETPIVOTDATA("Antal av KURSNAMN",Data!$H$15,"Termin",$K29,"Period",$R$21,"Block",T$22),0)</f>
        <v>0</v>
      </c>
      <c r="U29" s="84">
        <f>IFERROR(GETPIVOTDATA("Antal av KURSNAMN",Data!$H$15,"Termin",$K29,"Period",$R$21,"Block",U$22),0)</f>
        <v>0</v>
      </c>
      <c r="V29" s="84">
        <f>IFERROR(GETPIVOTDATA("Antal av KURSNAMN",Data!$H$15,"Termin",$K29,"Period",$V$21,"Block",V$22),0)</f>
        <v>0</v>
      </c>
      <c r="W29" s="83">
        <f>IFERROR(GETPIVOTDATA("Antal av KURSNAMN",Data!$H$15,"Termin",$K29,"Period",$V$21,"Block",W$22),0)</f>
        <v>0</v>
      </c>
      <c r="X29" s="83">
        <f>IFERROR(GETPIVOTDATA("Antal av KURSNAMN",Data!$H$15,"Termin",$K29,"Period",$V$21,"Block",X$22),0)</f>
        <v>0</v>
      </c>
      <c r="Y29" s="83">
        <f>IFERROR(GETPIVOTDATA("Antal av KURSNAMN",Data!$H$15,"Termin",$K29,"Period",$V$21,"Block",Y$22),0)</f>
        <v>0</v>
      </c>
    </row>
    <row r="30" spans="1:25" ht="27.75" customHeight="1" x14ac:dyDescent="0.3">
      <c r="K30" s="125">
        <v>8</v>
      </c>
      <c r="L30" s="124">
        <f>IFERROR(GETPIVOTDATA("Antal av KURSNAMN",Data!$H$15,"TERMIN",Konstanter!H13),"")</f>
        <v>1</v>
      </c>
      <c r="M30" s="124">
        <f>IFERROR(GETPIVOTDATA("Summa av POÄNG",Data!$H$15,"TERMIN",Konstanter!H13),"")</f>
        <v>6</v>
      </c>
      <c r="N30" s="201" t="str">
        <f>CONCATENATE(IF(COUNTIF(R30:Y30,"&gt;1")&gt;0,"Potientiella schemakrockar i denna termin. ",""),IF(IF(SUM(M29:M30)&lt;60,SUM(M29:M30)&lt;&gt;0),"Mindre än 60 hp detta läsår",""))</f>
        <v>Mindre än 60 hp detta läsår</v>
      </c>
      <c r="O30" s="201"/>
      <c r="P30" s="201"/>
      <c r="Q30" s="78" t="str">
        <f t="shared" si="0"/>
        <v>Termin 8</v>
      </c>
      <c r="R30" s="83">
        <f>IFERROR(GETPIVOTDATA("Antal av KURSNAMN",Data!$H$15,"Termin",$K30,"Period",$R$21,"Block",R$22),0)</f>
        <v>0</v>
      </c>
      <c r="S30" s="83">
        <f>IFERROR(GETPIVOTDATA("Antal av KURSNAMN",Data!$H$15,"Termin",$K30,"Period",$R$21,"Block",S$22),0)</f>
        <v>0</v>
      </c>
      <c r="T30" s="83">
        <f>IFERROR(GETPIVOTDATA("Antal av KURSNAMN",Data!$H$15,"Termin",$K30,"Period",$R$21,"Block",T$22),0)</f>
        <v>0</v>
      </c>
      <c r="U30" s="84">
        <f>IFERROR(GETPIVOTDATA("Antal av KURSNAMN",Data!$H$15,"Termin",$K30,"Period",$R$21,"Block",U$22),0)</f>
        <v>0</v>
      </c>
      <c r="V30" s="84">
        <f>IFERROR(GETPIVOTDATA("Antal av KURSNAMN",Data!$H$15,"Termin",$K30,"Period",$V$21,"Block",V$22),0)</f>
        <v>0</v>
      </c>
      <c r="W30" s="83">
        <f>IFERROR(GETPIVOTDATA("Antal av KURSNAMN",Data!$H$15,"Termin",$K30,"Period",$V$21,"Block",W$22),0)</f>
        <v>0</v>
      </c>
      <c r="X30" s="83">
        <f>IFERROR(GETPIVOTDATA("Antal av KURSNAMN",Data!$H$15,"Termin",$K30,"Period",$V$21,"Block",X$22),0)</f>
        <v>0</v>
      </c>
      <c r="Y30" s="83">
        <f>IFERROR(GETPIVOTDATA("Antal av KURSNAMN",Data!$H$15,"Termin",$K30,"Period",$V$21,"Block",Y$22),0)</f>
        <v>0</v>
      </c>
    </row>
    <row r="31" spans="1:25" ht="27.75" customHeight="1" x14ac:dyDescent="0.3">
      <c r="K31" s="125">
        <v>9</v>
      </c>
      <c r="L31" s="124" t="str">
        <f>IFERROR(GETPIVOTDATA("Antal av KURSNAMN",Data!$H$15,"TERMIN",Konstanter!H14),"")</f>
        <v/>
      </c>
      <c r="M31" s="124" t="str">
        <f>IFERROR(GETPIVOTDATA("Summa av POÄNG",Data!$H$15,"TERMIN",Konstanter!H14),"")</f>
        <v/>
      </c>
      <c r="N31" s="201" t="str">
        <f>IF(COUNTIF(R31:Y31,"&gt;1")&gt;0,"Potientiella schemakrockar i denna termin.","")</f>
        <v/>
      </c>
      <c r="O31" s="201"/>
      <c r="P31" s="201"/>
      <c r="Q31" s="78" t="str">
        <f t="shared" si="0"/>
        <v>Termin 9</v>
      </c>
      <c r="R31" s="83">
        <f>IFERROR(GETPIVOTDATA("Antal av KURSNAMN",Data!$H$15,"Termin",$K31,"Period",$R$21,"Block",R$22),0)</f>
        <v>0</v>
      </c>
      <c r="S31" s="83">
        <f>IFERROR(GETPIVOTDATA("Antal av KURSNAMN",Data!$H$15,"Termin",$K31,"Period",$R$21,"Block",S$22),0)</f>
        <v>0</v>
      </c>
      <c r="T31" s="83">
        <f>IFERROR(GETPIVOTDATA("Antal av KURSNAMN",Data!$H$15,"Termin",$K31,"Period",$R$21,"Block",T$22),0)</f>
        <v>0</v>
      </c>
      <c r="U31" s="84">
        <f>IFERROR(GETPIVOTDATA("Antal av KURSNAMN",Data!$H$15,"Termin",$K31,"Period",$R$21,"Block",U$22),0)</f>
        <v>0</v>
      </c>
      <c r="V31" s="84">
        <f>IFERROR(GETPIVOTDATA("Antal av KURSNAMN",Data!$H$15,"Termin",$K31,"Period",$V$21,"Block",V$22),0)</f>
        <v>0</v>
      </c>
      <c r="W31" s="83">
        <f>IFERROR(GETPIVOTDATA("Antal av KURSNAMN",Data!$H$15,"Termin",$K31,"Period",$V$21,"Block",W$22),0)</f>
        <v>0</v>
      </c>
      <c r="X31" s="83">
        <f>IFERROR(GETPIVOTDATA("Antal av KURSNAMN",Data!$H$15,"Termin",$K31,"Period",$V$21,"Block",X$22),0)</f>
        <v>0</v>
      </c>
      <c r="Y31" s="83">
        <f>IFERROR(GETPIVOTDATA("Antal av KURSNAMN",Data!$H$15,"Termin",$K31,"Period",$V$21,"Block",Y$22),0)</f>
        <v>0</v>
      </c>
    </row>
    <row r="32" spans="1:25" ht="27.75" customHeight="1" x14ac:dyDescent="0.3">
      <c r="K32" s="125">
        <v>10</v>
      </c>
      <c r="L32" s="124" t="str">
        <f>IFERROR(GETPIVOTDATA("Antal av KURSNAMN",Data!$H$15,"TERMIN",Konstanter!H15),"")</f>
        <v/>
      </c>
      <c r="M32" s="124" t="str">
        <f>IFERROR(GETPIVOTDATA("Summa av POÄNG",Data!$H$15,"TERMIN",Konstanter!H15),"")</f>
        <v/>
      </c>
      <c r="N32" s="201" t="str">
        <f>CONCATENATE(IF(COUNTIF(R32:Y32,"&gt;1")&gt;0,"Potientiella schemakrockar i denna termin. ",""),IF(IF(SUM(M31:M32)&lt;60,SUM(M31:M32)&lt;&gt;0),"Mindre än 60 hp detta läsår",""))</f>
        <v/>
      </c>
      <c r="O32" s="201"/>
      <c r="P32" s="201"/>
      <c r="Q32" s="78" t="str">
        <f>CONCATENATE("Termin ",$K32)</f>
        <v>Termin 10</v>
      </c>
      <c r="R32" s="83">
        <f>IFERROR(GETPIVOTDATA("Antal av KURSNAMN",Data!$H$15,"Termin",$K32,"Period",$R$21,"Block",R$22),0)</f>
        <v>0</v>
      </c>
      <c r="S32" s="83">
        <f>IFERROR(GETPIVOTDATA("Antal av KURSNAMN",Data!$H$15,"Termin",$K32,"Period",$R$21,"Block",S$22),0)</f>
        <v>0</v>
      </c>
      <c r="T32" s="83">
        <f>IFERROR(GETPIVOTDATA("Antal av KURSNAMN",Data!$H$15,"Termin",$K32,"Period",$R$21,"Block",T$22),0)</f>
        <v>0</v>
      </c>
      <c r="U32" s="84">
        <f>IFERROR(GETPIVOTDATA("Antal av KURSNAMN",Data!$H$15,"Termin",$K32,"Period",$R$21,"Block",U$22),0)</f>
        <v>0</v>
      </c>
      <c r="V32" s="84">
        <f>IFERROR(GETPIVOTDATA("Antal av KURSNAMN",Data!$H$15,"Termin",$K32,"Period",$V$21,"Block",V$22),0)</f>
        <v>0</v>
      </c>
      <c r="W32" s="83">
        <f>IFERROR(GETPIVOTDATA("Antal av KURSNAMN",Data!$H$15,"Termin",$K32,"Period",$V$21,"Block",W$22),0)</f>
        <v>0</v>
      </c>
      <c r="X32" s="83">
        <f>IFERROR(GETPIVOTDATA("Antal av KURSNAMN",Data!$H$15,"Termin",$K32,"Period",$V$21,"Block",X$22),0)</f>
        <v>0</v>
      </c>
      <c r="Y32" s="83">
        <f>IFERROR(GETPIVOTDATA("Antal av KURSNAMN",Data!$H$15,"Termin",$K32,"Period",$V$21,"Block",Y$22),0)</f>
        <v>0</v>
      </c>
    </row>
    <row r="33" spans="1:17" ht="18" customHeight="1" x14ac:dyDescent="0.3">
      <c r="F33" s="2"/>
      <c r="G33" s="2"/>
      <c r="H33" s="70"/>
      <c r="I33" s="70"/>
      <c r="J33" s="70"/>
      <c r="Q33" s="69"/>
    </row>
    <row r="34" spans="1:17" ht="31.5" customHeight="1" x14ac:dyDescent="0.25">
      <c r="B34" s="200"/>
      <c r="C34" s="200"/>
      <c r="D34" s="200"/>
      <c r="E34" s="198" t="s">
        <v>113</v>
      </c>
      <c r="F34" s="199"/>
      <c r="G34" s="199"/>
      <c r="H34" s="199"/>
      <c r="I34" s="2"/>
      <c r="J34" s="2"/>
      <c r="K34" s="2"/>
    </row>
    <row r="35" spans="1:17" ht="22.5" customHeight="1" x14ac:dyDescent="0.3">
      <c r="B35" s="197" t="s">
        <v>977</v>
      </c>
      <c r="C35" s="197"/>
      <c r="D35" s="169"/>
      <c r="E35" s="175">
        <v>1</v>
      </c>
      <c r="F35" s="175">
        <v>2</v>
      </c>
      <c r="G35" s="175">
        <v>3</v>
      </c>
      <c r="H35" s="175">
        <v>4</v>
      </c>
      <c r="J35" s="176" t="s">
        <v>978</v>
      </c>
      <c r="K35" s="46"/>
    </row>
    <row r="36" spans="1:17" ht="12" customHeight="1" x14ac:dyDescent="0.3">
      <c r="A36" s="216">
        <v>1</v>
      </c>
      <c r="B36" s="191">
        <f>SUMIFS(Programplan[POÄNG],Programplan[TERMIN],$A36)-SUMIFS(Programplan[POÄNG],Programplan[TERMIN],$A36,Programplan[BETYG],"U")-SUMIFS(Programplan[POÄNG],Programplan[TERMIN],$A36,Programplan[BETYG],"")</f>
        <v>24</v>
      </c>
      <c r="C36" s="194" t="s">
        <v>975</v>
      </c>
      <c r="D36" s="187">
        <v>1</v>
      </c>
      <c r="E36" s="187" t="str">
        <f>IF(SUMIFS(Programplan[Block 1],Programplan[TERMIN],1,Programplan[PERIOD],$D36)+SUMIFS(Programplan[Block 1],Programplan[TERMIN],1,Programplan[PERIOD],"1,2")/2=0,"",SUMIFS(Programplan[Block 1],Programplan[TERMIN],1,Programplan[PERIOD],$D36)+SUMIFS(Programplan[Block 1],Programplan[TERMIN],1,Programplan[PERIOD],"1,2")/2)</f>
        <v/>
      </c>
      <c r="F36" s="187">
        <f>IF(SUMIFS(Programplan[Block 2],Programplan[TERMIN],1,Programplan[PERIOD],$D36)+SUMIFS(Programplan[Block 2],Programplan[TERMIN],1,Programplan[PERIOD],"1,2")/2=0,"",SUMIFS(Programplan[Block 2],Programplan[TERMIN],1,Programplan[PERIOD],$D36)+SUMIFS(Programplan[Block 2],Programplan[TERMIN],1,Programplan[PERIOD],"1,2")/2)</f>
        <v>1</v>
      </c>
      <c r="G36" s="187" t="str">
        <f>IF(SUMIFS(Programplan[Block 3],Programplan[TERMIN],1,Programplan[PERIOD],$D36)+SUMIFS(Programplan[Block 3],Programplan[TERMIN],1,Programplan[PERIOD],"1,2")/2=0,"",SUMIFS(Programplan[Block 3],Programplan[TERMIN],1,Programplan[PERIOD],$D36)+SUMIFS(Programplan[Block 3],Programplan[TERMIN],1,Programplan[PERIOD],"1,2")/2)</f>
        <v/>
      </c>
      <c r="H36" s="187" t="str">
        <f>IF(SUMIFS(Programplan[Block 4],Programplan[TERMIN],1,Programplan[PERIOD],$D36)+SUMIFS(Programplan[Block 4],Programplan[TERMIN],1,Programplan[PERIOD],"1,2")/2=0,"",SUMIFS(Programplan[Block 4],Programplan[TERMIN],1,Programplan[PERIOD],$D36)+SUMIFS(Programplan[Block 4],Programplan[TERMIN],1,Programplan[PERIOD],"1,2")/2)</f>
        <v/>
      </c>
      <c r="I36" s="174"/>
      <c r="K36" s="2"/>
      <c r="L36" s="2"/>
      <c r="O36" s="39"/>
      <c r="P36" s="60"/>
    </row>
    <row r="37" spans="1:17" ht="12" customHeight="1" x14ac:dyDescent="0.3">
      <c r="A37" s="216"/>
      <c r="B37" s="191"/>
      <c r="C37" s="194"/>
      <c r="D37" s="187"/>
      <c r="E37" s="187"/>
      <c r="F37" s="187"/>
      <c r="G37" s="187"/>
      <c r="H37" s="187"/>
      <c r="I37" s="174"/>
      <c r="K37" s="2"/>
      <c r="L37" s="2"/>
      <c r="O37" s="7"/>
      <c r="P37" s="60"/>
    </row>
    <row r="38" spans="1:17" ht="12" customHeight="1" x14ac:dyDescent="0.3">
      <c r="A38" s="216"/>
      <c r="B38" s="191"/>
      <c r="C38" s="194"/>
      <c r="D38" s="187"/>
      <c r="E38" s="187"/>
      <c r="F38" s="187"/>
      <c r="G38" s="187"/>
      <c r="H38" s="187"/>
      <c r="I38" s="174"/>
      <c r="K38" s="2"/>
      <c r="L38" s="2"/>
      <c r="O38" s="168"/>
      <c r="P38" s="60"/>
    </row>
    <row r="39" spans="1:17" ht="12" customHeight="1" x14ac:dyDescent="0.3">
      <c r="A39" s="216"/>
      <c r="B39" s="191"/>
      <c r="C39" s="195" t="s">
        <v>975</v>
      </c>
      <c r="D39" s="186">
        <v>2</v>
      </c>
      <c r="E39" s="186">
        <f>IF(SUMIFS(Programplan[Block 1],Programplan[TERMIN],1,Programplan[PERIOD],$D39)+SUMIFS(Programplan[Block 1],Programplan[TERMIN],1,Programplan[PERIOD],"1,2")/2=0,"",SUMIFS(Programplan[Block 1],Programplan[TERMIN],1,Programplan[PERIOD],$D39)+SUMIFS(Programplan[Block 1],Programplan[TERMIN],1,Programplan[PERIOD],"1,2")/2)</f>
        <v>2</v>
      </c>
      <c r="F39" s="186">
        <f>IF(SUMIFS(Programplan[Block 2],Programplan[TERMIN],1,Programplan[PERIOD],$D39)+SUMIFS(Programplan[Block 2],Programplan[TERMIN],1,Programplan[PERIOD],"1,2")/2=0,"",SUMIFS(Programplan[Block 2],Programplan[TERMIN],1,Programplan[PERIOD],$D39)+SUMIFS(Programplan[Block 2],Programplan[TERMIN],1,Programplan[PERIOD],"1,2")/2)</f>
        <v>2</v>
      </c>
      <c r="G39" s="186">
        <f>IF(SUMIFS(Programplan[Block 3],Programplan[TERMIN],1,Programplan[PERIOD],$D39)+SUMIFS(Programplan[Block 3],Programplan[TERMIN],1,Programplan[PERIOD],"1,2")/2=0,"",SUMIFS(Programplan[Block 3],Programplan[TERMIN],1,Programplan[PERIOD],$D39)+SUMIFS(Programplan[Block 3],Programplan[TERMIN],1,Programplan[PERIOD],"1,2")/2)</f>
        <v>1</v>
      </c>
      <c r="H39" s="186">
        <f>IF(SUMIFS(Programplan[Block 4],Programplan[TERMIN],1,Programplan[PERIOD],$D39)+SUMIFS(Programplan[Block 4],Programplan[TERMIN],1,Programplan[PERIOD],"1,2")/2=0,"",SUMIFS(Programplan[Block 4],Programplan[TERMIN],1,Programplan[PERIOD],$D39)+SUMIFS(Programplan[Block 4],Programplan[TERMIN],1,Programplan[PERIOD],"1,2")/2)</f>
        <v>1</v>
      </c>
      <c r="I39" s="169"/>
      <c r="K39" s="2"/>
      <c r="L39" s="2"/>
      <c r="O39" s="39"/>
      <c r="P39" s="60"/>
    </row>
    <row r="40" spans="1:17" ht="12" customHeight="1" x14ac:dyDescent="0.3">
      <c r="A40" s="216"/>
      <c r="B40" s="191"/>
      <c r="C40" s="194"/>
      <c r="D40" s="187"/>
      <c r="E40" s="187"/>
      <c r="F40" s="187"/>
      <c r="G40" s="187"/>
      <c r="H40" s="187"/>
      <c r="I40" s="169"/>
      <c r="K40" s="2"/>
      <c r="L40" s="2"/>
      <c r="O40" s="7"/>
      <c r="P40" s="60"/>
    </row>
    <row r="41" spans="1:17" ht="12" customHeight="1" thickBot="1" x14ac:dyDescent="0.35">
      <c r="A41" s="216"/>
      <c r="B41" s="192"/>
      <c r="C41" s="196"/>
      <c r="D41" s="188"/>
      <c r="E41" s="188"/>
      <c r="F41" s="188"/>
      <c r="G41" s="188"/>
      <c r="H41" s="188"/>
      <c r="I41" s="169"/>
      <c r="K41" s="2"/>
      <c r="L41" s="2"/>
      <c r="O41" s="168"/>
      <c r="P41" s="60"/>
    </row>
    <row r="42" spans="1:17" ht="12" customHeight="1" x14ac:dyDescent="0.3">
      <c r="A42" s="216">
        <v>2</v>
      </c>
      <c r="B42" s="191">
        <f>SUMIFS(Programplan[POÄNG],Programplan[TERMIN],$A42)-SUMIFS(Programplan[POÄNG],Programplan[TERMIN],$A42,Programplan[BETYG],"U")-SUMIFS(Programplan[POÄNG],Programplan[TERMIN],$A42,Programplan[BETYG],"")</f>
        <v>16</v>
      </c>
      <c r="C42" s="193" t="s">
        <v>975</v>
      </c>
      <c r="D42" s="189">
        <v>1</v>
      </c>
      <c r="E42" s="189">
        <f>IF(SUMIFS(Programplan[Block 1],Programplan[TERMIN],2,Programplan[PERIOD],$D42)+SUMIFS(Programplan[Block 1],Programplan[TERMIN],2,Programplan[PERIOD],"1,2")/2=0,"",SUMIFS(Programplan[Block 1],Programplan[TERMIN],2,Programplan[PERIOD],$D42)+SUMIFS(Programplan[Block 1],Programplan[TERMIN],2,Programplan[PERIOD],"1,2")/2)</f>
        <v>1</v>
      </c>
      <c r="F42" s="189">
        <f>IF(SUMIFS(Programplan[Block 2],Programplan[TERMIN],2,Programplan[PERIOD],$D42)+SUMIFS(Programplan[Block 2],Programplan[TERMIN],2,Programplan[PERIOD],"1,2")/2=0,"",SUMIFS(Programplan[Block 2],Programplan[TERMIN],2,Programplan[PERIOD],$D42)+SUMIFS(Programplan[Block 2],Programplan[TERMIN],2,Programplan[PERIOD],"1,2")/2)</f>
        <v>1</v>
      </c>
      <c r="G42" s="189" t="str">
        <f>IF(SUMIFS(Programplan[Block 3],Programplan[TERMIN],2,Programplan[PERIOD],$D42)+SUMIFS(Programplan[Block 3],Programplan[TERMIN],2,Programplan[PERIOD],"1,2")/2=0,"",SUMIFS(Programplan[Block 3],Programplan[TERMIN],2,Programplan[PERIOD],$D42)+SUMIFS(Programplan[Block 3],Programplan[TERMIN],2,Programplan[PERIOD],"1,2")/2)</f>
        <v/>
      </c>
      <c r="H42" s="189" t="str">
        <f>IF(SUMIFS(Programplan[Block 4],Programplan[TERMIN],2,Programplan[PERIOD],$D42)+SUMIFS(Programplan[Block 4],Programplan[TERMIN],2,Programplan[PERIOD],"1,2")/2=0,"",SUMIFS(Programplan[Block 4],Programplan[TERMIN],2,Programplan[PERIOD],$D42)+SUMIFS(Programplan[Block 4],Programplan[TERMIN],2,Programplan[PERIOD],"1,2")/2)</f>
        <v/>
      </c>
      <c r="I42" s="169"/>
      <c r="K42" s="2"/>
      <c r="L42" s="2"/>
      <c r="O42" s="168"/>
      <c r="P42" s="60"/>
    </row>
    <row r="43" spans="1:17" ht="12" customHeight="1" x14ac:dyDescent="0.3">
      <c r="A43" s="216"/>
      <c r="B43" s="191"/>
      <c r="C43" s="194"/>
      <c r="D43" s="187"/>
      <c r="E43" s="187"/>
      <c r="F43" s="187"/>
      <c r="G43" s="187"/>
      <c r="H43" s="187"/>
      <c r="I43" s="169"/>
      <c r="K43" s="2"/>
      <c r="L43" s="2"/>
      <c r="O43" s="7"/>
      <c r="P43" s="60"/>
    </row>
    <row r="44" spans="1:17" ht="12" customHeight="1" x14ac:dyDescent="0.3">
      <c r="A44" s="216"/>
      <c r="B44" s="191"/>
      <c r="C44" s="194"/>
      <c r="D44" s="187"/>
      <c r="E44" s="187"/>
      <c r="F44" s="187"/>
      <c r="G44" s="187"/>
      <c r="H44" s="187"/>
      <c r="I44" s="169"/>
      <c r="K44" s="2"/>
      <c r="L44" s="2"/>
      <c r="O44" s="168"/>
      <c r="P44" s="60"/>
    </row>
    <row r="45" spans="1:17" ht="12" customHeight="1" x14ac:dyDescent="0.3">
      <c r="A45" s="216"/>
      <c r="B45" s="191"/>
      <c r="C45" s="195" t="s">
        <v>975</v>
      </c>
      <c r="D45" s="186">
        <v>2</v>
      </c>
      <c r="E45" s="186" t="str">
        <f>IF(SUMIFS(Programplan[Block 1],Programplan[TERMIN],2,Programplan[PERIOD],$D45)+SUMIFS(Programplan[Block 1],Programplan[TERMIN],2,Programplan[PERIOD],"1,2")/2=0,"",SUMIFS(Programplan[Block 1],Programplan[TERMIN],2,Programplan[PERIOD],$D45)+SUMIFS(Programplan[Block 1],Programplan[TERMIN],2,Programplan[PERIOD],"1,2")/2)</f>
        <v/>
      </c>
      <c r="F45" s="186">
        <f>IF(SUMIFS(Programplan[Block 2],Programplan[TERMIN],2,Programplan[PERIOD],$D45)+SUMIFS(Programplan[Block 2],Programplan[TERMIN],2,Programplan[PERIOD],"1,2")/2=0,"",SUMIFS(Programplan[Block 2],Programplan[TERMIN],2,Programplan[PERIOD],$D45)+SUMIFS(Programplan[Block 2],Programplan[TERMIN],2,Programplan[PERIOD],"1,2")/2)</f>
        <v>1</v>
      </c>
      <c r="G45" s="186">
        <f>IF(SUMIFS(Programplan[Block 3],Programplan[TERMIN],2,Programplan[PERIOD],$D45)+SUMIFS(Programplan[Block 3],Programplan[TERMIN],2,Programplan[PERIOD],"1,2")/2=0,"",SUMIFS(Programplan[Block 3],Programplan[TERMIN],2,Programplan[PERIOD],$D45)+SUMIFS(Programplan[Block 3],Programplan[TERMIN],2,Programplan[PERIOD],"1,2")/2)</f>
        <v>2</v>
      </c>
      <c r="H45" s="186">
        <f>IF(SUMIFS(Programplan[Block 4],Programplan[TERMIN],2,Programplan[PERIOD],$D45)+SUMIFS(Programplan[Block 4],Programplan[TERMIN],2,Programplan[PERIOD],"1,2")/2=0,"",SUMIFS(Programplan[Block 4],Programplan[TERMIN],2,Programplan[PERIOD],$D45)+SUMIFS(Programplan[Block 4],Programplan[TERMIN],2,Programplan[PERIOD],"1,2")/2)</f>
        <v>2</v>
      </c>
      <c r="I45" s="169"/>
      <c r="K45" s="2"/>
      <c r="L45" s="2"/>
      <c r="O45" s="39"/>
      <c r="P45" s="60"/>
    </row>
    <row r="46" spans="1:17" ht="12" customHeight="1" x14ac:dyDescent="0.3">
      <c r="A46" s="216"/>
      <c r="B46" s="191"/>
      <c r="C46" s="194"/>
      <c r="D46" s="187"/>
      <c r="E46" s="187"/>
      <c r="F46" s="187"/>
      <c r="G46" s="187"/>
      <c r="H46" s="187"/>
      <c r="I46" s="169"/>
      <c r="K46" s="2"/>
      <c r="L46" s="2"/>
      <c r="O46" s="7"/>
      <c r="P46" s="60"/>
    </row>
    <row r="47" spans="1:17" ht="12" customHeight="1" thickBot="1" x14ac:dyDescent="0.35">
      <c r="A47" s="216"/>
      <c r="B47" s="192"/>
      <c r="C47" s="196"/>
      <c r="D47" s="188"/>
      <c r="E47" s="188"/>
      <c r="F47" s="188"/>
      <c r="G47" s="188"/>
      <c r="H47" s="188"/>
      <c r="I47" s="169"/>
      <c r="K47" s="2"/>
      <c r="L47" s="2"/>
      <c r="O47" s="168"/>
      <c r="P47" s="60"/>
    </row>
    <row r="48" spans="1:17" ht="12" customHeight="1" x14ac:dyDescent="0.3">
      <c r="A48" s="216">
        <v>3</v>
      </c>
      <c r="B48" s="191">
        <f>SUMIFS(Programplan[POÄNG],Programplan[TERMIN],$A48)-SUMIFS(Programplan[POÄNG],Programplan[TERMIN],$A48,Programplan[BETYG],"U")-SUMIFS(Programplan[POÄNG],Programplan[TERMIN],$A48,Programplan[BETYG],"")</f>
        <v>6</v>
      </c>
      <c r="C48" s="193" t="s">
        <v>975</v>
      </c>
      <c r="D48" s="189">
        <v>1</v>
      </c>
      <c r="E48" s="189">
        <f>IF(SUMIFS(Programplan[Block 1],Programplan[TERMIN],3,Programplan[PERIOD],$D48)+SUMIFS(Programplan[Block 1],Programplan[TERMIN],3,Programplan[PERIOD],"1,2")/2=0,"",SUMIFS(Programplan[Block 1],Programplan[TERMIN],3,Programplan[PERIOD],$D48)+SUMIFS(Programplan[Block 1],Programplan[TERMIN],3,Programplan[PERIOD],"1,2")/2)</f>
        <v>1</v>
      </c>
      <c r="F48" s="189">
        <f>IF(SUMIFS(Programplan[Block 2],Programplan[TERMIN],3,Programplan[PERIOD],$D48)+SUMIFS(Programplan[Block 2],Programplan[TERMIN],3,Programplan[PERIOD],"1,2")/2=0,"",SUMIFS(Programplan[Block 2],Programplan[TERMIN],3,Programplan[PERIOD],$D48)+SUMIFS(Programplan[Block 2],Programplan[TERMIN],3,Programplan[PERIOD],"1,2")/2)</f>
        <v>1</v>
      </c>
      <c r="G48" s="189" t="str">
        <f>IF(SUMIFS(Programplan[Block 3],Programplan[TERMIN],3,Programplan[PERIOD],$D48)+SUMIFS(Programplan[Block 3],Programplan[TERMIN],3,Programplan[PERIOD],"1,2")/2=0,"",SUMIFS(Programplan[Block 3],Programplan[TERMIN],3,Programplan[PERIOD],$D48)+SUMIFS(Programplan[Block 3],Programplan[TERMIN],3,Programplan[PERIOD],"1,2")/2)</f>
        <v/>
      </c>
      <c r="H48" s="189" t="str">
        <f>IF(SUMIFS(Programplan[Block 4],Programplan[TERMIN],3,Programplan[PERIOD],$D48)+SUMIFS(Programplan[Block 4],Programplan[TERMIN],3,Programplan[PERIOD],"1,2")/2=0,"",SUMIFS(Programplan[Block 4],Programplan[TERMIN],3,Programplan[PERIOD],$D48)+SUMIFS(Programplan[Block 4],Programplan[TERMIN],3,Programplan[PERIOD],"1,2")/2)</f>
        <v/>
      </c>
      <c r="I48" s="169"/>
      <c r="K48" s="2"/>
      <c r="L48" s="2"/>
      <c r="O48" s="168"/>
      <c r="P48" s="60"/>
    </row>
    <row r="49" spans="1:16" ht="12" customHeight="1" x14ac:dyDescent="0.3">
      <c r="A49" s="216"/>
      <c r="B49" s="191"/>
      <c r="C49" s="194"/>
      <c r="D49" s="187"/>
      <c r="E49" s="187"/>
      <c r="F49" s="187"/>
      <c r="G49" s="187"/>
      <c r="H49" s="187"/>
      <c r="I49" s="169"/>
      <c r="K49" s="2"/>
      <c r="L49" s="2"/>
      <c r="O49" s="7"/>
      <c r="P49" s="60"/>
    </row>
    <row r="50" spans="1:16" ht="12" customHeight="1" x14ac:dyDescent="0.3">
      <c r="A50" s="216"/>
      <c r="B50" s="191"/>
      <c r="C50" s="194"/>
      <c r="D50" s="187"/>
      <c r="E50" s="187"/>
      <c r="F50" s="187"/>
      <c r="G50" s="187"/>
      <c r="H50" s="187"/>
      <c r="I50" s="169"/>
      <c r="K50" s="2"/>
      <c r="L50" s="2"/>
      <c r="O50" s="168"/>
      <c r="P50" s="60"/>
    </row>
    <row r="51" spans="1:16" ht="12" customHeight="1" x14ac:dyDescent="0.3">
      <c r="A51" s="216"/>
      <c r="B51" s="191"/>
      <c r="C51" s="195" t="s">
        <v>975</v>
      </c>
      <c r="D51" s="186">
        <v>2</v>
      </c>
      <c r="E51" s="186">
        <f>IF(SUMIFS(Programplan[Block 1],Programplan[TERMIN],3,Programplan[PERIOD],$D51)+SUMIFS(Programplan[Block 1],Programplan[TERMIN],3,Programplan[PERIOD],"1,2")/2=0,"",SUMIFS(Programplan[Block 1],Programplan[TERMIN],3,Programplan[PERIOD],$D51)+SUMIFS(Programplan[Block 1],Programplan[TERMIN],3,Programplan[PERIOD],"1,2")/2)</f>
        <v>1</v>
      </c>
      <c r="F51" s="186" t="str">
        <f>IF(SUMIFS(Programplan[Block 2],Programplan[TERMIN],3,Programplan[PERIOD],$D51)+SUMIFS(Programplan[Block 2],Programplan[TERMIN],3,Programplan[PERIOD],"1,2")/2=0,"",SUMIFS(Programplan[Block 2],Programplan[TERMIN],3,Programplan[PERIOD],$D51)+SUMIFS(Programplan[Block 2],Programplan[TERMIN],3,Programplan[PERIOD],"1,2")/2)</f>
        <v/>
      </c>
      <c r="G51" s="186">
        <f>IF(SUMIFS(Programplan[Block 3],Programplan[TERMIN],3,Programplan[PERIOD],$D51)+SUMIFS(Programplan[Block 3],Programplan[TERMIN],3,Programplan[PERIOD],"1,2")/2=0,"",SUMIFS(Programplan[Block 3],Programplan[TERMIN],3,Programplan[PERIOD],$D51)+SUMIFS(Programplan[Block 3],Programplan[TERMIN],3,Programplan[PERIOD],"1,2")/2)</f>
        <v>1</v>
      </c>
      <c r="H51" s="186" t="str">
        <f>IF(SUMIFS(Programplan[Block 4],Programplan[TERMIN],3,Programplan[PERIOD],$D51)+SUMIFS(Programplan[Block 4],Programplan[TERMIN],3,Programplan[PERIOD],"1,2")/2=0,"",SUMIFS(Programplan[Block 4],Programplan[TERMIN],3,Programplan[PERIOD],$D51)+SUMIFS(Programplan[Block 4],Programplan[TERMIN],3,Programplan[PERIOD],"1,2")/2)</f>
        <v/>
      </c>
      <c r="I51" s="169"/>
      <c r="O51" s="39"/>
      <c r="P51" s="60"/>
    </row>
    <row r="52" spans="1:16" ht="12" customHeight="1" x14ac:dyDescent="0.3">
      <c r="A52" s="216"/>
      <c r="B52" s="191"/>
      <c r="C52" s="194"/>
      <c r="D52" s="187"/>
      <c r="E52" s="187"/>
      <c r="F52" s="187"/>
      <c r="G52" s="187"/>
      <c r="H52" s="187"/>
      <c r="I52" s="169"/>
      <c r="O52" s="7"/>
      <c r="P52" s="60"/>
    </row>
    <row r="53" spans="1:16" ht="12" customHeight="1" thickBot="1" x14ac:dyDescent="0.35">
      <c r="A53" s="216"/>
      <c r="B53" s="192"/>
      <c r="C53" s="196"/>
      <c r="D53" s="188"/>
      <c r="E53" s="188"/>
      <c r="F53" s="188"/>
      <c r="G53" s="188"/>
      <c r="H53" s="188"/>
      <c r="I53" s="169"/>
      <c r="O53" s="168"/>
      <c r="P53" s="60"/>
    </row>
    <row r="54" spans="1:16" ht="12" customHeight="1" x14ac:dyDescent="0.3">
      <c r="A54" s="216">
        <v>4</v>
      </c>
      <c r="B54" s="191">
        <f>SUMIFS(Programplan[POÄNG],Programplan[TERMIN],$A54)-SUMIFS(Programplan[POÄNG],Programplan[TERMIN],$A54,Programplan[BETYG],"U")-SUMIFS(Programplan[POÄNG],Programplan[TERMIN],$A54,Programplan[BETYG],"")</f>
        <v>0</v>
      </c>
      <c r="C54" s="193" t="s">
        <v>975</v>
      </c>
      <c r="D54" s="189">
        <v>1</v>
      </c>
      <c r="E54" s="189" t="str">
        <f>IF(SUMIFS(Programplan[Block 1],Programplan[TERMIN],4,Programplan[PERIOD],$D54)+SUMIFS(Programplan[Block 1],Programplan[TERMIN],4,Programplan[PERIOD],"1,2")/2=0,"",SUMIFS(Programplan[Block 1],Programplan[TERMIN],4,Programplan[PERIOD],$D54)+SUMIFS(Programplan[Block 1],Programplan[TERMIN],4,Programplan[PERIOD],"1,2")/2)</f>
        <v/>
      </c>
      <c r="F54" s="189" t="str">
        <f>IF(SUMIFS(Programplan[Block 2],Programplan[TERMIN],4,Programplan[PERIOD],$D54)+SUMIFS(Programplan[Block 2],Programplan[TERMIN],4,Programplan[PERIOD],"1,2")/2=0,"",SUMIFS(Programplan[Block 2],Programplan[TERMIN],4,Programplan[PERIOD],$D54)+SUMIFS(Programplan[Block 2],Programplan[TERMIN],4,Programplan[PERIOD],"1,2")/2)</f>
        <v/>
      </c>
      <c r="G54" s="189" t="str">
        <f>IF(SUMIFS(Programplan[Block 3],Programplan[TERMIN],4,Programplan[PERIOD],$D54)+SUMIFS(Programplan[Block 3],Programplan[TERMIN],4,Programplan[PERIOD],"1,2")/2=0,"",SUMIFS(Programplan[Block 3],Programplan[TERMIN],4,Programplan[PERIOD],$D54)+SUMIFS(Programplan[Block 3],Programplan[TERMIN],4,Programplan[PERIOD],"1,2")/2)</f>
        <v/>
      </c>
      <c r="H54" s="189" t="str">
        <f>IF(SUMIFS(Programplan[Block 4],Programplan[TERMIN],4,Programplan[PERIOD],$D54)+SUMIFS(Programplan[Block 4],Programplan[TERMIN],4,Programplan[PERIOD],"1,2")/2=0,"",SUMIFS(Programplan[Block 4],Programplan[TERMIN],4,Programplan[PERIOD],$D54)+SUMIFS(Programplan[Block 4],Programplan[TERMIN],4,Programplan[PERIOD],"1,2")/2)</f>
        <v/>
      </c>
      <c r="I54" s="169"/>
      <c r="O54" s="168"/>
      <c r="P54" s="60"/>
    </row>
    <row r="55" spans="1:16" ht="12" customHeight="1" x14ac:dyDescent="0.3">
      <c r="A55" s="216"/>
      <c r="B55" s="191"/>
      <c r="C55" s="194"/>
      <c r="D55" s="187"/>
      <c r="E55" s="187"/>
      <c r="F55" s="187"/>
      <c r="G55" s="187"/>
      <c r="H55" s="187"/>
      <c r="I55" s="169"/>
      <c r="O55" s="7"/>
      <c r="P55" s="60"/>
    </row>
    <row r="56" spans="1:16" ht="12" customHeight="1" x14ac:dyDescent="0.3">
      <c r="A56" s="216"/>
      <c r="B56" s="191"/>
      <c r="C56" s="194"/>
      <c r="D56" s="187"/>
      <c r="E56" s="187"/>
      <c r="F56" s="187"/>
      <c r="G56" s="187"/>
      <c r="H56" s="187"/>
      <c r="I56" s="169"/>
      <c r="O56" s="168"/>
      <c r="P56" s="60"/>
    </row>
    <row r="57" spans="1:16" ht="12" customHeight="1" x14ac:dyDescent="0.3">
      <c r="A57" s="216"/>
      <c r="B57" s="191"/>
      <c r="C57" s="195" t="s">
        <v>975</v>
      </c>
      <c r="D57" s="186">
        <v>2</v>
      </c>
      <c r="E57" s="186" t="str">
        <f>IF(SUMIFS(Programplan[Block 1],Programplan[TERMIN],4,Programplan[PERIOD],$D57)+SUMIFS(Programplan[Block 1],Programplan[TERMIN],4,Programplan[PERIOD],"1,2")/2=0,"",SUMIFS(Programplan[Block 1],Programplan[TERMIN],4,Programplan[PERIOD],$D57)+SUMIFS(Programplan[Block 1],Programplan[TERMIN],4,Programplan[PERIOD],"1,2")/2)</f>
        <v/>
      </c>
      <c r="F57" s="186" t="str">
        <f>IF(SUMIFS(Programplan[Block 2],Programplan[TERMIN],4,Programplan[PERIOD],$D57)+SUMIFS(Programplan[Block 2],Programplan[TERMIN],4,Programplan[PERIOD],"1,2")/2=0,"",SUMIFS(Programplan[Block 2],Programplan[TERMIN],4,Programplan[PERIOD],$D57)+SUMIFS(Programplan[Block 2],Programplan[TERMIN],4,Programplan[PERIOD],"1,2")/2)</f>
        <v/>
      </c>
      <c r="G57" s="186" t="str">
        <f>IF(SUMIFS(Programplan[Block 3],Programplan[TERMIN],4,Programplan[PERIOD],$D57)+SUMIFS(Programplan[Block 3],Programplan[TERMIN],4,Programplan[PERIOD],"1,2")/2=0,"",SUMIFS(Programplan[Block 3],Programplan[TERMIN],4,Programplan[PERIOD],$D57)+SUMIFS(Programplan[Block 3],Programplan[TERMIN],4,Programplan[PERIOD],"1,2")/2)</f>
        <v/>
      </c>
      <c r="H57" s="186" t="str">
        <f>IF(SUMIFS(Programplan[Block 4],Programplan[TERMIN],4,Programplan[PERIOD],$D57)+SUMIFS(Programplan[Block 4],Programplan[TERMIN],4,Programplan[PERIOD],"1,2")/2=0,"",SUMIFS(Programplan[Block 4],Programplan[TERMIN],4,Programplan[PERIOD],$D57)+SUMIFS(Programplan[Block 4],Programplan[TERMIN],4,Programplan[PERIOD],"1,2")/2)</f>
        <v/>
      </c>
      <c r="I57" s="169"/>
      <c r="O57" s="168"/>
      <c r="P57" s="60"/>
    </row>
    <row r="58" spans="1:16" ht="12" customHeight="1" x14ac:dyDescent="0.3">
      <c r="A58" s="216"/>
      <c r="B58" s="191"/>
      <c r="C58" s="194"/>
      <c r="D58" s="187"/>
      <c r="E58" s="187"/>
      <c r="F58" s="187"/>
      <c r="G58" s="187"/>
      <c r="H58" s="187"/>
      <c r="I58" s="169"/>
      <c r="O58" s="7"/>
      <c r="P58" s="60"/>
    </row>
    <row r="59" spans="1:16" ht="12" customHeight="1" thickBot="1" x14ac:dyDescent="0.35">
      <c r="A59" s="216"/>
      <c r="B59" s="192"/>
      <c r="C59" s="196"/>
      <c r="D59" s="188"/>
      <c r="E59" s="188"/>
      <c r="F59" s="188"/>
      <c r="G59" s="188"/>
      <c r="H59" s="188"/>
      <c r="I59" s="169"/>
      <c r="O59" s="168"/>
      <c r="P59" s="60"/>
    </row>
    <row r="60" spans="1:16" ht="12" customHeight="1" x14ac:dyDescent="0.3">
      <c r="A60" s="216">
        <v>5</v>
      </c>
      <c r="B60" s="191">
        <f>SUMIFS(Programplan[POÄNG],Programplan[TERMIN],$A60)-SUMIFS(Programplan[POÄNG],Programplan[TERMIN],$A60,Programplan[BETYG],"U")-SUMIFS(Programplan[POÄNG],Programplan[TERMIN],$A60,Programplan[BETYG],"")</f>
        <v>0</v>
      </c>
      <c r="C60" s="193" t="s">
        <v>975</v>
      </c>
      <c r="D60" s="189">
        <v>1</v>
      </c>
      <c r="E60" s="189"/>
      <c r="F60" s="189"/>
      <c r="G60" s="189"/>
      <c r="H60" s="189"/>
      <c r="O60" s="39"/>
      <c r="P60" s="60"/>
    </row>
    <row r="61" spans="1:16" ht="12" customHeight="1" x14ac:dyDescent="0.3">
      <c r="A61" s="216"/>
      <c r="B61" s="191"/>
      <c r="C61" s="194"/>
      <c r="D61" s="187"/>
      <c r="E61" s="190"/>
      <c r="F61" s="190"/>
      <c r="G61" s="190"/>
      <c r="H61" s="190"/>
      <c r="O61" s="7"/>
      <c r="P61" s="60"/>
    </row>
    <row r="62" spans="1:16" ht="12" customHeight="1" x14ac:dyDescent="0.3">
      <c r="A62" s="216"/>
      <c r="B62" s="191"/>
      <c r="C62" s="194"/>
      <c r="D62" s="187"/>
      <c r="E62" s="190"/>
      <c r="F62" s="190"/>
      <c r="G62" s="190"/>
      <c r="H62" s="190"/>
      <c r="O62" s="168"/>
      <c r="P62" s="60"/>
    </row>
    <row r="63" spans="1:16" ht="12" customHeight="1" x14ac:dyDescent="0.3">
      <c r="A63" s="216"/>
      <c r="B63" s="191"/>
      <c r="C63" s="195" t="s">
        <v>975</v>
      </c>
      <c r="D63" s="186">
        <v>2</v>
      </c>
      <c r="E63" s="186"/>
      <c r="F63" s="186"/>
      <c r="G63" s="186"/>
      <c r="H63" s="186"/>
      <c r="O63" s="168"/>
      <c r="P63" s="60"/>
    </row>
    <row r="64" spans="1:16" ht="12" customHeight="1" x14ac:dyDescent="0.3">
      <c r="A64" s="216"/>
      <c r="B64" s="191"/>
      <c r="C64" s="194"/>
      <c r="D64" s="187"/>
      <c r="E64" s="187"/>
      <c r="F64" s="187"/>
      <c r="G64" s="187"/>
      <c r="H64" s="187"/>
      <c r="O64" s="7"/>
      <c r="P64" s="60"/>
    </row>
    <row r="65" spans="1:16" ht="12" customHeight="1" thickBot="1" x14ac:dyDescent="0.35">
      <c r="A65" s="216"/>
      <c r="B65" s="192"/>
      <c r="C65" s="196"/>
      <c r="D65" s="188"/>
      <c r="E65" s="188"/>
      <c r="F65" s="188"/>
      <c r="G65" s="188"/>
      <c r="H65" s="188"/>
      <c r="O65" s="168"/>
      <c r="P65" s="60"/>
    </row>
    <row r="66" spans="1:16" ht="12" customHeight="1" x14ac:dyDescent="0.3">
      <c r="A66" s="216">
        <v>6</v>
      </c>
      <c r="B66" s="191">
        <f>SUMIFS(Programplan[POÄNG],Programplan[TERMIN],$A66)-SUMIFS(Programplan[POÄNG],Programplan[TERMIN],$A66,Programplan[BETYG],"U")-SUMIFS(Programplan[POÄNG],Programplan[TERMIN],$A66,Programplan[BETYG],"")</f>
        <v>0</v>
      </c>
      <c r="C66" s="193" t="s">
        <v>975</v>
      </c>
      <c r="D66" s="189">
        <v>1</v>
      </c>
      <c r="E66" s="189"/>
      <c r="F66" s="189"/>
      <c r="G66" s="189"/>
      <c r="H66" s="189"/>
      <c r="O66" s="7"/>
      <c r="P66" s="60"/>
    </row>
    <row r="67" spans="1:16" ht="12" customHeight="1" x14ac:dyDescent="0.3">
      <c r="A67" s="216"/>
      <c r="B67" s="191"/>
      <c r="C67" s="194"/>
      <c r="D67" s="187"/>
      <c r="E67" s="190"/>
      <c r="F67" s="190"/>
      <c r="G67" s="190"/>
      <c r="H67" s="190"/>
      <c r="O67" s="168"/>
      <c r="P67" s="60"/>
    </row>
    <row r="68" spans="1:16" ht="12" customHeight="1" x14ac:dyDescent="0.3">
      <c r="A68" s="216"/>
      <c r="B68" s="191"/>
      <c r="C68" s="194"/>
      <c r="D68" s="187"/>
      <c r="E68" s="190"/>
      <c r="F68" s="190"/>
      <c r="G68" s="190"/>
      <c r="H68" s="190"/>
      <c r="O68" s="39"/>
      <c r="P68" s="60"/>
    </row>
    <row r="69" spans="1:16" ht="12" customHeight="1" x14ac:dyDescent="0.3">
      <c r="A69" s="216"/>
      <c r="B69" s="191"/>
      <c r="C69" s="195" t="s">
        <v>975</v>
      </c>
      <c r="D69" s="186">
        <v>2</v>
      </c>
      <c r="E69" s="186"/>
      <c r="F69" s="186"/>
      <c r="G69" s="186"/>
      <c r="H69" s="186"/>
      <c r="O69" s="7"/>
      <c r="P69" s="60"/>
    </row>
    <row r="70" spans="1:16" ht="12" customHeight="1" x14ac:dyDescent="0.3">
      <c r="A70" s="216"/>
      <c r="B70" s="191"/>
      <c r="C70" s="194"/>
      <c r="D70" s="187"/>
      <c r="E70" s="187"/>
      <c r="F70" s="187"/>
      <c r="G70" s="187"/>
      <c r="H70" s="187"/>
      <c r="O70" s="168"/>
      <c r="P70" s="60"/>
    </row>
    <row r="71" spans="1:16" ht="12" customHeight="1" thickBot="1" x14ac:dyDescent="0.35">
      <c r="A71" s="216"/>
      <c r="B71" s="192"/>
      <c r="C71" s="196"/>
      <c r="D71" s="188"/>
      <c r="E71" s="188"/>
      <c r="F71" s="188"/>
      <c r="G71" s="188"/>
      <c r="H71" s="188"/>
      <c r="O71" s="7"/>
      <c r="P71" s="60"/>
    </row>
    <row r="72" spans="1:16" ht="12" customHeight="1" x14ac:dyDescent="0.3">
      <c r="A72" s="216">
        <v>7</v>
      </c>
      <c r="B72" s="191">
        <f>SUMIFS(Programplan[POÄNG],Programplan[TERMIN],$A72)-SUMIFS(Programplan[POÄNG],Programplan[TERMIN],$A72,Programplan[BETYG],"U")-SUMIFS(Programplan[POÄNG],Programplan[TERMIN],$A72,Programplan[BETYG],"")</f>
        <v>0</v>
      </c>
      <c r="C72" s="193" t="s">
        <v>975</v>
      </c>
      <c r="D72" s="189">
        <v>1</v>
      </c>
      <c r="E72" s="189"/>
      <c r="F72" s="189"/>
      <c r="G72" s="189"/>
      <c r="H72" s="189"/>
      <c r="O72" s="168"/>
      <c r="P72" s="60"/>
    </row>
    <row r="73" spans="1:16" ht="12" customHeight="1" x14ac:dyDescent="0.3">
      <c r="A73" s="216"/>
      <c r="B73" s="191"/>
      <c r="C73" s="194"/>
      <c r="D73" s="187"/>
      <c r="E73" s="190"/>
      <c r="F73" s="190"/>
      <c r="G73" s="190"/>
      <c r="H73" s="190"/>
      <c r="O73" s="7"/>
      <c r="P73" s="60"/>
    </row>
    <row r="74" spans="1:16" ht="12" customHeight="1" x14ac:dyDescent="0.3">
      <c r="A74" s="216"/>
      <c r="B74" s="191"/>
      <c r="C74" s="194"/>
      <c r="D74" s="187"/>
      <c r="E74" s="190"/>
      <c r="F74" s="190"/>
      <c r="G74" s="190"/>
      <c r="H74" s="190"/>
      <c r="O74" s="168"/>
      <c r="P74" s="60"/>
    </row>
    <row r="75" spans="1:16" ht="12" customHeight="1" x14ac:dyDescent="0.3">
      <c r="A75" s="216"/>
      <c r="B75" s="191"/>
      <c r="C75" s="195" t="s">
        <v>975</v>
      </c>
      <c r="D75" s="186">
        <v>2</v>
      </c>
      <c r="E75" s="186"/>
      <c r="F75" s="186"/>
      <c r="G75" s="186"/>
      <c r="H75" s="186"/>
      <c r="O75" s="168"/>
      <c r="P75" s="60"/>
    </row>
    <row r="76" spans="1:16" ht="12" customHeight="1" x14ac:dyDescent="0.3">
      <c r="A76" s="216"/>
      <c r="B76" s="191"/>
      <c r="C76" s="194"/>
      <c r="D76" s="187"/>
      <c r="E76" s="187"/>
      <c r="F76" s="187"/>
      <c r="G76" s="187"/>
      <c r="H76" s="187"/>
      <c r="O76" s="39"/>
      <c r="P76" s="60"/>
    </row>
    <row r="77" spans="1:16" ht="12" customHeight="1" thickBot="1" x14ac:dyDescent="0.35">
      <c r="A77" s="216"/>
      <c r="B77" s="192"/>
      <c r="C77" s="196"/>
      <c r="D77" s="188"/>
      <c r="E77" s="188"/>
      <c r="F77" s="188"/>
      <c r="G77" s="188"/>
      <c r="H77" s="188"/>
    </row>
    <row r="78" spans="1:16" ht="12" customHeight="1" x14ac:dyDescent="0.3">
      <c r="A78" s="216">
        <v>8</v>
      </c>
      <c r="B78" s="191">
        <f>SUMIFS(Programplan[POÄNG],Programplan[TERMIN],$A78)-SUMIFS(Programplan[POÄNG],Programplan[TERMIN],$A78,Programplan[BETYG],"U")-SUMIFS(Programplan[POÄNG],Programplan[TERMIN],$A78,Programplan[BETYG],"")</f>
        <v>0</v>
      </c>
      <c r="C78" s="193" t="s">
        <v>975</v>
      </c>
      <c r="D78" s="189">
        <v>1</v>
      </c>
      <c r="E78" s="189"/>
      <c r="F78" s="189"/>
      <c r="G78" s="189"/>
      <c r="H78" s="189"/>
    </row>
    <row r="79" spans="1:16" ht="12" customHeight="1" x14ac:dyDescent="0.3">
      <c r="A79" s="216"/>
      <c r="B79" s="191"/>
      <c r="C79" s="194"/>
      <c r="D79" s="187"/>
      <c r="E79" s="190"/>
      <c r="F79" s="190"/>
      <c r="G79" s="190"/>
      <c r="H79" s="190"/>
    </row>
    <row r="80" spans="1:16" ht="12" customHeight="1" x14ac:dyDescent="0.3">
      <c r="A80" s="216"/>
      <c r="B80" s="191"/>
      <c r="C80" s="194"/>
      <c r="D80" s="187"/>
      <c r="E80" s="190"/>
      <c r="F80" s="190"/>
      <c r="G80" s="190"/>
      <c r="H80" s="190"/>
    </row>
    <row r="81" spans="1:8" ht="12" customHeight="1" x14ac:dyDescent="0.3">
      <c r="A81" s="216"/>
      <c r="B81" s="191"/>
      <c r="C81" s="195" t="s">
        <v>975</v>
      </c>
      <c r="D81" s="186">
        <v>2</v>
      </c>
      <c r="E81" s="186"/>
      <c r="F81" s="186"/>
      <c r="G81" s="186"/>
      <c r="H81" s="186"/>
    </row>
    <row r="82" spans="1:8" ht="12" customHeight="1" x14ac:dyDescent="0.3">
      <c r="A82" s="216"/>
      <c r="B82" s="191"/>
      <c r="C82" s="194"/>
      <c r="D82" s="187"/>
      <c r="E82" s="187"/>
      <c r="F82" s="187"/>
      <c r="G82" s="187"/>
      <c r="H82" s="187"/>
    </row>
    <row r="83" spans="1:8" ht="12" customHeight="1" thickBot="1" x14ac:dyDescent="0.35">
      <c r="A83" s="216"/>
      <c r="B83" s="192"/>
      <c r="C83" s="196"/>
      <c r="D83" s="188"/>
      <c r="E83" s="188"/>
      <c r="F83" s="188"/>
      <c r="G83" s="188"/>
      <c r="H83" s="188"/>
    </row>
    <row r="84" spans="1:8" ht="12" customHeight="1" x14ac:dyDescent="0.3">
      <c r="A84" s="216">
        <v>9</v>
      </c>
      <c r="B84" s="191">
        <f>SUMIFS(Programplan[POÄNG],Programplan[TERMIN],$A84)-SUMIFS(Programplan[POÄNG],Programplan[TERMIN],$A84,Programplan[BETYG],"U")-SUMIFS(Programplan[POÄNG],Programplan[TERMIN],$A84,Programplan[BETYG],"")</f>
        <v>0</v>
      </c>
      <c r="C84" s="193" t="s">
        <v>975</v>
      </c>
      <c r="D84" s="189">
        <v>1</v>
      </c>
      <c r="E84" s="189"/>
      <c r="F84" s="189"/>
      <c r="G84" s="189"/>
      <c r="H84" s="189"/>
    </row>
    <row r="85" spans="1:8" ht="12" customHeight="1" x14ac:dyDescent="0.3">
      <c r="A85" s="216"/>
      <c r="B85" s="191"/>
      <c r="C85" s="194"/>
      <c r="D85" s="187"/>
      <c r="E85" s="187"/>
      <c r="F85" s="187"/>
      <c r="G85" s="187"/>
      <c r="H85" s="187"/>
    </row>
    <row r="86" spans="1:8" ht="12" customHeight="1" x14ac:dyDescent="0.3">
      <c r="A86" s="216"/>
      <c r="B86" s="191"/>
      <c r="C86" s="194"/>
      <c r="D86" s="187"/>
      <c r="E86" s="187"/>
      <c r="F86" s="187"/>
      <c r="G86" s="187"/>
      <c r="H86" s="187"/>
    </row>
    <row r="87" spans="1:8" ht="12" customHeight="1" x14ac:dyDescent="0.3">
      <c r="A87" s="216"/>
      <c r="B87" s="191"/>
      <c r="C87" s="195" t="s">
        <v>975</v>
      </c>
      <c r="D87" s="186">
        <v>2</v>
      </c>
      <c r="E87" s="186"/>
      <c r="F87" s="186"/>
      <c r="G87" s="186"/>
      <c r="H87" s="186"/>
    </row>
    <row r="88" spans="1:8" ht="12" customHeight="1" x14ac:dyDescent="0.3">
      <c r="A88" s="216"/>
      <c r="B88" s="191"/>
      <c r="C88" s="194"/>
      <c r="D88" s="187"/>
      <c r="E88" s="187"/>
      <c r="F88" s="187"/>
      <c r="G88" s="187"/>
      <c r="H88" s="187"/>
    </row>
    <row r="89" spans="1:8" ht="12" customHeight="1" thickBot="1" x14ac:dyDescent="0.35">
      <c r="A89" s="216"/>
      <c r="B89" s="192"/>
      <c r="C89" s="196"/>
      <c r="D89" s="188"/>
      <c r="E89" s="188"/>
      <c r="F89" s="188"/>
      <c r="G89" s="188"/>
      <c r="H89" s="188"/>
    </row>
  </sheetData>
  <mergeCells count="154">
    <mergeCell ref="A36:A41"/>
    <mergeCell ref="A42:A47"/>
    <mergeCell ref="A48:A53"/>
    <mergeCell ref="A54:A59"/>
    <mergeCell ref="A60:A65"/>
    <mergeCell ref="A66:A71"/>
    <mergeCell ref="A72:A77"/>
    <mergeCell ref="A78:A83"/>
    <mergeCell ref="A84:A89"/>
    <mergeCell ref="K13:L13"/>
    <mergeCell ref="K2:N2"/>
    <mergeCell ref="N22:P22"/>
    <mergeCell ref="B19:G20"/>
    <mergeCell ref="K16:P16"/>
    <mergeCell ref="M13:N13"/>
    <mergeCell ref="A16:F16"/>
    <mergeCell ref="O13:Q13"/>
    <mergeCell ref="K19:O20"/>
    <mergeCell ref="F11:H11"/>
    <mergeCell ref="F7:H7"/>
    <mergeCell ref="F8:H8"/>
    <mergeCell ref="F9:H9"/>
    <mergeCell ref="F10:H10"/>
    <mergeCell ref="F13:J13"/>
    <mergeCell ref="E34:H34"/>
    <mergeCell ref="B34:D34"/>
    <mergeCell ref="N23:P23"/>
    <mergeCell ref="N24:P24"/>
    <mergeCell ref="N25:P25"/>
    <mergeCell ref="N26:P26"/>
    <mergeCell ref="N27:P27"/>
    <mergeCell ref="N28:P28"/>
    <mergeCell ref="N29:P29"/>
    <mergeCell ref="N30:P30"/>
    <mergeCell ref="N31:P31"/>
    <mergeCell ref="N32:P32"/>
    <mergeCell ref="E39:E41"/>
    <mergeCell ref="F39:F41"/>
    <mergeCell ref="G39:G41"/>
    <mergeCell ref="H39:H41"/>
    <mergeCell ref="D39:D41"/>
    <mergeCell ref="E36:E38"/>
    <mergeCell ref="F36:F38"/>
    <mergeCell ref="G36:G38"/>
    <mergeCell ref="H36:H38"/>
    <mergeCell ref="C39:C41"/>
    <mergeCell ref="B36:B41"/>
    <mergeCell ref="B42:B47"/>
    <mergeCell ref="C42:C44"/>
    <mergeCell ref="D42:D44"/>
    <mergeCell ref="C45:C47"/>
    <mergeCell ref="D45:D47"/>
    <mergeCell ref="D36:D38"/>
    <mergeCell ref="C36:C38"/>
    <mergeCell ref="E42:E44"/>
    <mergeCell ref="E45:E47"/>
    <mergeCell ref="E48:E50"/>
    <mergeCell ref="E51:E53"/>
    <mergeCell ref="E54:E56"/>
    <mergeCell ref="B54:B59"/>
    <mergeCell ref="C54:C56"/>
    <mergeCell ref="D54:D56"/>
    <mergeCell ref="C57:C59"/>
    <mergeCell ref="D57:D59"/>
    <mergeCell ref="C48:C50"/>
    <mergeCell ref="D48:D50"/>
    <mergeCell ref="C51:C53"/>
    <mergeCell ref="D51:D53"/>
    <mergeCell ref="B48:B53"/>
    <mergeCell ref="B35:C35"/>
    <mergeCell ref="B60:B65"/>
    <mergeCell ref="B66:B71"/>
    <mergeCell ref="B72:B77"/>
    <mergeCell ref="B78:B83"/>
    <mergeCell ref="G57:G59"/>
    <mergeCell ref="H42:H44"/>
    <mergeCell ref="H45:H47"/>
    <mergeCell ref="H48:H50"/>
    <mergeCell ref="H51:H53"/>
    <mergeCell ref="H54:H56"/>
    <mergeCell ref="H57:H59"/>
    <mergeCell ref="G42:G44"/>
    <mergeCell ref="G45:G47"/>
    <mergeCell ref="G48:G50"/>
    <mergeCell ref="G51:G53"/>
    <mergeCell ref="G54:G56"/>
    <mergeCell ref="E57:E59"/>
    <mergeCell ref="F42:F44"/>
    <mergeCell ref="F45:F47"/>
    <mergeCell ref="F48:F50"/>
    <mergeCell ref="F51:F53"/>
    <mergeCell ref="F54:F56"/>
    <mergeCell ref="F57:F59"/>
    <mergeCell ref="B84:B89"/>
    <mergeCell ref="C60:C62"/>
    <mergeCell ref="C63:C65"/>
    <mergeCell ref="C66:C68"/>
    <mergeCell ref="C69:C71"/>
    <mergeCell ref="C72:C74"/>
    <mergeCell ref="C75:C77"/>
    <mergeCell ref="C78:C80"/>
    <mergeCell ref="C81:C83"/>
    <mergeCell ref="C84:C86"/>
    <mergeCell ref="C87:C89"/>
    <mergeCell ref="D78:D80"/>
    <mergeCell ref="D81:D83"/>
    <mergeCell ref="D84:D86"/>
    <mergeCell ref="D87:D89"/>
    <mergeCell ref="D60:D62"/>
    <mergeCell ref="D63:D65"/>
    <mergeCell ref="D66:D68"/>
    <mergeCell ref="D69:D71"/>
    <mergeCell ref="D72:D74"/>
    <mergeCell ref="E60:E62"/>
    <mergeCell ref="F60:F62"/>
    <mergeCell ref="G60:G62"/>
    <mergeCell ref="H60:H62"/>
    <mergeCell ref="E63:E65"/>
    <mergeCell ref="F63:F65"/>
    <mergeCell ref="G63:G65"/>
    <mergeCell ref="H63:H65"/>
    <mergeCell ref="D75:D77"/>
    <mergeCell ref="E72:E74"/>
    <mergeCell ref="F72:F74"/>
    <mergeCell ref="G72:G74"/>
    <mergeCell ref="H72:H74"/>
    <mergeCell ref="E75:E77"/>
    <mergeCell ref="F75:F77"/>
    <mergeCell ref="G75:G77"/>
    <mergeCell ref="H75:H77"/>
    <mergeCell ref="E66:E68"/>
    <mergeCell ref="F66:F68"/>
    <mergeCell ref="G66:G68"/>
    <mergeCell ref="H66:H68"/>
    <mergeCell ref="E69:E71"/>
    <mergeCell ref="F69:F71"/>
    <mergeCell ref="G69:G71"/>
    <mergeCell ref="H69:H71"/>
    <mergeCell ref="E84:E86"/>
    <mergeCell ref="F84:F86"/>
    <mergeCell ref="G84:G86"/>
    <mergeCell ref="H84:H86"/>
    <mergeCell ref="E87:E89"/>
    <mergeCell ref="F87:F89"/>
    <mergeCell ref="G87:G89"/>
    <mergeCell ref="H87:H89"/>
    <mergeCell ref="E78:E80"/>
    <mergeCell ref="F78:F80"/>
    <mergeCell ref="G78:G80"/>
    <mergeCell ref="H78:H80"/>
    <mergeCell ref="E81:E83"/>
    <mergeCell ref="F81:F83"/>
    <mergeCell ref="G81:G83"/>
    <mergeCell ref="H81:H83"/>
  </mergeCells>
  <conditionalFormatting sqref="M7">
    <cfRule type="dataBar" priority="21">
      <dataBar>
        <cfvo type="num" val="0"/>
        <cfvo type="num" val="$L$7"/>
        <color theme="4"/>
      </dataBar>
      <extLst>
        <ext xmlns:x14="http://schemas.microsoft.com/office/spreadsheetml/2009/9/main" uri="{B025F937-C7B1-47D3-B67F-A62EFF666E3E}">
          <x14:id>{441F2552-7088-4550-9457-3B58280E2DBC}</x14:id>
        </ext>
      </extLst>
    </cfRule>
  </conditionalFormatting>
  <conditionalFormatting sqref="M8">
    <cfRule type="dataBar" priority="20">
      <dataBar>
        <cfvo type="num" val="0"/>
        <cfvo type="num" val="$L$8"/>
        <color theme="4"/>
      </dataBar>
      <extLst>
        <ext xmlns:x14="http://schemas.microsoft.com/office/spreadsheetml/2009/9/main" uri="{B025F937-C7B1-47D3-B67F-A62EFF666E3E}">
          <x14:id>{9593B8BC-3718-4747-9E78-F8B7C881F22C}</x14:id>
        </ext>
      </extLst>
    </cfRule>
  </conditionalFormatting>
  <conditionalFormatting sqref="M9">
    <cfRule type="dataBar" priority="19">
      <dataBar>
        <cfvo type="num" val="0"/>
        <cfvo type="num" val="$L$9"/>
        <color theme="4"/>
      </dataBar>
      <extLst>
        <ext xmlns:x14="http://schemas.microsoft.com/office/spreadsheetml/2009/9/main" uri="{B025F937-C7B1-47D3-B67F-A62EFF666E3E}">
          <x14:id>{5305A619-4F89-47F2-AD30-3062E725E2DF}</x14:id>
        </ext>
      </extLst>
    </cfRule>
  </conditionalFormatting>
  <conditionalFormatting sqref="M10">
    <cfRule type="dataBar" priority="18">
      <dataBar>
        <cfvo type="num" val="0"/>
        <cfvo type="num" val="$L$10"/>
        <color theme="4"/>
      </dataBar>
      <extLst>
        <ext xmlns:x14="http://schemas.microsoft.com/office/spreadsheetml/2009/9/main" uri="{B025F937-C7B1-47D3-B67F-A62EFF666E3E}">
          <x14:id>{85CD9A35-E870-4275-913B-838A4F09F192}</x14:id>
        </ext>
      </extLst>
    </cfRule>
  </conditionalFormatting>
  <conditionalFormatting sqref="M13:M14">
    <cfRule type="dataBar" priority="13">
      <dataBar showValue="0">
        <cfvo type="num" val="0"/>
        <cfvo type="formula" val="Kurspoäng_som_krävs"/>
        <color theme="4"/>
      </dataBar>
      <extLst>
        <ext xmlns:x14="http://schemas.microsoft.com/office/spreadsheetml/2009/9/main" uri="{B025F937-C7B1-47D3-B67F-A62EFF666E3E}">
          <x14:id>{7638AA57-3DBF-439B-8AC0-72C19C3CFC94}</x14:id>
        </ext>
      </extLst>
    </cfRule>
  </conditionalFormatting>
  <conditionalFormatting sqref="M13:M14">
    <cfRule type="dataBar" priority="29">
      <dataBar>
        <cfvo type="num" val="0"/>
        <cfvo type="num" val="$L$7"/>
        <color theme="4"/>
      </dataBar>
      <extLst>
        <ext xmlns:x14="http://schemas.microsoft.com/office/spreadsheetml/2009/9/main" uri="{B025F937-C7B1-47D3-B67F-A62EFF666E3E}">
          <x14:id>{AD4AE96E-58F0-44E8-8FDA-DD75CDB38D17}</x14:id>
        </ext>
      </extLst>
    </cfRule>
    <cfRule type="dataBar" priority="30">
      <dataBar>
        <cfvo type="percent" val="0"/>
        <cfvo type="percent" val="100"/>
        <color theme="4"/>
      </dataBar>
      <extLst>
        <ext xmlns:x14="http://schemas.microsoft.com/office/spreadsheetml/2009/9/main" uri="{B025F937-C7B1-47D3-B67F-A62EFF666E3E}">
          <x14:id>{A3156B49-4E70-4B9B-A8C6-8E29A24BBC4A}</x14:id>
        </ext>
      </extLst>
    </cfRule>
    <cfRule type="dataBar" priority="31">
      <dataBar>
        <cfvo type="min"/>
        <cfvo type="max"/>
        <color rgb="FFFFB628"/>
      </dataBar>
      <extLst>
        <ext xmlns:x14="http://schemas.microsoft.com/office/spreadsheetml/2009/9/main" uri="{B025F937-C7B1-47D3-B67F-A62EFF666E3E}">
          <x14:id>{76309163-D934-4406-8A4B-038689215D44}</x14:id>
        </ext>
      </extLst>
    </cfRule>
  </conditionalFormatting>
  <conditionalFormatting sqref="M13:N13">
    <cfRule type="dataBar" priority="7">
      <dataBar>
        <cfvo type="num" val="0"/>
        <cfvo type="num" val="$L$7"/>
        <color theme="4"/>
      </dataBar>
      <extLst>
        <ext xmlns:x14="http://schemas.microsoft.com/office/spreadsheetml/2009/9/main" uri="{B025F937-C7B1-47D3-B67F-A62EFF666E3E}">
          <x14:id>{10B42EE6-A197-4392-86AC-C3266CE5CB36}</x14:id>
        </ext>
      </extLst>
    </cfRule>
    <cfRule type="dataBar" priority="8">
      <dataBar>
        <cfvo type="min"/>
        <cfvo type="max"/>
        <color rgb="FF638EC6"/>
      </dataBar>
      <extLst>
        <ext xmlns:x14="http://schemas.microsoft.com/office/spreadsheetml/2009/9/main" uri="{B025F937-C7B1-47D3-B67F-A62EFF666E3E}">
          <x14:id>{A3D36D7B-016E-4016-9CBA-2DF75A58F3C4}</x14:id>
        </ext>
      </extLst>
    </cfRule>
    <cfRule type="dataBar" priority="9">
      <dataBar>
        <cfvo type="num" val="0"/>
        <cfvo type="num" val="&quot;$M$7&quot;"/>
        <color theme="4"/>
      </dataBar>
      <extLst>
        <ext xmlns:x14="http://schemas.microsoft.com/office/spreadsheetml/2009/9/main" uri="{B025F937-C7B1-47D3-B67F-A62EFF666E3E}">
          <x14:id>{8DB9956E-DDC8-49E9-B3DB-23D131A016AD}</x14:id>
        </ext>
      </extLst>
    </cfRule>
  </conditionalFormatting>
  <conditionalFormatting sqref="E36:H45 E48:H59 F46:H47">
    <cfRule type="dataBar" priority="6">
      <dataBar>
        <cfvo type="min"/>
        <cfvo type="max"/>
        <color rgb="FFFFB628"/>
      </dataBar>
      <extLst>
        <ext xmlns:x14="http://schemas.microsoft.com/office/spreadsheetml/2009/9/main" uri="{B025F937-C7B1-47D3-B67F-A62EFF666E3E}">
          <x14:id>{707A1A05-0B80-472D-85FA-305DC54BE16C}</x14:id>
        </ext>
      </extLst>
    </cfRule>
  </conditionalFormatting>
  <conditionalFormatting sqref="E36:H45 E48:H59 F46:H47">
    <cfRule type="dataBar" priority="4">
      <dataBar>
        <cfvo type="min"/>
        <cfvo type="max"/>
        <color rgb="FFFFB628"/>
      </dataBar>
      <extLst>
        <ext xmlns:x14="http://schemas.microsoft.com/office/spreadsheetml/2009/9/main" uri="{B025F937-C7B1-47D3-B67F-A62EFF666E3E}">
          <x14:id>{C1C6AF2F-A38B-4EDD-833F-0DBA054C183A}</x14:id>
        </ext>
      </extLst>
    </cfRule>
  </conditionalFormatting>
  <conditionalFormatting sqref="H39:H59">
    <cfRule type="dataBar" priority="3">
      <dataBar>
        <cfvo type="min"/>
        <cfvo type="max"/>
        <color rgb="FFFFB628"/>
      </dataBar>
      <extLst>
        <ext xmlns:x14="http://schemas.microsoft.com/office/spreadsheetml/2009/9/main" uri="{B025F937-C7B1-47D3-B67F-A62EFF666E3E}">
          <x14:id>{BB810975-81AB-451E-9240-D9D01FC30038}</x14:id>
        </ext>
      </extLst>
    </cfRule>
  </conditionalFormatting>
  <conditionalFormatting sqref="B36:B89">
    <cfRule type="dataBar" priority="1">
      <dataBar showValue="0">
        <cfvo type="num" val="0"/>
        <cfvo type="num" val="30"/>
        <color rgb="FFFFC000"/>
      </dataBar>
      <extLst>
        <ext xmlns:x14="http://schemas.microsoft.com/office/spreadsheetml/2009/9/main" uri="{B025F937-C7B1-47D3-B67F-A62EFF666E3E}">
          <x14:id>{3DBC6D8D-AACA-4C2B-BB31-872FC660A39F}</x14:id>
        </ext>
      </extLst>
    </cfRule>
  </conditionalFormatting>
  <printOptions horizontalCentered="1"/>
  <pageMargins left="0.25" right="0.25" top="0.75" bottom="0.75" header="0.3" footer="0.3"/>
  <pageSetup scale="66" fitToHeight="0" orientation="portrait" r:id="rId1"/>
  <headerFooter differentFirst="1">
    <oddFooter>Page &amp;P of &amp;N</oddFooter>
  </headerFooter>
  <ignoredErrors>
    <ignoredError sqref="M8:M10 M7" calculatedColumn="1"/>
    <ignoredError sqref="N24:N31"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34" r:id="rId4" name="Etikett 1">
              <controlPr defaultSize="0" autoFill="0" autoLine="0" autoPict="0">
                <anchor moveWithCells="1">
                  <from>
                    <xdr:col>9</xdr:col>
                    <xdr:colOff>9525</xdr:colOff>
                    <xdr:row>35</xdr:row>
                    <xdr:rowOff>57150</xdr:rowOff>
                  </from>
                  <to>
                    <xdr:col>11</xdr:col>
                    <xdr:colOff>885825</xdr:colOff>
                    <xdr:row>41</xdr:row>
                    <xdr:rowOff>0</xdr:rowOff>
                  </to>
                </anchor>
              </controlPr>
            </control>
          </mc:Choice>
        </mc:AlternateContent>
        <mc:AlternateContent xmlns:mc="http://schemas.openxmlformats.org/markup-compatibility/2006">
          <mc:Choice Requires="x14">
            <control shapeId="1038" r:id="rId5" name="Etikett 2">
              <controlPr defaultSize="0" autoFill="0" autoLine="0" autoPict="0">
                <anchor moveWithCells="1">
                  <from>
                    <xdr:col>9</xdr:col>
                    <xdr:colOff>9525</xdr:colOff>
                    <xdr:row>41</xdr:row>
                    <xdr:rowOff>57150</xdr:rowOff>
                  </from>
                  <to>
                    <xdr:col>11</xdr:col>
                    <xdr:colOff>885825</xdr:colOff>
                    <xdr:row>47</xdr:row>
                    <xdr:rowOff>0</xdr:rowOff>
                  </to>
                </anchor>
              </controlPr>
            </control>
          </mc:Choice>
        </mc:AlternateContent>
        <mc:AlternateContent xmlns:mc="http://schemas.openxmlformats.org/markup-compatibility/2006">
          <mc:Choice Requires="x14">
            <control shapeId="1039" r:id="rId6" name="Etikett 3">
              <controlPr defaultSize="0" autoFill="0" autoLine="0" autoPict="0">
                <anchor moveWithCells="1">
                  <from>
                    <xdr:col>9</xdr:col>
                    <xdr:colOff>9525</xdr:colOff>
                    <xdr:row>47</xdr:row>
                    <xdr:rowOff>57150</xdr:rowOff>
                  </from>
                  <to>
                    <xdr:col>11</xdr:col>
                    <xdr:colOff>885825</xdr:colOff>
                    <xdr:row>53</xdr:row>
                    <xdr:rowOff>0</xdr:rowOff>
                  </to>
                </anchor>
              </controlPr>
            </control>
          </mc:Choice>
        </mc:AlternateContent>
        <mc:AlternateContent xmlns:mc="http://schemas.openxmlformats.org/markup-compatibility/2006">
          <mc:Choice Requires="x14">
            <control shapeId="1040" r:id="rId7" name="Etikett 4">
              <controlPr defaultSize="0" autoFill="0" autoLine="0" autoPict="0">
                <anchor moveWithCells="1">
                  <from>
                    <xdr:col>9</xdr:col>
                    <xdr:colOff>9525</xdr:colOff>
                    <xdr:row>53</xdr:row>
                    <xdr:rowOff>57150</xdr:rowOff>
                  </from>
                  <to>
                    <xdr:col>11</xdr:col>
                    <xdr:colOff>885825</xdr:colOff>
                    <xdr:row>59</xdr:row>
                    <xdr:rowOff>0</xdr:rowOff>
                  </to>
                </anchor>
              </controlPr>
            </control>
          </mc:Choice>
        </mc:AlternateContent>
        <mc:AlternateContent xmlns:mc="http://schemas.openxmlformats.org/markup-compatibility/2006">
          <mc:Choice Requires="x14">
            <control shapeId="1041" r:id="rId8" name="Etikett 5">
              <controlPr defaultSize="0" autoFill="0" autoLine="0" autoPict="0">
                <anchor moveWithCells="1">
                  <from>
                    <xdr:col>9</xdr:col>
                    <xdr:colOff>9525</xdr:colOff>
                    <xdr:row>59</xdr:row>
                    <xdr:rowOff>57150</xdr:rowOff>
                  </from>
                  <to>
                    <xdr:col>11</xdr:col>
                    <xdr:colOff>885825</xdr:colOff>
                    <xdr:row>65</xdr:row>
                    <xdr:rowOff>0</xdr:rowOff>
                  </to>
                </anchor>
              </controlPr>
            </control>
          </mc:Choice>
        </mc:AlternateContent>
        <mc:AlternateContent xmlns:mc="http://schemas.openxmlformats.org/markup-compatibility/2006">
          <mc:Choice Requires="x14">
            <control shapeId="1042" r:id="rId9" name="Etikett 6">
              <controlPr defaultSize="0" autoFill="0" autoLine="0" autoPict="0">
                <anchor moveWithCells="1">
                  <from>
                    <xdr:col>9</xdr:col>
                    <xdr:colOff>9525</xdr:colOff>
                    <xdr:row>65</xdr:row>
                    <xdr:rowOff>57150</xdr:rowOff>
                  </from>
                  <to>
                    <xdr:col>11</xdr:col>
                    <xdr:colOff>885825</xdr:colOff>
                    <xdr:row>71</xdr:row>
                    <xdr:rowOff>0</xdr:rowOff>
                  </to>
                </anchor>
              </controlPr>
            </control>
          </mc:Choice>
        </mc:AlternateContent>
        <mc:AlternateContent xmlns:mc="http://schemas.openxmlformats.org/markup-compatibility/2006">
          <mc:Choice Requires="x14">
            <control shapeId="1043" r:id="rId10" name="Etikett 7">
              <controlPr defaultSize="0" autoFill="0" autoLine="0" autoPict="0">
                <anchor moveWithCells="1">
                  <from>
                    <xdr:col>9</xdr:col>
                    <xdr:colOff>9525</xdr:colOff>
                    <xdr:row>71</xdr:row>
                    <xdr:rowOff>57150</xdr:rowOff>
                  </from>
                  <to>
                    <xdr:col>11</xdr:col>
                    <xdr:colOff>885825</xdr:colOff>
                    <xdr:row>77</xdr:row>
                    <xdr:rowOff>0</xdr:rowOff>
                  </to>
                </anchor>
              </controlPr>
            </control>
          </mc:Choice>
        </mc:AlternateContent>
        <mc:AlternateContent xmlns:mc="http://schemas.openxmlformats.org/markup-compatibility/2006">
          <mc:Choice Requires="x14">
            <control shapeId="1044" r:id="rId11" name="Etikett 8">
              <controlPr defaultSize="0" autoFill="0" autoLine="0" autoPict="0">
                <anchor moveWithCells="1">
                  <from>
                    <xdr:col>9</xdr:col>
                    <xdr:colOff>9525</xdr:colOff>
                    <xdr:row>77</xdr:row>
                    <xdr:rowOff>57150</xdr:rowOff>
                  </from>
                  <to>
                    <xdr:col>11</xdr:col>
                    <xdr:colOff>885825</xdr:colOff>
                    <xdr:row>83</xdr:row>
                    <xdr:rowOff>0</xdr:rowOff>
                  </to>
                </anchor>
              </controlPr>
            </control>
          </mc:Choice>
        </mc:AlternateContent>
        <mc:AlternateContent xmlns:mc="http://schemas.openxmlformats.org/markup-compatibility/2006">
          <mc:Choice Requires="x14">
            <control shapeId="1045" r:id="rId12" name="Etikett 9">
              <controlPr defaultSize="0" autoFill="0" autoLine="0" autoPict="0">
                <anchor moveWithCells="1">
                  <from>
                    <xdr:col>9</xdr:col>
                    <xdr:colOff>9525</xdr:colOff>
                    <xdr:row>83</xdr:row>
                    <xdr:rowOff>57150</xdr:rowOff>
                  </from>
                  <to>
                    <xdr:col>11</xdr:col>
                    <xdr:colOff>885825</xdr:colOff>
                    <xdr:row>89</xdr:row>
                    <xdr:rowOff>0</xdr:rowOff>
                  </to>
                </anchor>
              </controlPr>
            </control>
          </mc:Choice>
        </mc:AlternateContent>
      </controls>
    </mc:Choice>
  </mc:AlternateContent>
  <tableParts count="1">
    <tablePart r:id="rId13"/>
  </tableParts>
  <extLst>
    <ext xmlns:x14="http://schemas.microsoft.com/office/spreadsheetml/2009/9/main" uri="{78C0D931-6437-407d-A8EE-F0AAD7539E65}">
      <x14:conditionalFormattings>
        <x14:conditionalFormatting xmlns:xm="http://schemas.microsoft.com/office/excel/2006/main">
          <x14:cfRule type="dataBar" id="{441F2552-7088-4550-9457-3B58280E2DBC}">
            <x14:dataBar minLength="0" maxLength="100" gradient="0">
              <x14:cfvo type="num">
                <xm:f>0</xm:f>
              </x14:cfvo>
              <x14:cfvo type="num">
                <xm:f>$L$7</xm:f>
              </x14:cfvo>
              <x14:negativeFillColor rgb="FFFF0000"/>
              <x14:axisColor rgb="FF000000"/>
            </x14:dataBar>
          </x14:cfRule>
          <xm:sqref>M7</xm:sqref>
        </x14:conditionalFormatting>
        <x14:conditionalFormatting xmlns:xm="http://schemas.microsoft.com/office/excel/2006/main">
          <x14:cfRule type="dataBar" id="{9593B8BC-3718-4747-9E78-F8B7C881F22C}">
            <x14:dataBar minLength="0" maxLength="100" gradient="0">
              <x14:cfvo type="num">
                <xm:f>0</xm:f>
              </x14:cfvo>
              <x14:cfvo type="num">
                <xm:f>$L$8</xm:f>
              </x14:cfvo>
              <x14:negativeFillColor rgb="FFFF0000"/>
              <x14:axisColor rgb="FF000000"/>
            </x14:dataBar>
          </x14:cfRule>
          <xm:sqref>M8</xm:sqref>
        </x14:conditionalFormatting>
        <x14:conditionalFormatting xmlns:xm="http://schemas.microsoft.com/office/excel/2006/main">
          <x14:cfRule type="dataBar" id="{5305A619-4F89-47F2-AD30-3062E725E2DF}">
            <x14:dataBar minLength="0" maxLength="100" gradient="0">
              <x14:cfvo type="num">
                <xm:f>0</xm:f>
              </x14:cfvo>
              <x14:cfvo type="num">
                <xm:f>$L$9</xm:f>
              </x14:cfvo>
              <x14:negativeFillColor rgb="FFFF0000"/>
              <x14:axisColor rgb="FF000000"/>
            </x14:dataBar>
          </x14:cfRule>
          <xm:sqref>M9</xm:sqref>
        </x14:conditionalFormatting>
        <x14:conditionalFormatting xmlns:xm="http://schemas.microsoft.com/office/excel/2006/main">
          <x14:cfRule type="dataBar" id="{85CD9A35-E870-4275-913B-838A4F09F192}">
            <x14:dataBar minLength="0" maxLength="100" gradient="0">
              <x14:cfvo type="num">
                <xm:f>0</xm:f>
              </x14:cfvo>
              <x14:cfvo type="num">
                <xm:f>$L$10</xm:f>
              </x14:cfvo>
              <x14:negativeFillColor rgb="FFFF0000"/>
              <x14:axisColor rgb="FF000000"/>
            </x14:dataBar>
          </x14:cfRule>
          <xm:sqref>M10</xm:sqref>
        </x14:conditionalFormatting>
        <x14:conditionalFormatting xmlns:xm="http://schemas.microsoft.com/office/excel/2006/main">
          <x14:cfRule type="dataBar" id="{7638AA57-3DBF-439B-8AC0-72C19C3CFC94}">
            <x14:dataBar minLength="0" maxLength="100" gradient="0">
              <x14:cfvo type="num">
                <xm:f>0</xm:f>
              </x14:cfvo>
              <x14:cfvo type="formula">
                <xm:f>Kurspoäng_som_krävs</xm:f>
              </x14:cfvo>
              <x14:negativeFillColor rgb="FFFF0000"/>
              <x14:axisColor rgb="FF000000"/>
            </x14:dataBar>
          </x14:cfRule>
          <xm:sqref>M13:M14</xm:sqref>
        </x14:conditionalFormatting>
        <x14:conditionalFormatting xmlns:xm="http://schemas.microsoft.com/office/excel/2006/main">
          <x14:cfRule type="dataBar" id="{AD4AE96E-58F0-44E8-8FDA-DD75CDB38D17}">
            <x14:dataBar minLength="0" maxLength="100" gradient="0">
              <x14:cfvo type="num">
                <xm:f>0</xm:f>
              </x14:cfvo>
              <x14:cfvo type="num">
                <xm:f>$L$7</xm:f>
              </x14:cfvo>
              <x14:negativeFillColor rgb="FFFF0000"/>
              <x14:axisColor rgb="FF000000"/>
            </x14:dataBar>
          </x14:cfRule>
          <x14:cfRule type="dataBar" id="{A3156B49-4E70-4B9B-A8C6-8E29A24BBC4A}">
            <x14:dataBar minLength="0" maxLength="100" gradient="0">
              <x14:cfvo type="percent">
                <xm:f>0</xm:f>
              </x14:cfvo>
              <x14:cfvo type="percent">
                <xm:f>100</xm:f>
              </x14:cfvo>
              <x14:negativeFillColor rgb="FFFF0000"/>
              <x14:axisColor rgb="FF000000"/>
            </x14:dataBar>
          </x14:cfRule>
          <x14:cfRule type="dataBar" id="{76309163-D934-4406-8A4B-038689215D44}">
            <x14:dataBar minLength="0" maxLength="100" gradient="0">
              <x14:cfvo type="autoMin"/>
              <x14:cfvo type="autoMax"/>
              <x14:negativeFillColor rgb="FFFF0000"/>
              <x14:axisColor rgb="FF000000"/>
            </x14:dataBar>
          </x14:cfRule>
          <xm:sqref>M13:M14</xm:sqref>
        </x14:conditionalFormatting>
        <x14:conditionalFormatting xmlns:xm="http://schemas.microsoft.com/office/excel/2006/main">
          <x14:cfRule type="dataBar" id="{10B42EE6-A197-4392-86AC-C3266CE5CB36}">
            <x14:dataBar minLength="0" maxLength="100" gradient="0">
              <x14:cfvo type="num">
                <xm:f>0</xm:f>
              </x14:cfvo>
              <x14:cfvo type="num">
                <xm:f>$L$7</xm:f>
              </x14:cfvo>
              <x14:negativeFillColor rgb="FFFF0000"/>
              <x14:axisColor rgb="FF000000"/>
            </x14:dataBar>
          </x14:cfRule>
          <x14:cfRule type="dataBar" id="{A3D36D7B-016E-4016-9CBA-2DF75A58F3C4}">
            <x14:dataBar minLength="0" maxLength="100" gradient="0" axisPosition="none">
              <x14:cfvo type="autoMin"/>
              <x14:cfvo type="autoMax"/>
              <x14:negativeFillColor rgb="FFFF0000"/>
            </x14:dataBar>
          </x14:cfRule>
          <x14:cfRule type="dataBar" id="{8DB9956E-DDC8-49E9-B3DB-23D131A016AD}">
            <x14:dataBar minLength="0" maxLength="100" gradient="0" direction="leftToRight">
              <x14:cfvo type="num">
                <xm:f>0</xm:f>
              </x14:cfvo>
              <x14:cfvo type="num">
                <xm:f>"$M$7"</xm:f>
              </x14:cfvo>
              <x14:negativeFillColor rgb="FFFF0000"/>
              <x14:axisColor rgb="FF000000"/>
            </x14:dataBar>
          </x14:cfRule>
          <xm:sqref>M13:N13</xm:sqref>
        </x14:conditionalFormatting>
        <x14:conditionalFormatting xmlns:xm="http://schemas.microsoft.com/office/excel/2006/main">
          <x14:cfRule type="dataBar" id="{707A1A05-0B80-472D-85FA-305DC54BE16C}">
            <x14:dataBar minLength="0" maxLength="100" gradient="0">
              <x14:cfvo type="autoMin"/>
              <x14:cfvo type="autoMax"/>
              <x14:negativeFillColor rgb="FFFF0000"/>
              <x14:axisColor rgb="FF000000"/>
            </x14:dataBar>
          </x14:cfRule>
          <xm:sqref>E36:H45 E48:H59 F46:H47</xm:sqref>
        </x14:conditionalFormatting>
        <x14:conditionalFormatting xmlns:xm="http://schemas.microsoft.com/office/excel/2006/main">
          <x14:cfRule type="dataBar" id="{C1C6AF2F-A38B-4EDD-833F-0DBA054C183A}">
            <x14:dataBar minLength="0" maxLength="100" gradient="0">
              <x14:cfvo type="autoMin"/>
              <x14:cfvo type="autoMax"/>
              <x14:negativeFillColor rgb="FFFF0000"/>
              <x14:axisColor rgb="FF000000"/>
            </x14:dataBar>
          </x14:cfRule>
          <xm:sqref>E36:H45 E48:H59 F46:H47</xm:sqref>
        </x14:conditionalFormatting>
        <x14:conditionalFormatting xmlns:xm="http://schemas.microsoft.com/office/excel/2006/main">
          <x14:cfRule type="dataBar" id="{BB810975-81AB-451E-9240-D9D01FC30038}">
            <x14:dataBar minLength="0" maxLength="100" gradient="0">
              <x14:cfvo type="autoMin"/>
              <x14:cfvo type="autoMax"/>
              <x14:negativeFillColor rgb="FFFF0000"/>
              <x14:axisColor rgb="FF000000"/>
            </x14:dataBar>
          </x14:cfRule>
          <xm:sqref>H39:H59</xm:sqref>
        </x14:conditionalFormatting>
        <x14:conditionalFormatting xmlns:xm="http://schemas.microsoft.com/office/excel/2006/main">
          <x14:cfRule type="dataBar" id="{3DBC6D8D-AACA-4C2B-BB31-872FC660A39F}">
            <x14:dataBar minLength="0" maxLength="100" gradient="0">
              <x14:cfvo type="num">
                <xm:f>0</xm:f>
              </x14:cfvo>
              <x14:cfvo type="num">
                <xm:f>30</xm:f>
              </x14:cfvo>
              <x14:negativeFillColor rgb="FFFF0000"/>
              <x14:axisColor rgb="FF000000"/>
            </x14:dataBar>
          </x14:cfRule>
          <xm:sqref>B36:B89</xm:sqref>
        </x14:conditionalFormatting>
        <x14:conditionalFormatting xmlns:xm="http://schemas.microsoft.com/office/excel/2006/main">
          <x14:cfRule type="iconSet" priority="28" id="{B809C01C-2A41-44F9-A3C9-F1E22D7B83B0}">
            <x14:iconSet custom="1">
              <x14:cfvo type="percent">
                <xm:f>0</xm:f>
              </x14:cfvo>
              <x14:cfvo type="num">
                <xm:f>1</xm:f>
              </x14:cfvo>
              <x14:cfvo type="num">
                <xm:f>2</xm:f>
              </x14:cfvo>
              <x14:cfIcon iconSet="3Symbols2" iconId="2"/>
              <x14:cfIcon iconSet="NoIcons" iconId="0"/>
              <x14:cfIcon iconSet="NoIcons" iconId="0"/>
            </x14:iconSet>
          </x14:cfRule>
          <xm:sqref>O7:O10</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4">
    <tabColor rgb="FF00B0F0"/>
    <pageSetUpPr autoPageBreaks="0" fitToPage="1"/>
  </sheetPr>
  <dimension ref="A1:U185"/>
  <sheetViews>
    <sheetView showGridLines="0" topLeftCell="A10" zoomScaleNormal="100" workbookViewId="0">
      <selection activeCell="K15" sqref="K15"/>
    </sheetView>
  </sheetViews>
  <sheetFormatPr defaultRowHeight="18" customHeight="1" x14ac:dyDescent="0.3"/>
  <cols>
    <col min="1" max="1" width="2.375" style="46" customWidth="1"/>
    <col min="2" max="2" width="45.75" style="46" customWidth="1"/>
    <col min="3" max="3" width="11.375" style="46" customWidth="1"/>
    <col min="4" max="4" width="13.75" style="46" bestFit="1" customWidth="1"/>
    <col min="5" max="5" width="21.5" style="46" customWidth="1"/>
    <col min="6" max="6" width="9.125" style="46" hidden="1" customWidth="1"/>
    <col min="7" max="7" width="11.625" style="46" bestFit="1" customWidth="1"/>
    <col min="8" max="8" width="13.75" style="46" hidden="1" customWidth="1"/>
    <col min="9" max="9" width="12.5" style="46" bestFit="1" customWidth="1"/>
    <col min="10" max="10" width="12.125" style="46" bestFit="1" customWidth="1"/>
    <col min="11" max="11" width="23.25" style="46" customWidth="1"/>
    <col min="12" max="13" width="13.25" style="46" hidden="1" customWidth="1"/>
    <col min="14" max="15" width="9" style="46" hidden="1" customWidth="1"/>
    <col min="16" max="20" width="9" style="46"/>
    <col min="21" max="21" width="11.375" style="46" bestFit="1" customWidth="1"/>
    <col min="22" max="16384" width="9" style="46"/>
  </cols>
  <sheetData>
    <row r="1" spans="1:21" ht="6.75" customHeight="1" x14ac:dyDescent="0.3">
      <c r="A1" s="44"/>
      <c r="B1" s="44"/>
      <c r="C1" s="44"/>
      <c r="D1" s="44"/>
      <c r="E1" s="44"/>
      <c r="F1" s="44"/>
      <c r="G1" s="44"/>
      <c r="H1" s="44"/>
      <c r="I1" s="44"/>
      <c r="J1" s="45"/>
      <c r="K1" s="45"/>
    </row>
    <row r="2" spans="1:21" ht="51" customHeight="1" x14ac:dyDescent="0.45">
      <c r="A2" s="223" t="s">
        <v>24</v>
      </c>
      <c r="B2" s="223"/>
      <c r="C2" s="47"/>
      <c r="D2" s="48"/>
      <c r="E2" s="220" t="str">
        <f xml:space="preserve"> CONCATENATE(Program,IF(TechSpec=" Ingen","",CONCATENATE("                                                                                                                                 med inriktning ",TechSpec)),IF(OR(EcoSpec=" Ingen",EcoSpec=""),"",CONCATENATE(" och ",EcoSpec)))</f>
        <v>Civilingenjör i Industriell Ekonomi                                                                                                                                 med inriktning Datateknik och Ekonomiska informationssystem</v>
      </c>
      <c r="F2" s="221"/>
      <c r="G2" s="221"/>
      <c r="H2" s="221"/>
      <c r="I2" s="221"/>
      <c r="J2" s="221"/>
      <c r="K2" s="65"/>
      <c r="L2" s="50"/>
      <c r="M2" s="50"/>
      <c r="N2" s="50"/>
      <c r="O2" s="50"/>
      <c r="P2" s="50"/>
      <c r="Q2" s="50"/>
      <c r="R2" s="50"/>
      <c r="S2" s="50"/>
      <c r="T2" s="50"/>
      <c r="U2" s="50"/>
    </row>
    <row r="3" spans="1:21" ht="6.75" customHeight="1" x14ac:dyDescent="0.3">
      <c r="A3" s="44"/>
      <c r="B3" s="44"/>
      <c r="C3" s="44"/>
      <c r="D3" s="44"/>
      <c r="E3" s="44"/>
      <c r="F3" s="49"/>
      <c r="G3" s="44"/>
      <c r="H3" s="44"/>
      <c r="I3" s="44"/>
      <c r="J3" s="45"/>
      <c r="K3" s="45"/>
      <c r="L3" s="50"/>
      <c r="M3" s="50"/>
      <c r="N3" s="50"/>
      <c r="O3" s="50"/>
      <c r="P3" s="50"/>
      <c r="Q3" s="50"/>
      <c r="R3" s="50"/>
      <c r="S3" s="50"/>
      <c r="T3" s="50"/>
      <c r="U3" s="50"/>
    </row>
    <row r="4" spans="1:21" ht="9" customHeight="1" x14ac:dyDescent="0.3">
      <c r="B4" s="217"/>
      <c r="C4" s="217"/>
      <c r="D4" s="217"/>
      <c r="L4" s="50"/>
      <c r="M4" s="50"/>
      <c r="N4" s="50"/>
      <c r="O4" s="50"/>
      <c r="P4" s="50"/>
      <c r="Q4" s="50"/>
      <c r="R4" s="50"/>
      <c r="S4" s="50"/>
      <c r="T4" s="50"/>
      <c r="U4" s="50"/>
    </row>
    <row r="5" spans="1:21" ht="26.25" customHeight="1" x14ac:dyDescent="0.3">
      <c r="B5" s="73" t="s">
        <v>12</v>
      </c>
      <c r="C5" s="88">
        <v>2011</v>
      </c>
      <c r="D5" s="167"/>
      <c r="E5" s="225" t="s">
        <v>970</v>
      </c>
      <c r="F5" s="225"/>
      <c r="G5" s="225"/>
      <c r="H5" s="225"/>
      <c r="I5" s="225"/>
      <c r="J5" s="225"/>
      <c r="K5" s="51"/>
      <c r="L5" s="52"/>
      <c r="M5" s="52"/>
      <c r="N5" s="50"/>
      <c r="O5" s="50"/>
      <c r="P5" s="50"/>
      <c r="Q5" s="50"/>
      <c r="R5" s="50"/>
      <c r="S5" s="50"/>
      <c r="T5" s="50"/>
      <c r="U5" s="50"/>
    </row>
    <row r="6" spans="1:21" ht="26.25" customHeight="1" x14ac:dyDescent="0.3">
      <c r="B6" s="73" t="s">
        <v>13</v>
      </c>
      <c r="C6" s="88" t="s">
        <v>18</v>
      </c>
      <c r="D6" s="52"/>
      <c r="E6" s="222"/>
      <c r="F6" s="222"/>
      <c r="G6" s="222"/>
      <c r="H6" s="222"/>
      <c r="I6" s="222"/>
      <c r="J6" s="222"/>
      <c r="K6" s="51"/>
      <c r="L6" s="52"/>
      <c r="M6" s="52"/>
      <c r="N6" s="50"/>
      <c r="O6" s="50"/>
      <c r="P6" s="50"/>
      <c r="Q6" s="50"/>
      <c r="R6" s="50"/>
      <c r="S6" s="50"/>
      <c r="T6" s="50"/>
      <c r="U6" s="50"/>
    </row>
    <row r="7" spans="1:21" ht="26.25" customHeight="1" x14ac:dyDescent="0.3">
      <c r="B7" s="73" t="s">
        <v>92</v>
      </c>
      <c r="C7" s="88" t="s">
        <v>23</v>
      </c>
      <c r="D7" s="52"/>
      <c r="E7" s="222"/>
      <c r="F7" s="222"/>
      <c r="G7" s="222"/>
      <c r="H7" s="222"/>
      <c r="I7" s="222"/>
      <c r="J7" s="222"/>
      <c r="K7" s="164"/>
      <c r="L7" s="52">
        <v>1</v>
      </c>
      <c r="M7" s="52"/>
      <c r="N7" s="50"/>
      <c r="O7" s="50"/>
      <c r="P7" s="50"/>
      <c r="Q7" s="50"/>
      <c r="R7" s="50"/>
      <c r="S7" s="50"/>
      <c r="T7" s="50"/>
      <c r="U7" s="50"/>
    </row>
    <row r="8" spans="1:21" ht="26.25" customHeight="1" thickBot="1" x14ac:dyDescent="0.35">
      <c r="B8" s="73" t="s">
        <v>93</v>
      </c>
      <c r="C8" s="88" t="s">
        <v>103</v>
      </c>
      <c r="D8" s="52"/>
      <c r="E8" s="226"/>
      <c r="F8" s="226"/>
      <c r="G8" s="226"/>
      <c r="H8" s="226"/>
      <c r="I8" s="226"/>
      <c r="J8" s="226"/>
      <c r="K8" s="164"/>
      <c r="L8" s="52">
        <v>2</v>
      </c>
      <c r="M8" s="52"/>
      <c r="N8" s="50"/>
      <c r="O8" s="50"/>
      <c r="P8" s="50"/>
      <c r="Q8" s="50"/>
      <c r="R8" s="50"/>
      <c r="S8" s="50"/>
      <c r="T8" s="50"/>
      <c r="U8" s="50"/>
    </row>
    <row r="9" spans="1:21" ht="26.25" customHeight="1" thickTop="1" x14ac:dyDescent="0.3">
      <c r="B9" s="53"/>
      <c r="C9" s="89"/>
      <c r="D9" s="52"/>
      <c r="E9" s="52"/>
      <c r="F9" s="222"/>
      <c r="G9" s="222"/>
      <c r="H9" s="222"/>
      <c r="I9" s="222"/>
      <c r="J9" s="164"/>
      <c r="K9" s="164"/>
      <c r="L9" s="52">
        <v>3</v>
      </c>
      <c r="M9" s="52"/>
      <c r="N9" s="50"/>
      <c r="O9" s="50"/>
      <c r="P9" s="50"/>
      <c r="Q9" s="50"/>
      <c r="R9" s="50"/>
      <c r="S9" s="50"/>
      <c r="T9" s="50"/>
      <c r="U9" s="50"/>
    </row>
    <row r="10" spans="1:21" ht="18.75" customHeight="1" x14ac:dyDescent="0.3">
      <c r="L10" s="50"/>
      <c r="M10" s="50"/>
      <c r="N10" s="50"/>
      <c r="O10" s="50"/>
      <c r="P10" s="50"/>
      <c r="Q10" s="50"/>
      <c r="R10" s="50"/>
      <c r="S10" s="50"/>
      <c r="T10" s="50"/>
      <c r="U10" s="50"/>
    </row>
    <row r="11" spans="1:21" ht="9.75" customHeight="1" x14ac:dyDescent="0.45">
      <c r="A11" s="48"/>
      <c r="B11" s="48"/>
      <c r="C11" s="48"/>
      <c r="D11" s="48"/>
      <c r="E11" s="48"/>
      <c r="F11" s="48"/>
      <c r="G11" s="48"/>
      <c r="H11" s="48"/>
      <c r="I11" s="48"/>
      <c r="J11" s="48"/>
      <c r="K11" s="48"/>
      <c r="L11" s="87"/>
      <c r="M11" s="87"/>
      <c r="N11" s="87"/>
    </row>
    <row r="12" spans="1:21" ht="50.25" customHeight="1" x14ac:dyDescent="0.3">
      <c r="A12" s="224" t="s">
        <v>101</v>
      </c>
      <c r="B12" s="224"/>
      <c r="C12" s="224"/>
      <c r="D12" s="54"/>
      <c r="E12" s="218" t="s">
        <v>96</v>
      </c>
      <c r="F12" s="219"/>
      <c r="G12" s="219"/>
      <c r="H12" s="64"/>
      <c r="I12" s="44"/>
      <c r="J12" s="45"/>
      <c r="K12" s="45"/>
      <c r="L12" s="87"/>
      <c r="M12" s="87"/>
      <c r="N12" s="87"/>
    </row>
    <row r="13" spans="1:21" ht="9" customHeight="1" x14ac:dyDescent="0.45">
      <c r="A13" s="48"/>
      <c r="B13" s="48"/>
      <c r="C13" s="48"/>
      <c r="D13" s="48"/>
      <c r="E13" s="43"/>
      <c r="F13" s="48"/>
      <c r="G13" s="48"/>
      <c r="H13" s="48"/>
      <c r="I13" s="48"/>
      <c r="J13" s="48"/>
      <c r="K13" s="48"/>
      <c r="L13" s="87"/>
      <c r="M13" s="87"/>
      <c r="N13" s="87"/>
    </row>
    <row r="14" spans="1:21" ht="9" customHeight="1" x14ac:dyDescent="0.3">
      <c r="A14" s="87"/>
      <c r="B14" s="87"/>
      <c r="C14" s="87"/>
      <c r="D14" s="87"/>
      <c r="E14" s="87"/>
      <c r="F14" s="87"/>
      <c r="G14" s="87"/>
      <c r="H14" s="87"/>
      <c r="I14" s="87"/>
      <c r="J14" s="87"/>
      <c r="K14" s="87"/>
      <c r="L14" s="87"/>
      <c r="M14" s="87"/>
      <c r="N14" s="87"/>
    </row>
    <row r="15" spans="1:21" ht="18" customHeight="1" x14ac:dyDescent="0.3">
      <c r="B15" s="55" t="s">
        <v>9</v>
      </c>
      <c r="C15" s="57" t="s">
        <v>51</v>
      </c>
      <c r="D15" s="56" t="s">
        <v>10</v>
      </c>
      <c r="E15" s="56" t="s">
        <v>21</v>
      </c>
      <c r="F15" s="56" t="s">
        <v>11</v>
      </c>
      <c r="G15" s="57" t="s">
        <v>45</v>
      </c>
      <c r="H15" s="57" t="s">
        <v>44</v>
      </c>
      <c r="I15" s="57" t="s">
        <v>6</v>
      </c>
      <c r="J15" s="58" t="s">
        <v>30</v>
      </c>
      <c r="K15" s="58" t="s">
        <v>46</v>
      </c>
      <c r="L15" s="87" t="s">
        <v>971</v>
      </c>
      <c r="M15" s="87" t="s">
        <v>972</v>
      </c>
      <c r="N15" s="87" t="s">
        <v>973</v>
      </c>
      <c r="O15" s="46" t="s">
        <v>974</v>
      </c>
    </row>
    <row r="16" spans="1:21" ht="20.25" customHeight="1" x14ac:dyDescent="0.3">
      <c r="B16" s="46" t="s">
        <v>134</v>
      </c>
      <c r="C16" s="36">
        <v>5</v>
      </c>
      <c r="D16" s="46" t="s">
        <v>133</v>
      </c>
      <c r="E16" s="46" t="s">
        <v>193</v>
      </c>
      <c r="F16" s="46" t="s">
        <v>109</v>
      </c>
      <c r="G16" s="36">
        <v>6</v>
      </c>
      <c r="H16" s="36">
        <v>1</v>
      </c>
      <c r="I16" s="36">
        <v>1</v>
      </c>
      <c r="J16" s="36">
        <v>1</v>
      </c>
      <c r="K16" s="36" t="s">
        <v>957</v>
      </c>
      <c r="L16" s="170" t="str">
        <f>IFERROR(IF(SEARCH("1",Programplan[[#This Row],[BLOCK]])&gt;0,COUNTA(Programplan[[#This Row],[BLOCK]]),""),"")</f>
        <v/>
      </c>
      <c r="M16" s="87">
        <f>IFERROR(IF(SEARCH("2",Programplan[[#This Row],[BLOCK]],1)&gt;0,COUNTA(Programplan[[#This Row],[BLOCK]]),""),"")</f>
        <v>1</v>
      </c>
      <c r="N16" s="87" t="str">
        <f>IFERROR(IF(SEARCH("3",Programplan[[#This Row],[BLOCK]],1)&gt;0,COUNTA(Programplan[[#This Row],[BLOCK]]),""),"")</f>
        <v/>
      </c>
      <c r="O16" s="46" t="str">
        <f>IFERROR(IF(SEARCH("4",Programplan[[#This Row],[BLOCK]],1)&gt;0,COUNTA(Programplan[[#This Row],[BLOCK]]),""),"")</f>
        <v/>
      </c>
    </row>
    <row r="17" spans="2:15" ht="20.25" customHeight="1" x14ac:dyDescent="0.3">
      <c r="B17" s="46" t="s">
        <v>136</v>
      </c>
      <c r="C17" s="36">
        <v>5</v>
      </c>
      <c r="D17" s="46" t="s">
        <v>135</v>
      </c>
      <c r="E17" s="46" t="s">
        <v>193</v>
      </c>
      <c r="F17" s="46" t="s">
        <v>109</v>
      </c>
      <c r="G17" s="36">
        <v>8</v>
      </c>
      <c r="H17" s="36">
        <v>1</v>
      </c>
      <c r="I17" s="36">
        <v>1</v>
      </c>
      <c r="J17" s="36">
        <v>2</v>
      </c>
      <c r="K17" s="36" t="s">
        <v>958</v>
      </c>
      <c r="L17" s="171">
        <f>IFERROR(IF(SEARCH("1",Programplan[[#This Row],[BLOCK]])&gt;0,COUNTA(Programplan[[#This Row],[BLOCK]]),""),"")</f>
        <v>1</v>
      </c>
      <c r="M17" s="172">
        <f>IFERROR(IF(SEARCH("2",Programplan[[#This Row],[BLOCK]],1)&gt;0,COUNTA(Programplan[[#This Row],[BLOCK]]),""),"")</f>
        <v>1</v>
      </c>
      <c r="N17" s="172" t="str">
        <f>IFERROR(IF(SEARCH("3",Programplan[[#This Row],[BLOCK]],1)&gt;0,COUNTA(Programplan[[#This Row],[BLOCK]]),""),"")</f>
        <v/>
      </c>
      <c r="O17" s="173" t="str">
        <f>IFERROR(IF(SEARCH("4",Programplan[[#This Row],[BLOCK]],1)&gt;0,COUNTA(Programplan[[#This Row],[BLOCK]]),""),"")</f>
        <v/>
      </c>
    </row>
    <row r="18" spans="2:15" ht="20.25" customHeight="1" x14ac:dyDescent="0.3">
      <c r="B18" s="46" t="s">
        <v>138</v>
      </c>
      <c r="C18" s="36">
        <v>3</v>
      </c>
      <c r="D18" s="46" t="s">
        <v>137</v>
      </c>
      <c r="E18" s="46" t="s">
        <v>193</v>
      </c>
      <c r="F18" s="46" t="s">
        <v>109</v>
      </c>
      <c r="G18" s="36">
        <v>10</v>
      </c>
      <c r="H18" s="36">
        <v>1</v>
      </c>
      <c r="I18" s="36">
        <v>1</v>
      </c>
      <c r="J18" s="36">
        <v>2</v>
      </c>
      <c r="K18" s="36" t="s">
        <v>959</v>
      </c>
      <c r="L18" s="171">
        <f>IFERROR(IF(SEARCH("1",Programplan[[#This Row],[BLOCK]])&gt;0,COUNTA(Programplan[[#This Row],[BLOCK]]),""),"")</f>
        <v>1</v>
      </c>
      <c r="M18" s="172">
        <f>IFERROR(IF(SEARCH("2",Programplan[[#This Row],[BLOCK]],1)&gt;0,COUNTA(Programplan[[#This Row],[BLOCK]]),""),"")</f>
        <v>1</v>
      </c>
      <c r="N18" s="172" t="str">
        <f>IFERROR(IF(SEARCH("3",Programplan[[#This Row],[BLOCK]],1)&gt;0,COUNTA(Programplan[[#This Row],[BLOCK]]),""),"")</f>
        <v/>
      </c>
      <c r="O18" s="173">
        <f>IFERROR(IF(SEARCH("4",Programplan[[#This Row],[BLOCK]],1)&gt;0,COUNTA(Programplan[[#This Row],[BLOCK]]),""),"")</f>
        <v>1</v>
      </c>
    </row>
    <row r="19" spans="2:15" ht="20.25" customHeight="1" x14ac:dyDescent="0.3">
      <c r="B19" s="46" t="s">
        <v>140</v>
      </c>
      <c r="C19" s="36"/>
      <c r="D19" s="46" t="s">
        <v>139</v>
      </c>
      <c r="E19" s="46" t="s">
        <v>193</v>
      </c>
      <c r="F19" s="46" t="s">
        <v>109</v>
      </c>
      <c r="G19" s="36">
        <v>6</v>
      </c>
      <c r="H19" s="36">
        <v>1</v>
      </c>
      <c r="I19" s="36">
        <v>1</v>
      </c>
      <c r="J19" s="36">
        <v>2</v>
      </c>
      <c r="K19" s="36" t="s">
        <v>921</v>
      </c>
      <c r="L19" s="171" t="str">
        <f>IFERROR(IF(SEARCH("1",Programplan[[#This Row],[BLOCK]])&gt;0,COUNTA(Programplan[[#This Row],[BLOCK]]),""),"")</f>
        <v/>
      </c>
      <c r="M19" s="172" t="str">
        <f>IFERROR(IF(SEARCH("2",Programplan[[#This Row],[BLOCK]],1)&gt;0,COUNTA(Programplan[[#This Row],[BLOCK]]),""),"")</f>
        <v/>
      </c>
      <c r="N19" s="172">
        <f>IFERROR(IF(SEARCH("3",Programplan[[#This Row],[BLOCK]],1)&gt;0,COUNTA(Programplan[[#This Row],[BLOCK]]),""),"")</f>
        <v>1</v>
      </c>
      <c r="O19" s="173" t="str">
        <f>IFERROR(IF(SEARCH("4",Programplan[[#This Row],[BLOCK]],1)&gt;0,COUNTA(Programplan[[#This Row],[BLOCK]]),""),"")</f>
        <v/>
      </c>
    </row>
    <row r="20" spans="2:15" ht="20.25" customHeight="1" x14ac:dyDescent="0.3">
      <c r="B20" s="46" t="s">
        <v>142</v>
      </c>
      <c r="C20" s="36">
        <v>5</v>
      </c>
      <c r="D20" s="46" t="s">
        <v>141</v>
      </c>
      <c r="E20" s="46" t="s">
        <v>193</v>
      </c>
      <c r="F20" s="46" t="s">
        <v>109</v>
      </c>
      <c r="G20" s="36">
        <v>6</v>
      </c>
      <c r="H20" s="36">
        <v>1</v>
      </c>
      <c r="I20" s="36">
        <v>2</v>
      </c>
      <c r="J20" s="36">
        <v>1</v>
      </c>
      <c r="K20" s="36" t="s">
        <v>911</v>
      </c>
      <c r="L20" s="171" t="str">
        <f>IFERROR(IF(SEARCH("1",Programplan[[#This Row],[BLOCK]])&gt;0,COUNTA(Programplan[[#This Row],[BLOCK]]),""),"")</f>
        <v/>
      </c>
      <c r="M20" s="172">
        <f>IFERROR(IF(SEARCH("2",Programplan[[#This Row],[BLOCK]],1)&gt;0,COUNTA(Programplan[[#This Row],[BLOCK]]),""),"")</f>
        <v>1</v>
      </c>
      <c r="N20" s="172" t="str">
        <f>IFERROR(IF(SEARCH("3",Programplan[[#This Row],[BLOCK]],1)&gt;0,COUNTA(Programplan[[#This Row],[BLOCK]]),""),"")</f>
        <v/>
      </c>
      <c r="O20" s="173" t="str">
        <f>IFERROR(IF(SEARCH("4",Programplan[[#This Row],[BLOCK]],1)&gt;0,COUNTA(Programplan[[#This Row],[BLOCK]]),""),"")</f>
        <v/>
      </c>
    </row>
    <row r="21" spans="2:15" ht="20.25" customHeight="1" x14ac:dyDescent="0.3">
      <c r="B21" s="46" t="s">
        <v>148</v>
      </c>
      <c r="C21" s="36">
        <v>3</v>
      </c>
      <c r="D21" s="46" t="s">
        <v>147</v>
      </c>
      <c r="E21" s="46" t="s">
        <v>193</v>
      </c>
      <c r="F21" s="46" t="s">
        <v>109</v>
      </c>
      <c r="G21" s="36">
        <v>8</v>
      </c>
      <c r="H21" s="36">
        <v>1</v>
      </c>
      <c r="I21" s="36">
        <v>2</v>
      </c>
      <c r="J21" s="36">
        <v>2</v>
      </c>
      <c r="K21" s="36" t="s">
        <v>911</v>
      </c>
      <c r="L21" s="171" t="str">
        <f>IFERROR(IF(SEARCH("1",Programplan[[#This Row],[BLOCK]])&gt;0,COUNTA(Programplan[[#This Row],[BLOCK]]),""),"")</f>
        <v/>
      </c>
      <c r="M21" s="172">
        <f>IFERROR(IF(SEARCH("2",Programplan[[#This Row],[BLOCK]],1)&gt;0,COUNTA(Programplan[[#This Row],[BLOCK]]),""),"")</f>
        <v>1</v>
      </c>
      <c r="N21" s="172" t="str">
        <f>IFERROR(IF(SEARCH("3",Programplan[[#This Row],[BLOCK]],1)&gt;0,COUNTA(Programplan[[#This Row],[BLOCK]]),""),"")</f>
        <v/>
      </c>
      <c r="O21" s="173" t="str">
        <f>IFERROR(IF(SEARCH("4",Programplan[[#This Row],[BLOCK]],1)&gt;0,COUNTA(Programplan[[#This Row],[BLOCK]]),""),"")</f>
        <v/>
      </c>
    </row>
    <row r="22" spans="2:15" ht="20.25" customHeight="1" x14ac:dyDescent="0.3">
      <c r="B22" s="46" t="s">
        <v>144</v>
      </c>
      <c r="C22" s="36" t="s">
        <v>52</v>
      </c>
      <c r="D22" s="46" t="s">
        <v>143</v>
      </c>
      <c r="E22" s="46" t="s">
        <v>193</v>
      </c>
      <c r="F22" s="46" t="s">
        <v>109</v>
      </c>
      <c r="G22" s="36">
        <v>8</v>
      </c>
      <c r="H22" s="36">
        <v>1</v>
      </c>
      <c r="I22" s="36">
        <v>2</v>
      </c>
      <c r="J22" s="36">
        <v>2</v>
      </c>
      <c r="K22" s="36" t="s">
        <v>960</v>
      </c>
      <c r="L22" s="171" t="str">
        <f>IFERROR(IF(SEARCH("1",Programplan[[#This Row],[BLOCK]])&gt;0,COUNTA(Programplan[[#This Row],[BLOCK]]),""),"")</f>
        <v/>
      </c>
      <c r="M22" s="172" t="str">
        <f>IFERROR(IF(SEARCH("2",Programplan[[#This Row],[BLOCK]],1)&gt;0,COUNTA(Programplan[[#This Row],[BLOCK]]),""),"")</f>
        <v/>
      </c>
      <c r="N22" s="172">
        <f>IFERROR(IF(SEARCH("3",Programplan[[#This Row],[BLOCK]],1)&gt;0,COUNTA(Programplan[[#This Row],[BLOCK]]),""),"")</f>
        <v>1</v>
      </c>
      <c r="O22" s="173">
        <f>IFERROR(IF(SEARCH("4",Programplan[[#This Row],[BLOCK]],1)&gt;0,COUNTA(Programplan[[#This Row],[BLOCK]]),""),"")</f>
        <v>1</v>
      </c>
    </row>
    <row r="23" spans="2:15" ht="20.25" customHeight="1" x14ac:dyDescent="0.3">
      <c r="B23" s="46" t="s">
        <v>146</v>
      </c>
      <c r="C23" s="36"/>
      <c r="D23" s="46" t="s">
        <v>145</v>
      </c>
      <c r="E23" s="46" t="s">
        <v>193</v>
      </c>
      <c r="F23" s="46" t="s">
        <v>110</v>
      </c>
      <c r="G23" s="36">
        <v>6</v>
      </c>
      <c r="H23" s="36">
        <v>1</v>
      </c>
      <c r="I23" s="36">
        <v>2</v>
      </c>
      <c r="J23" s="36">
        <v>1</v>
      </c>
      <c r="K23" s="36" t="s">
        <v>379</v>
      </c>
      <c r="L23" s="171">
        <f>IFERROR(IF(SEARCH("1",Programplan[[#This Row],[BLOCK]])&gt;0,COUNTA(Programplan[[#This Row],[BLOCK]]),""),"")</f>
        <v>1</v>
      </c>
      <c r="M23" s="172" t="str">
        <f>IFERROR(IF(SEARCH("2",Programplan[[#This Row],[BLOCK]],1)&gt;0,COUNTA(Programplan[[#This Row],[BLOCK]]),""),"")</f>
        <v/>
      </c>
      <c r="N23" s="172" t="str">
        <f>IFERROR(IF(SEARCH("3",Programplan[[#This Row],[BLOCK]],1)&gt;0,COUNTA(Programplan[[#This Row],[BLOCK]]),""),"")</f>
        <v/>
      </c>
      <c r="O23" s="173" t="str">
        <f>IFERROR(IF(SEARCH("4",Programplan[[#This Row],[BLOCK]],1)&gt;0,COUNTA(Programplan[[#This Row],[BLOCK]]),""),"")</f>
        <v/>
      </c>
    </row>
    <row r="24" spans="2:15" ht="20.25" customHeight="1" x14ac:dyDescent="0.3">
      <c r="B24" s="46" t="s">
        <v>150</v>
      </c>
      <c r="C24" s="36" t="s">
        <v>53</v>
      </c>
      <c r="D24" s="46" t="s">
        <v>149</v>
      </c>
      <c r="E24" s="46" t="s">
        <v>193</v>
      </c>
      <c r="F24" s="46" t="s">
        <v>109</v>
      </c>
      <c r="G24" s="36">
        <v>2</v>
      </c>
      <c r="H24" s="36">
        <v>1</v>
      </c>
      <c r="I24" s="36">
        <v>2</v>
      </c>
      <c r="J24" s="36">
        <v>2</v>
      </c>
      <c r="K24" s="36" t="s">
        <v>961</v>
      </c>
      <c r="L24" s="171" t="str">
        <f>IFERROR(IF(SEARCH("1",Programplan[[#This Row],[BLOCK]])&gt;0,COUNTA(Programplan[[#This Row],[BLOCK]]),""),"")</f>
        <v/>
      </c>
      <c r="M24" s="172" t="str">
        <f>IFERROR(IF(SEARCH("2",Programplan[[#This Row],[BLOCK]],1)&gt;0,COUNTA(Programplan[[#This Row],[BLOCK]]),""),"")</f>
        <v/>
      </c>
      <c r="N24" s="172">
        <f>IFERROR(IF(SEARCH("3",Programplan[[#This Row],[BLOCK]],1)&gt;0,COUNTA(Programplan[[#This Row],[BLOCK]]),""),"")</f>
        <v>1</v>
      </c>
      <c r="O24" s="173">
        <f>IFERROR(IF(SEARCH("4",Programplan[[#This Row],[BLOCK]],1)&gt;0,COUNTA(Programplan[[#This Row],[BLOCK]]),""),"")</f>
        <v>1</v>
      </c>
    </row>
    <row r="25" spans="2:15" ht="20.25" customHeight="1" x14ac:dyDescent="0.3">
      <c r="B25" s="46" t="s">
        <v>152</v>
      </c>
      <c r="C25" s="36">
        <v>3</v>
      </c>
      <c r="D25" s="46" t="s">
        <v>151</v>
      </c>
      <c r="E25" s="46" t="s">
        <v>193</v>
      </c>
      <c r="F25" s="46" t="s">
        <v>109</v>
      </c>
      <c r="G25" s="36">
        <v>6</v>
      </c>
      <c r="H25" s="36">
        <v>2</v>
      </c>
      <c r="I25" s="36">
        <v>3</v>
      </c>
      <c r="J25" s="36">
        <v>1</v>
      </c>
      <c r="K25" s="36" t="s">
        <v>906</v>
      </c>
      <c r="L25" s="171">
        <f>IFERROR(IF(SEARCH("1",Programplan[[#This Row],[BLOCK]])&gt;0,COUNTA(Programplan[[#This Row],[BLOCK]]),""),"")</f>
        <v>1</v>
      </c>
      <c r="M25" s="172" t="str">
        <f>IFERROR(IF(SEARCH("2",Programplan[[#This Row],[BLOCK]],1)&gt;0,COUNTA(Programplan[[#This Row],[BLOCK]]),""),"")</f>
        <v/>
      </c>
      <c r="N25" s="172" t="str">
        <f>IFERROR(IF(SEARCH("3",Programplan[[#This Row],[BLOCK]],1)&gt;0,COUNTA(Programplan[[#This Row],[BLOCK]]),""),"")</f>
        <v/>
      </c>
      <c r="O25" s="173" t="str">
        <f>IFERROR(IF(SEARCH("4",Programplan[[#This Row],[BLOCK]],1)&gt;0,COUNTA(Programplan[[#This Row],[BLOCK]]),""),"")</f>
        <v/>
      </c>
    </row>
    <row r="26" spans="2:15" ht="20.25" customHeight="1" x14ac:dyDescent="0.3">
      <c r="B26" s="46" t="s">
        <v>154</v>
      </c>
      <c r="C26" s="36"/>
      <c r="D26" s="46" t="s">
        <v>153</v>
      </c>
      <c r="E26" s="46" t="s">
        <v>193</v>
      </c>
      <c r="F26" s="46" t="s">
        <v>109</v>
      </c>
      <c r="G26" s="36">
        <v>10</v>
      </c>
      <c r="H26" s="36">
        <v>2</v>
      </c>
      <c r="I26" s="36">
        <v>3</v>
      </c>
      <c r="J26" s="36">
        <v>2</v>
      </c>
      <c r="K26" s="36" t="s">
        <v>946</v>
      </c>
      <c r="L26" s="171">
        <f>IFERROR(IF(SEARCH("1",Programplan[[#This Row],[BLOCK]])&gt;0,COUNTA(Programplan[[#This Row],[BLOCK]]),""),"")</f>
        <v>1</v>
      </c>
      <c r="M26" s="172" t="str">
        <f>IFERROR(IF(SEARCH("2",Programplan[[#This Row],[BLOCK]],1)&gt;0,COUNTA(Programplan[[#This Row],[BLOCK]]),""),"")</f>
        <v/>
      </c>
      <c r="N26" s="172">
        <f>IFERROR(IF(SEARCH("3",Programplan[[#This Row],[BLOCK]],1)&gt;0,COUNTA(Programplan[[#This Row],[BLOCK]]),""),"")</f>
        <v>1</v>
      </c>
      <c r="O26" s="173" t="str">
        <f>IFERROR(IF(SEARCH("4",Programplan[[#This Row],[BLOCK]],1)&gt;0,COUNTA(Programplan[[#This Row],[BLOCK]]),""),"")</f>
        <v/>
      </c>
    </row>
    <row r="27" spans="2:15" ht="20.25" customHeight="1" x14ac:dyDescent="0.3">
      <c r="B27" s="46" t="s">
        <v>156</v>
      </c>
      <c r="C27" s="36"/>
      <c r="D27" s="46" t="s">
        <v>155</v>
      </c>
      <c r="E27" s="46" t="s">
        <v>193</v>
      </c>
      <c r="F27" s="46" t="s">
        <v>109</v>
      </c>
      <c r="G27" s="36">
        <v>4</v>
      </c>
      <c r="H27" s="36">
        <v>2</v>
      </c>
      <c r="I27" s="36">
        <v>3</v>
      </c>
      <c r="J27" s="36">
        <v>1</v>
      </c>
      <c r="K27" s="36" t="s">
        <v>561</v>
      </c>
      <c r="L27" s="171" t="str">
        <f>IFERROR(IF(SEARCH("1",Programplan[[#This Row],[BLOCK]])&gt;0,COUNTA(Programplan[[#This Row],[BLOCK]]),""),"")</f>
        <v/>
      </c>
      <c r="M27" s="172">
        <f>IFERROR(IF(SEARCH("2",Programplan[[#This Row],[BLOCK]],1)&gt;0,COUNTA(Programplan[[#This Row],[BLOCK]]),""),"")</f>
        <v>1</v>
      </c>
      <c r="N27" s="172" t="str">
        <f>IFERROR(IF(SEARCH("3",Programplan[[#This Row],[BLOCK]],1)&gt;0,COUNTA(Programplan[[#This Row],[BLOCK]]),""),"")</f>
        <v/>
      </c>
      <c r="O27" s="173" t="str">
        <f>IFERROR(IF(SEARCH("4",Programplan[[#This Row],[BLOCK]],1)&gt;0,COUNTA(Programplan[[#This Row],[BLOCK]]),""),"")</f>
        <v/>
      </c>
    </row>
    <row r="28" spans="2:15" ht="20.25" customHeight="1" x14ac:dyDescent="0.3">
      <c r="B28" s="46" t="s">
        <v>326</v>
      </c>
      <c r="C28" s="36"/>
      <c r="D28" s="46" t="s">
        <v>325</v>
      </c>
      <c r="E28" s="46" t="s">
        <v>193</v>
      </c>
      <c r="F28" s="46" t="s">
        <v>110</v>
      </c>
      <c r="G28" s="36">
        <v>4</v>
      </c>
      <c r="H28" s="36">
        <v>2</v>
      </c>
      <c r="I28" s="36">
        <v>3</v>
      </c>
      <c r="J28" s="36" t="s">
        <v>477</v>
      </c>
      <c r="K28" s="36" t="s">
        <v>879</v>
      </c>
      <c r="L28" s="171" t="str">
        <f>IFERROR(IF(SEARCH("1",Programplan[[#This Row],[BLOCK]])&gt;0,COUNTA(Programplan[[#This Row],[BLOCK]]),""),"")</f>
        <v/>
      </c>
      <c r="M28" s="172" t="str">
        <f>IFERROR(IF(SEARCH("2",Programplan[[#This Row],[BLOCK]],1)&gt;0,COUNTA(Programplan[[#This Row],[BLOCK]]),""),"")</f>
        <v/>
      </c>
      <c r="N28" s="172">
        <f>IFERROR(IF(SEARCH("3",Programplan[[#This Row],[BLOCK]],1)&gt;0,COUNTA(Programplan[[#This Row],[BLOCK]]),""),"")</f>
        <v>1</v>
      </c>
      <c r="O28" s="173" t="str">
        <f>IFERROR(IF(SEARCH("4",Programplan[[#This Row],[BLOCK]],1)&gt;0,COUNTA(Programplan[[#This Row],[BLOCK]]),""),"")</f>
        <v/>
      </c>
    </row>
    <row r="29" spans="2:15" ht="20.25" customHeight="1" x14ac:dyDescent="0.3">
      <c r="B29" s="46" t="s">
        <v>160</v>
      </c>
      <c r="C29" s="36"/>
      <c r="D29" s="46" t="s">
        <v>159</v>
      </c>
      <c r="E29" s="46" t="s">
        <v>193</v>
      </c>
      <c r="F29" s="46" t="s">
        <v>109</v>
      </c>
      <c r="G29" s="36">
        <v>6</v>
      </c>
      <c r="H29" s="36">
        <v>2</v>
      </c>
      <c r="I29" s="36">
        <v>3</v>
      </c>
      <c r="J29" s="36" t="s">
        <v>561</v>
      </c>
      <c r="K29" s="36" t="s">
        <v>561</v>
      </c>
      <c r="L29" s="171" t="str">
        <f>IFERROR(IF(SEARCH("1",Programplan[[#This Row],[BLOCK]])&gt;0,COUNTA(Programplan[[#This Row],[BLOCK]]),""),"")</f>
        <v/>
      </c>
      <c r="M29" s="172">
        <f>IFERROR(IF(SEARCH("2",Programplan[[#This Row],[BLOCK]],1)&gt;0,COUNTA(Programplan[[#This Row],[BLOCK]]),""),"")</f>
        <v>1</v>
      </c>
      <c r="N29" s="172" t="str">
        <f>IFERROR(IF(SEARCH("3",Programplan[[#This Row],[BLOCK]],1)&gt;0,COUNTA(Programplan[[#This Row],[BLOCK]]),""),"")</f>
        <v/>
      </c>
      <c r="O29" s="173" t="str">
        <f>IFERROR(IF(SEARCH("4",Programplan[[#This Row],[BLOCK]],1)&gt;0,COUNTA(Programplan[[#This Row],[BLOCK]]),""),"")</f>
        <v/>
      </c>
    </row>
    <row r="30" spans="2:15" ht="20.25" customHeight="1" x14ac:dyDescent="0.3">
      <c r="B30" s="46" t="s">
        <v>164</v>
      </c>
      <c r="C30" s="36"/>
      <c r="D30" s="46" t="s">
        <v>163</v>
      </c>
      <c r="E30" s="46" t="s">
        <v>193</v>
      </c>
      <c r="F30" s="46" t="s">
        <v>110</v>
      </c>
      <c r="G30" s="36">
        <v>6</v>
      </c>
      <c r="H30" s="36">
        <v>2</v>
      </c>
      <c r="I30" s="36">
        <v>4</v>
      </c>
      <c r="J30" s="36" t="s">
        <v>964</v>
      </c>
      <c r="K30" s="36" t="s">
        <v>912</v>
      </c>
      <c r="L30" s="171" t="str">
        <f>IFERROR(IF(SEARCH("1",Programplan[[#This Row],[BLOCK]])&gt;0,COUNTA(Programplan[[#This Row],[BLOCK]]),""),"")</f>
        <v/>
      </c>
      <c r="M30" s="172" t="str">
        <f>IFERROR(IF(SEARCH("2",Programplan[[#This Row],[BLOCK]],1)&gt;0,COUNTA(Programplan[[#This Row],[BLOCK]]),""),"")</f>
        <v/>
      </c>
      <c r="N30" s="172" t="str">
        <f>IFERROR(IF(SEARCH("3",Programplan[[#This Row],[BLOCK]],1)&gt;0,COUNTA(Programplan[[#This Row],[BLOCK]]),""),"")</f>
        <v/>
      </c>
      <c r="O30" s="173">
        <f>IFERROR(IF(SEARCH("4",Programplan[[#This Row],[BLOCK]],1)&gt;0,COUNTA(Programplan[[#This Row],[BLOCK]]),""),"")</f>
        <v>1</v>
      </c>
    </row>
    <row r="31" spans="2:15" ht="20.25" customHeight="1" x14ac:dyDescent="0.3">
      <c r="B31" s="46" t="s">
        <v>166</v>
      </c>
      <c r="C31" s="36"/>
      <c r="D31" s="46" t="s">
        <v>165</v>
      </c>
      <c r="E31" s="46" t="s">
        <v>193</v>
      </c>
      <c r="F31" s="46" t="s">
        <v>110</v>
      </c>
      <c r="G31" s="36">
        <v>6</v>
      </c>
      <c r="H31" s="36">
        <v>2</v>
      </c>
      <c r="I31" s="36">
        <v>4</v>
      </c>
      <c r="J31" s="36" t="s">
        <v>911</v>
      </c>
      <c r="K31" s="36" t="s">
        <v>965</v>
      </c>
      <c r="L31" s="171" t="str">
        <f>IFERROR(IF(SEARCH("1",Programplan[[#This Row],[BLOCK]])&gt;0,COUNTA(Programplan[[#This Row],[BLOCK]]),""),"")</f>
        <v/>
      </c>
      <c r="M31" s="172" t="str">
        <f>IFERROR(IF(SEARCH("2",Programplan[[#This Row],[BLOCK]],1)&gt;0,COUNTA(Programplan[[#This Row],[BLOCK]]),""),"")</f>
        <v/>
      </c>
      <c r="N31" s="172">
        <f>IFERROR(IF(SEARCH("3",Programplan[[#This Row],[BLOCK]],1)&gt;0,COUNTA(Programplan[[#This Row],[BLOCK]]),""),"")</f>
        <v>1</v>
      </c>
      <c r="O31" s="173">
        <f>IFERROR(IF(SEARCH("4",Programplan[[#This Row],[BLOCK]],1)&gt;0,COUNTA(Programplan[[#This Row],[BLOCK]]),""),"")</f>
        <v>1</v>
      </c>
    </row>
    <row r="32" spans="2:15" ht="20.25" customHeight="1" x14ac:dyDescent="0.3">
      <c r="B32" s="46" t="s">
        <v>158</v>
      </c>
      <c r="C32" s="36"/>
      <c r="D32" s="46" t="s">
        <v>157</v>
      </c>
      <c r="E32" s="46" t="s">
        <v>193</v>
      </c>
      <c r="F32" s="46" t="s">
        <v>109</v>
      </c>
      <c r="G32" s="36">
        <v>4</v>
      </c>
      <c r="H32" s="36">
        <v>2</v>
      </c>
      <c r="I32" s="36">
        <v>4</v>
      </c>
      <c r="J32" s="36" t="s">
        <v>478</v>
      </c>
      <c r="K32" s="36" t="s">
        <v>877</v>
      </c>
      <c r="L32" s="171" t="str">
        <f>IFERROR(IF(SEARCH("1",Programplan[[#This Row],[BLOCK]])&gt;0,COUNTA(Programplan[[#This Row],[BLOCK]]),""),"")</f>
        <v/>
      </c>
      <c r="M32" s="172" t="str">
        <f>IFERROR(IF(SEARCH("2",Programplan[[#This Row],[BLOCK]],1)&gt;0,COUNTA(Programplan[[#This Row],[BLOCK]]),""),"")</f>
        <v/>
      </c>
      <c r="N32" s="172" t="str">
        <f>IFERROR(IF(SEARCH("3",Programplan[[#This Row],[BLOCK]],1)&gt;0,COUNTA(Programplan[[#This Row],[BLOCK]]),""),"")</f>
        <v/>
      </c>
      <c r="O32" s="173">
        <f>IFERROR(IF(SEARCH("4",Programplan[[#This Row],[BLOCK]],1)&gt;0,COUNTA(Programplan[[#This Row],[BLOCK]]),""),"")</f>
        <v>1</v>
      </c>
    </row>
    <row r="33" spans="2:15" ht="20.25" customHeight="1" x14ac:dyDescent="0.3">
      <c r="B33" s="46" t="s">
        <v>162</v>
      </c>
      <c r="C33" s="36"/>
      <c r="D33" s="46" t="s">
        <v>161</v>
      </c>
      <c r="E33" s="46" t="s">
        <v>193</v>
      </c>
      <c r="F33" s="46" t="s">
        <v>110</v>
      </c>
      <c r="G33" s="36">
        <v>4</v>
      </c>
      <c r="H33" s="36">
        <v>2</v>
      </c>
      <c r="I33" s="36">
        <v>4</v>
      </c>
      <c r="J33" s="36" t="s">
        <v>478</v>
      </c>
      <c r="K33" s="36" t="s">
        <v>478</v>
      </c>
      <c r="L33" s="171">
        <f>IFERROR(IF(SEARCH("1",Programplan[[#This Row],[BLOCK]])&gt;0,COUNTA(Programplan[[#This Row],[BLOCK]]),""),"")</f>
        <v>1</v>
      </c>
      <c r="M33" s="172" t="str">
        <f>IFERROR(IF(SEARCH("2",Programplan[[#This Row],[BLOCK]],1)&gt;0,COUNTA(Programplan[[#This Row],[BLOCK]]),""),"")</f>
        <v/>
      </c>
      <c r="N33" s="172" t="str">
        <f>IFERROR(IF(SEARCH("3",Programplan[[#This Row],[BLOCK]],1)&gt;0,COUNTA(Programplan[[#This Row],[BLOCK]]),""),"")</f>
        <v/>
      </c>
      <c r="O33" s="173" t="str">
        <f>IFERROR(IF(SEARCH("4",Programplan[[#This Row],[BLOCK]],1)&gt;0,COUNTA(Programplan[[#This Row],[BLOCK]]),""),"")</f>
        <v/>
      </c>
    </row>
    <row r="34" spans="2:15" ht="20.25" customHeight="1" x14ac:dyDescent="0.3">
      <c r="B34" s="46" t="s">
        <v>168</v>
      </c>
      <c r="C34" s="36"/>
      <c r="D34" s="46" t="s">
        <v>167</v>
      </c>
      <c r="E34" s="46" t="s">
        <v>193</v>
      </c>
      <c r="F34" s="46" t="s">
        <v>110</v>
      </c>
      <c r="G34" s="36">
        <v>6</v>
      </c>
      <c r="H34" s="36">
        <v>3</v>
      </c>
      <c r="I34" s="36">
        <v>5</v>
      </c>
      <c r="J34" s="36" t="s">
        <v>906</v>
      </c>
      <c r="K34" s="36" t="s">
        <v>906</v>
      </c>
      <c r="L34" s="171">
        <f>IFERROR(IF(SEARCH("1",Programplan[[#This Row],[BLOCK]])&gt;0,COUNTA(Programplan[[#This Row],[BLOCK]]),""),"")</f>
        <v>1</v>
      </c>
      <c r="M34" s="172" t="str">
        <f>IFERROR(IF(SEARCH("2",Programplan[[#This Row],[BLOCK]],1)&gt;0,COUNTA(Programplan[[#This Row],[BLOCK]]),""),"")</f>
        <v/>
      </c>
      <c r="N34" s="172" t="str">
        <f>IFERROR(IF(SEARCH("3",Programplan[[#This Row],[BLOCK]],1)&gt;0,COUNTA(Programplan[[#This Row],[BLOCK]]),""),"")</f>
        <v/>
      </c>
      <c r="O34" s="173" t="str">
        <f>IFERROR(IF(SEARCH("4",Programplan[[#This Row],[BLOCK]],1)&gt;0,COUNTA(Programplan[[#This Row],[BLOCK]]),""),"")</f>
        <v/>
      </c>
    </row>
    <row r="35" spans="2:15" ht="20.25" customHeight="1" x14ac:dyDescent="0.3">
      <c r="B35" s="46" t="s">
        <v>940</v>
      </c>
      <c r="C35" s="36"/>
      <c r="D35" s="46" t="s">
        <v>169</v>
      </c>
      <c r="E35" s="46" t="s">
        <v>193</v>
      </c>
      <c r="F35" s="46" t="s">
        <v>110</v>
      </c>
      <c r="G35" s="36">
        <v>6</v>
      </c>
      <c r="H35" s="36">
        <v>3</v>
      </c>
      <c r="I35" s="36">
        <v>5</v>
      </c>
      <c r="J35" s="36" t="s">
        <v>906</v>
      </c>
      <c r="K35" s="36" t="s">
        <v>912</v>
      </c>
      <c r="L35" s="171" t="str">
        <f>IFERROR(IF(SEARCH("1",Programplan[[#This Row],[BLOCK]])&gt;0,COUNTA(Programplan[[#This Row],[BLOCK]]),""),"")</f>
        <v/>
      </c>
      <c r="M35" s="172" t="str">
        <f>IFERROR(IF(SEARCH("2",Programplan[[#This Row],[BLOCK]],1)&gt;0,COUNTA(Programplan[[#This Row],[BLOCK]]),""),"")</f>
        <v/>
      </c>
      <c r="N35" s="172" t="str">
        <f>IFERROR(IF(SEARCH("3",Programplan[[#This Row],[BLOCK]],1)&gt;0,COUNTA(Programplan[[#This Row],[BLOCK]]),""),"")</f>
        <v/>
      </c>
      <c r="O35" s="173">
        <f>IFERROR(IF(SEARCH("4",Programplan[[#This Row],[BLOCK]],1)&gt;0,COUNTA(Programplan[[#This Row],[BLOCK]]),""),"")</f>
        <v>1</v>
      </c>
    </row>
    <row r="36" spans="2:15" ht="20.25" customHeight="1" x14ac:dyDescent="0.3">
      <c r="B36" s="46" t="s">
        <v>171</v>
      </c>
      <c r="C36" s="36"/>
      <c r="D36" s="46" t="s">
        <v>170</v>
      </c>
      <c r="E36" s="46" t="s">
        <v>193</v>
      </c>
      <c r="F36" s="46" t="s">
        <v>110</v>
      </c>
      <c r="G36" s="36">
        <v>6</v>
      </c>
      <c r="H36" s="36">
        <v>3</v>
      </c>
      <c r="I36" s="36">
        <v>5</v>
      </c>
      <c r="J36" s="36" t="s">
        <v>911</v>
      </c>
      <c r="K36" s="36" t="s">
        <v>966</v>
      </c>
      <c r="L36" s="171" t="str">
        <f>IFERROR(IF(SEARCH("1",Programplan[[#This Row],[BLOCK]])&gt;0,COUNTA(Programplan[[#This Row],[BLOCK]]),""),"")</f>
        <v/>
      </c>
      <c r="M36" s="172">
        <f>IFERROR(IF(SEARCH("2",Programplan[[#This Row],[BLOCK]],1)&gt;0,COUNTA(Programplan[[#This Row],[BLOCK]]),""),"")</f>
        <v>1</v>
      </c>
      <c r="N36" s="172" t="str">
        <f>IFERROR(IF(SEARCH("3",Programplan[[#This Row],[BLOCK]],1)&gt;0,COUNTA(Programplan[[#This Row],[BLOCK]]),""),"")</f>
        <v/>
      </c>
      <c r="O36" s="173">
        <f>IFERROR(IF(SEARCH("4",Programplan[[#This Row],[BLOCK]],1)&gt;0,COUNTA(Programplan[[#This Row],[BLOCK]]),""),"")</f>
        <v>1</v>
      </c>
    </row>
    <row r="37" spans="2:15" ht="20.25" customHeight="1" x14ac:dyDescent="0.3">
      <c r="B37" s="46" t="s">
        <v>173</v>
      </c>
      <c r="C37" s="36"/>
      <c r="D37" s="46" t="s">
        <v>172</v>
      </c>
      <c r="E37" s="46" t="s">
        <v>193</v>
      </c>
      <c r="F37" s="46" t="s">
        <v>110</v>
      </c>
      <c r="G37" s="36">
        <v>6</v>
      </c>
      <c r="H37" s="36">
        <v>3</v>
      </c>
      <c r="I37" s="36">
        <v>6</v>
      </c>
      <c r="J37" s="36" t="s">
        <v>906</v>
      </c>
      <c r="K37" s="36" t="s">
        <v>912</v>
      </c>
      <c r="L37" s="171" t="str">
        <f>IFERROR(IF(SEARCH("1",Programplan[[#This Row],[BLOCK]])&gt;0,COUNTA(Programplan[[#This Row],[BLOCK]]),""),"")</f>
        <v/>
      </c>
      <c r="M37" s="172" t="str">
        <f>IFERROR(IF(SEARCH("2",Programplan[[#This Row],[BLOCK]],1)&gt;0,COUNTA(Programplan[[#This Row],[BLOCK]]),""),"")</f>
        <v/>
      </c>
      <c r="N37" s="172" t="str">
        <f>IFERROR(IF(SEARCH("3",Programplan[[#This Row],[BLOCK]],1)&gt;0,COUNTA(Programplan[[#This Row],[BLOCK]]),""),"")</f>
        <v/>
      </c>
      <c r="O37" s="173">
        <f>IFERROR(IF(SEARCH("4",Programplan[[#This Row],[BLOCK]],1)&gt;0,COUNTA(Programplan[[#This Row],[BLOCK]]),""),"")</f>
        <v>1</v>
      </c>
    </row>
    <row r="38" spans="2:15" ht="20.25" customHeight="1" x14ac:dyDescent="0.3">
      <c r="B38" s="46" t="s">
        <v>178</v>
      </c>
      <c r="C38" s="36"/>
      <c r="D38" s="46" t="s">
        <v>177</v>
      </c>
      <c r="E38" s="46" t="s">
        <v>193</v>
      </c>
      <c r="F38" s="46" t="s">
        <v>114</v>
      </c>
      <c r="G38" s="36">
        <v>6</v>
      </c>
      <c r="H38" s="36">
        <v>4</v>
      </c>
      <c r="I38" s="36">
        <v>8</v>
      </c>
      <c r="J38" s="36" t="s">
        <v>914</v>
      </c>
      <c r="K38" s="36" t="s">
        <v>924</v>
      </c>
      <c r="L38" s="171" t="str">
        <f>IFERROR(IF(SEARCH("1",Programplan[[#This Row],[BLOCK]])&gt;0,COUNTA(Programplan[[#This Row],[BLOCK]]),""),"")</f>
        <v/>
      </c>
      <c r="M38" s="172" t="str">
        <f>IFERROR(IF(SEARCH("2",Programplan[[#This Row],[BLOCK]],1)&gt;0,COUNTA(Programplan[[#This Row],[BLOCK]]),""),"")</f>
        <v/>
      </c>
      <c r="N38" s="172" t="str">
        <f>IFERROR(IF(SEARCH("3",Programplan[[#This Row],[BLOCK]],1)&gt;0,COUNTA(Programplan[[#This Row],[BLOCK]]),""),"")</f>
        <v/>
      </c>
      <c r="O38" s="173" t="str">
        <f>IFERROR(IF(SEARCH("4",Programplan[[#This Row],[BLOCK]],1)&gt;0,COUNTA(Programplan[[#This Row],[BLOCK]]),""),"")</f>
        <v/>
      </c>
    </row>
    <row r="39" spans="2:15" ht="20.25" customHeight="1" x14ac:dyDescent="0.3">
      <c r="C39" s="36"/>
      <c r="G39" s="36"/>
      <c r="H39" s="36"/>
      <c r="I39" s="36"/>
      <c r="J39" s="36"/>
      <c r="K39" s="36"/>
      <c r="L39" s="171"/>
      <c r="M39" s="172"/>
      <c r="N39" s="172"/>
      <c r="O39" s="173"/>
    </row>
    <row r="40" spans="2:15" ht="20.25" customHeight="1" x14ac:dyDescent="0.3">
      <c r="C40" s="36"/>
      <c r="G40" s="36"/>
      <c r="H40" s="36"/>
      <c r="I40" s="36"/>
      <c r="J40" s="36"/>
      <c r="K40" s="36"/>
      <c r="L40" s="171"/>
      <c r="M40" s="172"/>
      <c r="N40" s="172"/>
      <c r="O40" s="173"/>
    </row>
    <row r="41" spans="2:15" ht="20.25" customHeight="1" x14ac:dyDescent="0.3">
      <c r="C41" s="36"/>
      <c r="G41" s="36"/>
      <c r="H41" s="36"/>
      <c r="I41" s="36"/>
      <c r="J41" s="36"/>
      <c r="K41" s="36"/>
      <c r="L41" s="171"/>
      <c r="M41" s="172"/>
      <c r="N41" s="172"/>
      <c r="O41" s="173"/>
    </row>
    <row r="42" spans="2:15" ht="20.25" customHeight="1" x14ac:dyDescent="0.3">
      <c r="C42" s="36"/>
      <c r="G42" s="36"/>
      <c r="H42" s="36"/>
      <c r="I42" s="36"/>
      <c r="J42" s="36"/>
      <c r="K42" s="36"/>
      <c r="L42" s="177"/>
      <c r="M42" s="173"/>
      <c r="N42" s="173"/>
      <c r="O42" s="173"/>
    </row>
    <row r="43" spans="2:15" ht="20.25" customHeight="1" x14ac:dyDescent="0.3">
      <c r="C43" s="36"/>
      <c r="G43" s="36"/>
      <c r="H43" s="36"/>
      <c r="I43" s="36"/>
      <c r="J43" s="36"/>
      <c r="K43" s="36"/>
      <c r="L43" s="177"/>
      <c r="M43" s="173"/>
      <c r="N43" s="173"/>
      <c r="O43" s="173"/>
    </row>
    <row r="44" spans="2:15" ht="20.25" customHeight="1" x14ac:dyDescent="0.3">
      <c r="C44" s="36"/>
      <c r="G44" s="36"/>
      <c r="H44" s="36"/>
      <c r="I44" s="36"/>
      <c r="J44" s="36"/>
      <c r="K44" s="36"/>
      <c r="L44" s="177"/>
      <c r="M44" s="173"/>
      <c r="N44" s="173"/>
      <c r="O44" s="173"/>
    </row>
    <row r="45" spans="2:15" ht="20.25" customHeight="1" x14ac:dyDescent="0.3">
      <c r="C45" s="36"/>
      <c r="G45" s="36"/>
      <c r="H45" s="36"/>
      <c r="I45" s="36"/>
      <c r="J45" s="36"/>
      <c r="K45" s="36"/>
      <c r="L45" s="177"/>
      <c r="M45" s="173"/>
      <c r="N45" s="173"/>
      <c r="O45" s="173"/>
    </row>
    <row r="46" spans="2:15" ht="20.25" customHeight="1" x14ac:dyDescent="0.3">
      <c r="C46" s="36"/>
      <c r="G46" s="36"/>
      <c r="H46" s="36"/>
      <c r="I46" s="36"/>
      <c r="J46" s="36"/>
      <c r="K46" s="36"/>
      <c r="L46" s="177"/>
      <c r="M46" s="173"/>
      <c r="N46" s="173"/>
      <c r="O46" s="173"/>
    </row>
    <row r="47" spans="2:15" ht="20.25" customHeight="1" x14ac:dyDescent="0.3">
      <c r="C47" s="36"/>
      <c r="G47" s="36"/>
      <c r="H47" s="36"/>
      <c r="I47" s="36"/>
      <c r="J47" s="36"/>
      <c r="K47" s="36"/>
      <c r="L47" s="177"/>
      <c r="M47" s="173"/>
      <c r="N47" s="173"/>
      <c r="O47" s="173"/>
    </row>
    <row r="48" spans="2:15" ht="20.25" customHeight="1" x14ac:dyDescent="0.3">
      <c r="C48" s="36"/>
      <c r="G48" s="36"/>
      <c r="H48" s="36"/>
      <c r="I48" s="36"/>
      <c r="J48" s="36"/>
      <c r="K48" s="36"/>
      <c r="L48" s="177"/>
      <c r="M48" s="173"/>
      <c r="N48" s="173"/>
      <c r="O48" s="173"/>
    </row>
    <row r="49" spans="2:15" ht="20.25" customHeight="1" x14ac:dyDescent="0.3">
      <c r="C49" s="36"/>
      <c r="G49" s="36"/>
      <c r="H49" s="36"/>
      <c r="I49" s="36"/>
      <c r="J49" s="36"/>
      <c r="K49" s="36"/>
      <c r="L49" s="177"/>
      <c r="M49" s="173"/>
      <c r="N49" s="173"/>
      <c r="O49" s="173"/>
    </row>
    <row r="50" spans="2:15" ht="20.25" customHeight="1" x14ac:dyDescent="0.3">
      <c r="C50" s="36"/>
      <c r="G50" s="36"/>
      <c r="H50" s="36"/>
      <c r="I50" s="36"/>
      <c r="J50" s="36"/>
      <c r="K50" s="36"/>
      <c r="L50" s="177"/>
      <c r="M50" s="173"/>
      <c r="N50" s="173"/>
      <c r="O50" s="173"/>
    </row>
    <row r="51" spans="2:15" ht="20.25" customHeight="1" x14ac:dyDescent="0.3">
      <c r="C51" s="36"/>
      <c r="G51" s="36"/>
      <c r="H51" s="36"/>
      <c r="I51" s="36"/>
      <c r="J51" s="36"/>
      <c r="K51" s="36"/>
      <c r="L51" s="177"/>
      <c r="M51" s="173"/>
      <c r="N51" s="173"/>
      <c r="O51" s="173"/>
    </row>
    <row r="52" spans="2:15" ht="20.25" customHeight="1" x14ac:dyDescent="0.3">
      <c r="C52" s="36"/>
      <c r="G52" s="36"/>
      <c r="H52" s="36"/>
      <c r="I52" s="36"/>
      <c r="J52" s="36"/>
      <c r="K52" s="36"/>
      <c r="L52" s="177"/>
      <c r="M52" s="173"/>
      <c r="N52" s="173"/>
      <c r="O52" s="173"/>
    </row>
    <row r="53" spans="2:15" ht="20.25" customHeight="1" x14ac:dyDescent="0.3">
      <c r="C53" s="36"/>
      <c r="G53" s="36"/>
      <c r="H53" s="36"/>
      <c r="I53" s="36"/>
      <c r="J53" s="36"/>
      <c r="K53" s="36"/>
      <c r="L53" s="177"/>
      <c r="M53" s="173"/>
      <c r="N53" s="173"/>
      <c r="O53" s="173"/>
    </row>
    <row r="54" spans="2:15" ht="20.25" customHeight="1" x14ac:dyDescent="0.3">
      <c r="C54" s="36"/>
      <c r="G54" s="36"/>
      <c r="H54" s="36"/>
      <c r="I54" s="36"/>
      <c r="J54" s="36"/>
      <c r="K54" s="36"/>
      <c r="L54" s="177"/>
      <c r="M54" s="173"/>
      <c r="N54" s="173"/>
      <c r="O54" s="173"/>
    </row>
    <row r="55" spans="2:15" ht="20.25" customHeight="1" x14ac:dyDescent="0.3">
      <c r="C55" s="36"/>
      <c r="G55" s="36"/>
      <c r="H55" s="36"/>
      <c r="I55" s="36"/>
      <c r="J55" s="36"/>
      <c r="K55" s="36"/>
      <c r="L55" s="177"/>
      <c r="M55" s="173"/>
      <c r="N55" s="173"/>
      <c r="O55" s="173"/>
    </row>
    <row r="56" spans="2:15" ht="20.25" customHeight="1" x14ac:dyDescent="0.3">
      <c r="C56" s="36"/>
      <c r="G56" s="36"/>
      <c r="H56" s="36"/>
      <c r="I56" s="36"/>
      <c r="J56" s="36"/>
      <c r="K56" s="36"/>
      <c r="L56" s="177"/>
      <c r="M56" s="173"/>
      <c r="N56" s="173"/>
      <c r="O56" s="173"/>
    </row>
    <row r="57" spans="2:15" ht="20.25" customHeight="1" x14ac:dyDescent="0.3">
      <c r="C57" s="36"/>
      <c r="G57" s="36"/>
      <c r="H57" s="36"/>
      <c r="I57" s="36"/>
      <c r="J57" s="36"/>
      <c r="K57" s="36"/>
      <c r="L57" s="177"/>
      <c r="M57" s="173"/>
      <c r="N57" s="173"/>
      <c r="O57" s="173"/>
    </row>
    <row r="58" spans="2:15" ht="20.25" customHeight="1" x14ac:dyDescent="0.3">
      <c r="B58" s="178"/>
      <c r="C58" s="179"/>
      <c r="D58" s="178"/>
      <c r="E58" s="178"/>
      <c r="F58" s="178"/>
      <c r="G58" s="179"/>
      <c r="H58" s="179"/>
      <c r="I58" s="179"/>
      <c r="J58" s="179"/>
      <c r="K58" s="179"/>
      <c r="L58" s="180"/>
      <c r="M58" s="181"/>
      <c r="N58" s="181"/>
      <c r="O58" s="181"/>
    </row>
    <row r="59" spans="2:15" ht="20.25" customHeight="1" x14ac:dyDescent="0.3">
      <c r="B59" s="178"/>
      <c r="C59" s="179"/>
      <c r="D59" s="178"/>
      <c r="E59" s="178"/>
      <c r="F59" s="178"/>
      <c r="G59" s="179"/>
      <c r="H59" s="179"/>
      <c r="I59" s="179"/>
      <c r="J59" s="179"/>
      <c r="K59" s="179"/>
      <c r="L59" s="180"/>
      <c r="M59" s="181"/>
      <c r="N59" s="181"/>
      <c r="O59" s="181"/>
    </row>
    <row r="60" spans="2:15" ht="20.25" customHeight="1" x14ac:dyDescent="0.3">
      <c r="C60" s="36"/>
      <c r="G60" s="36"/>
      <c r="H60" s="36"/>
      <c r="I60" s="36"/>
      <c r="J60" s="36"/>
      <c r="K60" s="36"/>
      <c r="L60" s="177"/>
      <c r="M60" s="173"/>
      <c r="N60" s="173"/>
      <c r="O60" s="173"/>
    </row>
    <row r="61" spans="2:15" ht="20.25" customHeight="1" x14ac:dyDescent="0.3">
      <c r="C61" s="36"/>
      <c r="G61" s="36"/>
      <c r="H61" s="36"/>
      <c r="I61" s="36"/>
      <c r="J61" s="36"/>
      <c r="K61" s="36"/>
      <c r="L61" s="171"/>
      <c r="M61" s="172"/>
      <c r="N61" s="172"/>
      <c r="O61" s="173"/>
    </row>
    <row r="62" spans="2:15" ht="20.25" customHeight="1" x14ac:dyDescent="0.3">
      <c r="C62" s="36"/>
      <c r="G62" s="36"/>
      <c r="H62" s="36"/>
      <c r="I62" s="36"/>
      <c r="J62" s="36"/>
      <c r="K62" s="36"/>
      <c r="L62" s="87"/>
      <c r="M62" s="87"/>
      <c r="N62" s="87"/>
    </row>
    <row r="63" spans="2:15" ht="20.25" customHeight="1" x14ac:dyDescent="0.3">
      <c r="B63"/>
      <c r="C63"/>
      <c r="D63"/>
      <c r="E63"/>
      <c r="F63"/>
      <c r="G63"/>
      <c r="H63"/>
      <c r="I63"/>
      <c r="J63"/>
      <c r="K63"/>
      <c r="L63" s="87"/>
      <c r="M63" s="87"/>
      <c r="N63" s="87"/>
    </row>
    <row r="64" spans="2:15" ht="20.25" customHeight="1" x14ac:dyDescent="0.3">
      <c r="C64" s="36"/>
      <c r="G64" s="36"/>
      <c r="H64" s="36"/>
      <c r="I64" s="36"/>
      <c r="J64" s="36"/>
      <c r="K64" s="36"/>
      <c r="L64" s="87"/>
      <c r="M64" s="87"/>
      <c r="N64" s="87"/>
    </row>
    <row r="65" spans="2:14" ht="20.25" customHeight="1" x14ac:dyDescent="0.3">
      <c r="C65" s="36"/>
      <c r="G65" s="36"/>
      <c r="H65" s="36"/>
      <c r="I65" s="36"/>
      <c r="J65" s="36"/>
      <c r="K65" s="36"/>
      <c r="L65" s="87"/>
      <c r="M65" s="87"/>
      <c r="N65" s="87"/>
    </row>
    <row r="66" spans="2:14" ht="20.25" customHeight="1" x14ac:dyDescent="0.3">
      <c r="B66"/>
      <c r="C66"/>
      <c r="D66"/>
      <c r="E66"/>
      <c r="F66"/>
      <c r="G66"/>
      <c r="H66"/>
      <c r="I66"/>
      <c r="J66"/>
      <c r="K66"/>
      <c r="L66" s="87"/>
      <c r="M66" s="87"/>
      <c r="N66" s="87"/>
    </row>
    <row r="67" spans="2:14" ht="20.25" customHeight="1" x14ac:dyDescent="0.3">
      <c r="C67" s="36"/>
      <c r="G67" s="36"/>
      <c r="H67" s="36"/>
      <c r="I67" s="36"/>
      <c r="J67" s="36"/>
      <c r="K67" s="36"/>
      <c r="L67" s="87"/>
      <c r="M67" s="87"/>
      <c r="N67" s="87"/>
    </row>
    <row r="68" spans="2:14" ht="20.25" customHeight="1" x14ac:dyDescent="0.3">
      <c r="C68" s="36"/>
      <c r="G68" s="36"/>
      <c r="H68" s="36"/>
      <c r="I68" s="36"/>
      <c r="J68" s="36"/>
      <c r="K68" s="36"/>
      <c r="L68" s="87"/>
      <c r="M68" s="87"/>
      <c r="N68" s="87"/>
    </row>
    <row r="69" spans="2:14" ht="20.25" customHeight="1" x14ac:dyDescent="0.3">
      <c r="B69"/>
      <c r="C69"/>
      <c r="D69"/>
      <c r="E69"/>
      <c r="F69"/>
      <c r="G69"/>
      <c r="H69"/>
      <c r="I69"/>
      <c r="J69"/>
      <c r="K69"/>
      <c r="L69" s="87"/>
      <c r="M69" s="87"/>
      <c r="N69" s="87"/>
    </row>
    <row r="70" spans="2:14" ht="20.25" customHeight="1" x14ac:dyDescent="0.3">
      <c r="C70" s="36"/>
      <c r="G70" s="36"/>
      <c r="H70" s="36"/>
      <c r="I70" s="36"/>
      <c r="J70" s="36"/>
      <c r="K70" s="36"/>
      <c r="L70" s="87"/>
      <c r="M70" s="87"/>
      <c r="N70" s="87"/>
    </row>
    <row r="71" spans="2:14" ht="20.25" customHeight="1" x14ac:dyDescent="0.3">
      <c r="C71" s="36"/>
      <c r="G71" s="36"/>
      <c r="H71" s="36"/>
      <c r="I71" s="36"/>
      <c r="J71" s="36"/>
      <c r="K71" s="36"/>
      <c r="L71" s="87"/>
      <c r="M71" s="87"/>
      <c r="N71" s="87"/>
    </row>
    <row r="72" spans="2:14" ht="20.25" customHeight="1" x14ac:dyDescent="0.3">
      <c r="C72" s="36"/>
      <c r="G72" s="36"/>
      <c r="H72" s="36"/>
      <c r="I72" s="36"/>
      <c r="J72" s="36"/>
      <c r="K72" s="36"/>
      <c r="L72" s="87"/>
      <c r="M72" s="87"/>
      <c r="N72" s="87"/>
    </row>
    <row r="73" spans="2:14" ht="20.25" customHeight="1" x14ac:dyDescent="0.3">
      <c r="B73"/>
      <c r="C73"/>
      <c r="D73"/>
      <c r="E73"/>
      <c r="F73"/>
      <c r="G73"/>
      <c r="H73"/>
      <c r="I73"/>
      <c r="J73"/>
      <c r="K73"/>
      <c r="L73" s="87"/>
      <c r="M73" s="87"/>
      <c r="N73" s="87"/>
    </row>
    <row r="74" spans="2:14" ht="20.25" customHeight="1" x14ac:dyDescent="0.3">
      <c r="C74" s="36"/>
      <c r="G74" s="36"/>
      <c r="H74" s="36"/>
      <c r="I74" s="36"/>
      <c r="J74" s="36"/>
      <c r="K74" s="36"/>
      <c r="L74" s="87"/>
      <c r="M74" s="87"/>
      <c r="N74" s="87"/>
    </row>
    <row r="75" spans="2:14" ht="20.25" customHeight="1" x14ac:dyDescent="0.3">
      <c r="C75" s="36"/>
      <c r="G75" s="36"/>
      <c r="H75" s="36"/>
      <c r="I75" s="36"/>
      <c r="J75" s="36"/>
      <c r="K75" s="36"/>
      <c r="L75" s="87"/>
      <c r="M75" s="87"/>
      <c r="N75" s="87"/>
    </row>
    <row r="76" spans="2:14" ht="20.25" customHeight="1" x14ac:dyDescent="0.3">
      <c r="B76"/>
      <c r="C76"/>
      <c r="D76"/>
      <c r="E76"/>
      <c r="F76"/>
      <c r="G76"/>
      <c r="H76"/>
      <c r="I76"/>
      <c r="J76"/>
      <c r="K76"/>
      <c r="L76" s="87"/>
      <c r="M76" s="87"/>
      <c r="N76" s="87"/>
    </row>
    <row r="77" spans="2:14" ht="20.25" customHeight="1" x14ac:dyDescent="0.3">
      <c r="C77" s="36"/>
      <c r="G77" s="36"/>
      <c r="H77" s="36"/>
      <c r="I77" s="36"/>
      <c r="J77" s="36"/>
      <c r="K77" s="36"/>
      <c r="L77" s="87"/>
      <c r="M77" s="87"/>
      <c r="N77" s="87"/>
    </row>
    <row r="78" spans="2:14" ht="20.25" customHeight="1" x14ac:dyDescent="0.3">
      <c r="C78" s="36"/>
      <c r="G78" s="36"/>
      <c r="H78" s="36"/>
      <c r="I78" s="36"/>
      <c r="J78" s="36"/>
      <c r="K78" s="36"/>
      <c r="L78" s="87"/>
      <c r="M78" s="87"/>
      <c r="N78" s="87"/>
    </row>
    <row r="79" spans="2:14" ht="20.25" customHeight="1" x14ac:dyDescent="0.3">
      <c r="C79" s="36"/>
      <c r="G79" s="36"/>
      <c r="H79" s="36"/>
      <c r="I79" s="36"/>
      <c r="J79" s="36"/>
      <c r="K79" s="36"/>
      <c r="L79" s="87"/>
      <c r="M79" s="87"/>
      <c r="N79" s="87"/>
    </row>
    <row r="80" spans="2:14" ht="20.25" customHeight="1" x14ac:dyDescent="0.3">
      <c r="C80" s="36"/>
      <c r="G80" s="36"/>
      <c r="H80" s="36"/>
      <c r="I80" s="36"/>
      <c r="J80" s="36"/>
      <c r="K80" s="36"/>
      <c r="L80" s="87"/>
      <c r="M80" s="87"/>
      <c r="N80" s="87"/>
    </row>
    <row r="81" spans="2:14" ht="20.25" customHeight="1" x14ac:dyDescent="0.3">
      <c r="C81" s="36"/>
      <c r="G81" s="36"/>
      <c r="H81" s="36"/>
      <c r="I81" s="36"/>
      <c r="J81" s="36"/>
      <c r="K81" s="36"/>
      <c r="L81" s="87"/>
      <c r="M81" s="87"/>
      <c r="N81" s="87"/>
    </row>
    <row r="82" spans="2:14" ht="20.25" customHeight="1" x14ac:dyDescent="0.3">
      <c r="C82" s="36"/>
      <c r="G82" s="36"/>
      <c r="H82" s="36"/>
      <c r="I82" s="36"/>
      <c r="J82" s="36"/>
      <c r="K82" s="36"/>
      <c r="L82" s="87"/>
      <c r="M82" s="87"/>
      <c r="N82" s="87"/>
    </row>
    <row r="83" spans="2:14" ht="18" customHeight="1" x14ac:dyDescent="0.3">
      <c r="B83" s="59"/>
      <c r="C83" s="59"/>
      <c r="D83" s="59"/>
      <c r="E83" s="59"/>
      <c r="F83" s="59"/>
      <c r="G83" s="61"/>
      <c r="H83" s="61"/>
      <c r="I83" s="61"/>
      <c r="J83" s="61"/>
      <c r="K83" s="61"/>
      <c r="L83" s="61"/>
      <c r="M83" s="61"/>
    </row>
    <row r="84" spans="2:14" ht="18" customHeight="1" x14ac:dyDescent="0.3">
      <c r="B84" s="59"/>
      <c r="C84" s="59"/>
      <c r="D84" s="59"/>
      <c r="E84" s="59"/>
      <c r="F84" s="59"/>
      <c r="G84" s="61"/>
      <c r="H84" s="61"/>
      <c r="I84" s="61"/>
      <c r="J84" s="61"/>
      <c r="K84" s="61"/>
      <c r="L84" s="61"/>
      <c r="M84" s="61"/>
    </row>
    <row r="85" spans="2:14" ht="18" customHeight="1" x14ac:dyDescent="0.3">
      <c r="B85" s="59"/>
      <c r="C85" s="59"/>
      <c r="D85" s="59"/>
      <c r="E85" s="59"/>
      <c r="F85" s="59"/>
      <c r="G85" s="61"/>
      <c r="H85" s="61"/>
      <c r="I85" s="61"/>
      <c r="J85" s="61"/>
      <c r="K85" s="61"/>
      <c r="L85" s="61"/>
      <c r="M85" s="61"/>
    </row>
    <row r="86" spans="2:14" ht="18" customHeight="1" x14ac:dyDescent="0.3">
      <c r="B86" s="59"/>
      <c r="C86" s="59"/>
      <c r="D86" s="59"/>
      <c r="E86" s="59"/>
      <c r="F86" s="59"/>
      <c r="G86" s="61"/>
      <c r="H86" s="61"/>
      <c r="I86" s="61"/>
      <c r="J86" s="61"/>
      <c r="K86" s="61"/>
      <c r="L86" s="61"/>
      <c r="M86" s="61"/>
    </row>
    <row r="87" spans="2:14" ht="18" customHeight="1" x14ac:dyDescent="0.3">
      <c r="B87" s="59"/>
      <c r="C87" s="59"/>
      <c r="D87" s="59"/>
      <c r="E87" s="59"/>
      <c r="F87" s="59"/>
      <c r="G87" s="61"/>
      <c r="H87" s="61"/>
      <c r="I87" s="61"/>
      <c r="J87" s="61"/>
      <c r="K87" s="61"/>
      <c r="L87" s="61"/>
      <c r="M87" s="61"/>
    </row>
    <row r="88" spans="2:14" ht="18" customHeight="1" x14ac:dyDescent="0.3">
      <c r="B88" s="59"/>
      <c r="C88" s="59"/>
      <c r="D88" s="59"/>
      <c r="E88" s="59"/>
      <c r="F88" s="59"/>
      <c r="G88" s="61"/>
      <c r="H88" s="61"/>
      <c r="I88" s="61"/>
      <c r="J88" s="61"/>
      <c r="K88" s="61"/>
      <c r="L88" s="61"/>
      <c r="M88" s="61"/>
    </row>
    <row r="89" spans="2:14" ht="18" customHeight="1" x14ac:dyDescent="0.3">
      <c r="B89" s="59"/>
      <c r="C89" s="59"/>
      <c r="D89" s="59"/>
      <c r="E89" s="59"/>
      <c r="F89" s="59"/>
      <c r="G89" s="61"/>
      <c r="H89" s="61"/>
      <c r="I89" s="61"/>
      <c r="J89" s="61"/>
      <c r="K89" s="61"/>
      <c r="L89" s="36"/>
      <c r="M89" s="36"/>
    </row>
    <row r="90" spans="2:14" ht="18" customHeight="1" x14ac:dyDescent="0.3">
      <c r="G90" s="36"/>
      <c r="H90" s="36"/>
      <c r="I90" s="36"/>
      <c r="J90" s="36"/>
      <c r="K90" s="36"/>
      <c r="L90" s="36"/>
      <c r="M90" s="36"/>
    </row>
    <row r="91" spans="2:14" ht="18" customHeight="1" x14ac:dyDescent="0.3">
      <c r="G91" s="36"/>
      <c r="H91" s="36"/>
      <c r="I91" s="36"/>
      <c r="J91" s="36"/>
      <c r="K91" s="36"/>
      <c r="L91" s="36"/>
      <c r="M91" s="36"/>
    </row>
    <row r="92" spans="2:14" ht="18" customHeight="1" x14ac:dyDescent="0.3">
      <c r="G92" s="36"/>
      <c r="H92" s="36"/>
      <c r="I92" s="36"/>
      <c r="J92" s="36"/>
      <c r="K92" s="36"/>
      <c r="L92" s="36"/>
      <c r="M92" s="36"/>
    </row>
    <row r="93" spans="2:14" ht="18" customHeight="1" x14ac:dyDescent="0.3">
      <c r="G93" s="36"/>
      <c r="H93" s="36"/>
      <c r="I93" s="36"/>
      <c r="J93" s="36"/>
      <c r="K93" s="36"/>
      <c r="L93" s="36"/>
      <c r="M93" s="36"/>
    </row>
    <row r="94" spans="2:14" ht="18" customHeight="1" x14ac:dyDescent="0.3">
      <c r="G94" s="36"/>
      <c r="H94" s="36"/>
      <c r="I94" s="36"/>
      <c r="J94" s="36"/>
      <c r="K94" s="36"/>
      <c r="L94"/>
      <c r="M94"/>
    </row>
    <row r="95" spans="2:14" ht="18" customHeight="1" x14ac:dyDescent="0.3">
      <c r="B95"/>
      <c r="C95"/>
      <c r="D95"/>
      <c r="E95"/>
      <c r="F95"/>
      <c r="G95"/>
      <c r="H95"/>
      <c r="I95"/>
      <c r="J95"/>
      <c r="K95"/>
      <c r="L95" s="36"/>
      <c r="M95" s="36"/>
    </row>
    <row r="96" spans="2:14" ht="18" customHeight="1" x14ac:dyDescent="0.3">
      <c r="G96" s="36"/>
      <c r="H96" s="36"/>
      <c r="I96" s="36"/>
      <c r="J96" s="36"/>
      <c r="K96" s="36"/>
      <c r="L96" s="61"/>
      <c r="M96" s="61"/>
    </row>
    <row r="97" spans="2:13" ht="18" customHeight="1" x14ac:dyDescent="0.3">
      <c r="B97" s="59"/>
      <c r="C97" s="59"/>
      <c r="D97" s="59"/>
      <c r="E97" s="59"/>
      <c r="F97" s="59"/>
      <c r="G97" s="61"/>
      <c r="H97" s="61"/>
      <c r="I97" s="61"/>
      <c r="J97" s="61"/>
      <c r="K97" s="61"/>
      <c r="L97" s="61"/>
      <c r="M97" s="61"/>
    </row>
    <row r="98" spans="2:13" ht="18" customHeight="1" x14ac:dyDescent="0.3">
      <c r="B98" s="59"/>
      <c r="C98" s="59"/>
      <c r="D98" s="59"/>
      <c r="E98" s="59"/>
      <c r="F98" s="59"/>
      <c r="G98" s="61"/>
      <c r="H98" s="61"/>
      <c r="I98" s="61"/>
      <c r="J98" s="61"/>
      <c r="K98" s="61"/>
      <c r="L98" s="61"/>
      <c r="M98" s="61"/>
    </row>
    <row r="99" spans="2:13" ht="18" customHeight="1" x14ac:dyDescent="0.3">
      <c r="B99" s="59"/>
      <c r="C99" s="59"/>
      <c r="D99" s="59"/>
      <c r="E99" s="59"/>
      <c r="F99" s="59"/>
      <c r="G99" s="61"/>
      <c r="H99" s="61"/>
      <c r="I99" s="61"/>
      <c r="J99" s="61"/>
      <c r="K99" s="61"/>
      <c r="L99" s="61"/>
      <c r="M99" s="61"/>
    </row>
    <row r="100" spans="2:13" ht="18" customHeight="1" x14ac:dyDescent="0.3">
      <c r="B100" s="59"/>
      <c r="C100" s="59"/>
      <c r="D100" s="59"/>
      <c r="E100" s="59"/>
      <c r="F100" s="59"/>
      <c r="G100" s="61"/>
      <c r="H100" s="61"/>
      <c r="I100" s="61"/>
      <c r="J100" s="61"/>
      <c r="K100" s="61"/>
      <c r="L100" s="36"/>
      <c r="M100" s="36"/>
    </row>
    <row r="101" spans="2:13" ht="18" customHeight="1" x14ac:dyDescent="0.3">
      <c r="G101" s="36"/>
      <c r="H101" s="36"/>
      <c r="I101" s="36"/>
      <c r="J101" s="36"/>
      <c r="K101" s="36"/>
      <c r="L101" s="36"/>
      <c r="M101" s="36"/>
    </row>
    <row r="102" spans="2:13" ht="18" customHeight="1" x14ac:dyDescent="0.3">
      <c r="G102" s="36"/>
      <c r="H102" s="36"/>
      <c r="I102" s="36"/>
      <c r="J102" s="36"/>
      <c r="K102" s="36"/>
      <c r="L102" s="36"/>
      <c r="M102" s="36"/>
    </row>
    <row r="103" spans="2:13" ht="18" customHeight="1" x14ac:dyDescent="0.3">
      <c r="G103" s="36"/>
      <c r="H103" s="36"/>
      <c r="I103" s="36"/>
      <c r="J103" s="36"/>
      <c r="K103" s="36"/>
      <c r="L103" s="36"/>
      <c r="M103" s="36"/>
    </row>
    <row r="104" spans="2:13" ht="18" customHeight="1" x14ac:dyDescent="0.3">
      <c r="G104" s="36"/>
      <c r="H104" s="36"/>
      <c r="I104" s="36"/>
      <c r="J104" s="36"/>
      <c r="K104" s="36"/>
      <c r="L104" s="36"/>
      <c r="M104" s="36"/>
    </row>
    <row r="105" spans="2:13" ht="18" customHeight="1" x14ac:dyDescent="0.3">
      <c r="G105" s="36"/>
      <c r="H105" s="36"/>
      <c r="I105" s="36"/>
      <c r="J105" s="36"/>
      <c r="K105" s="36"/>
      <c r="L105" s="36"/>
      <c r="M105" s="36"/>
    </row>
    <row r="106" spans="2:13" ht="18" customHeight="1" x14ac:dyDescent="0.3">
      <c r="G106" s="36"/>
      <c r="H106" s="36"/>
      <c r="I106" s="36"/>
      <c r="J106" s="36"/>
      <c r="K106" s="36"/>
      <c r="L106" s="36"/>
      <c r="M106" s="36"/>
    </row>
    <row r="107" spans="2:13" ht="18" customHeight="1" x14ac:dyDescent="0.3">
      <c r="G107" s="36"/>
      <c r="H107" s="36"/>
      <c r="I107" s="36"/>
      <c r="J107" s="36"/>
      <c r="K107" s="36"/>
      <c r="L107" s="36"/>
      <c r="M107" s="36"/>
    </row>
    <row r="108" spans="2:13" ht="18" customHeight="1" x14ac:dyDescent="0.3">
      <c r="G108" s="36"/>
      <c r="H108" s="36"/>
      <c r="I108" s="36"/>
      <c r="J108" s="36"/>
      <c r="K108" s="36"/>
      <c r="L108" s="36"/>
      <c r="M108" s="36"/>
    </row>
    <row r="109" spans="2:13" ht="18" customHeight="1" x14ac:dyDescent="0.3">
      <c r="G109" s="36"/>
      <c r="H109" s="36"/>
      <c r="I109" s="36"/>
      <c r="J109" s="36"/>
      <c r="K109" s="36"/>
      <c r="L109" s="36"/>
      <c r="M109" s="36"/>
    </row>
    <row r="110" spans="2:13" ht="18" customHeight="1" x14ac:dyDescent="0.3">
      <c r="G110" s="36"/>
      <c r="H110" s="36"/>
      <c r="I110" s="36"/>
      <c r="J110" s="36"/>
      <c r="K110" s="36"/>
      <c r="L110" s="36"/>
      <c r="M110" s="36"/>
    </row>
    <row r="111" spans="2:13" ht="18" customHeight="1" x14ac:dyDescent="0.3">
      <c r="G111" s="36"/>
      <c r="H111" s="36"/>
      <c r="I111" s="36"/>
      <c r="J111" s="36"/>
      <c r="K111" s="36"/>
      <c r="L111" s="36"/>
      <c r="M111" s="36"/>
    </row>
    <row r="112" spans="2:13" ht="18" customHeight="1" x14ac:dyDescent="0.3">
      <c r="G112" s="36"/>
      <c r="H112" s="36"/>
      <c r="I112" s="36"/>
      <c r="J112" s="36"/>
      <c r="K112" s="36"/>
      <c r="L112" s="61"/>
      <c r="M112" s="61"/>
    </row>
    <row r="113" spans="2:13" ht="18" customHeight="1" x14ac:dyDescent="0.3">
      <c r="B113" s="59"/>
      <c r="C113" s="59"/>
      <c r="D113" s="59"/>
      <c r="E113" s="59"/>
      <c r="F113" s="59"/>
      <c r="G113" s="61"/>
      <c r="H113" s="61"/>
      <c r="I113" s="61"/>
      <c r="J113" s="61"/>
      <c r="K113" s="61"/>
      <c r="L113" s="61"/>
      <c r="M113" s="61"/>
    </row>
    <row r="114" spans="2:13" ht="18" customHeight="1" x14ac:dyDescent="0.3">
      <c r="B114" s="59"/>
      <c r="C114" s="59"/>
      <c r="D114" s="59"/>
      <c r="E114" s="59"/>
      <c r="F114" s="59"/>
      <c r="G114" s="61"/>
      <c r="H114" s="61"/>
      <c r="I114" s="61"/>
      <c r="J114" s="61"/>
      <c r="K114" s="61"/>
      <c r="L114" s="61"/>
      <c r="M114" s="61"/>
    </row>
    <row r="115" spans="2:13" ht="18" customHeight="1" x14ac:dyDescent="0.3">
      <c r="B115" s="59"/>
      <c r="C115" s="59"/>
      <c r="D115" s="59"/>
      <c r="E115" s="59"/>
      <c r="F115" s="59"/>
      <c r="G115" s="61"/>
      <c r="H115" s="61"/>
      <c r="I115" s="61"/>
      <c r="J115" s="61"/>
      <c r="K115" s="61"/>
      <c r="L115" s="61"/>
      <c r="M115" s="61"/>
    </row>
    <row r="116" spans="2:13" ht="18" customHeight="1" x14ac:dyDescent="0.3">
      <c r="B116" s="59"/>
      <c r="C116" s="59"/>
      <c r="D116" s="59"/>
      <c r="E116" s="59"/>
      <c r="F116" s="59"/>
      <c r="G116" s="61"/>
      <c r="H116" s="61"/>
      <c r="I116" s="61"/>
      <c r="J116" s="61"/>
      <c r="K116" s="61"/>
      <c r="L116"/>
      <c r="M116"/>
    </row>
    <row r="117" spans="2:13" ht="18" customHeight="1" x14ac:dyDescent="0.3">
      <c r="B117"/>
      <c r="C117"/>
      <c r="D117"/>
      <c r="E117"/>
      <c r="F117"/>
      <c r="G117"/>
      <c r="H117"/>
      <c r="I117"/>
      <c r="J117"/>
      <c r="K117"/>
      <c r="L117" s="61"/>
      <c r="M117" s="61"/>
    </row>
    <row r="118" spans="2:13" ht="18" customHeight="1" x14ac:dyDescent="0.3">
      <c r="B118" s="59"/>
      <c r="C118" s="59"/>
      <c r="D118" s="59"/>
      <c r="E118" s="59"/>
      <c r="F118" s="59"/>
      <c r="G118" s="61"/>
      <c r="H118" s="61"/>
      <c r="I118" s="61"/>
      <c r="J118" s="61"/>
      <c r="K118" s="61"/>
      <c r="L118" s="61"/>
      <c r="M118" s="61"/>
    </row>
    <row r="119" spans="2:13" ht="18" customHeight="1" x14ac:dyDescent="0.3">
      <c r="B119" s="59"/>
      <c r="C119" s="59"/>
      <c r="D119" s="59"/>
      <c r="E119" s="59"/>
      <c r="F119" s="59"/>
      <c r="G119" s="61"/>
      <c r="H119" s="61"/>
      <c r="I119" s="61"/>
      <c r="J119" s="61"/>
      <c r="K119" s="61"/>
      <c r="L119" s="36"/>
      <c r="M119" s="36"/>
    </row>
    <row r="120" spans="2:13" ht="18" customHeight="1" x14ac:dyDescent="0.3">
      <c r="G120" s="36"/>
      <c r="H120" s="36"/>
      <c r="I120" s="36"/>
      <c r="J120" s="36"/>
      <c r="K120" s="36"/>
      <c r="L120" s="36"/>
      <c r="M120" s="36"/>
    </row>
    <row r="121" spans="2:13" ht="18" customHeight="1" x14ac:dyDescent="0.3">
      <c r="G121" s="36"/>
      <c r="H121" s="36"/>
      <c r="I121" s="36"/>
      <c r="J121" s="36"/>
      <c r="K121" s="36"/>
      <c r="L121" s="36"/>
      <c r="M121" s="36"/>
    </row>
    <row r="122" spans="2:13" ht="18" customHeight="1" x14ac:dyDescent="0.3">
      <c r="G122" s="36"/>
      <c r="H122" s="36"/>
      <c r="I122" s="36"/>
      <c r="J122" s="36"/>
      <c r="K122" s="36"/>
      <c r="L122" s="36"/>
      <c r="M122" s="36"/>
    </row>
    <row r="123" spans="2:13" ht="18" customHeight="1" x14ac:dyDescent="0.3">
      <c r="G123" s="36"/>
      <c r="H123" s="36"/>
      <c r="I123" s="36"/>
      <c r="J123" s="36"/>
      <c r="K123" s="36"/>
      <c r="L123" s="36"/>
      <c r="M123" s="36"/>
    </row>
    <row r="124" spans="2:13" ht="18" customHeight="1" x14ac:dyDescent="0.3">
      <c r="G124" s="36"/>
      <c r="H124" s="36"/>
      <c r="I124" s="36"/>
      <c r="J124" s="36"/>
      <c r="K124" s="36"/>
      <c r="L124" s="36"/>
      <c r="M124" s="36"/>
    </row>
    <row r="125" spans="2:13" ht="18" customHeight="1" x14ac:dyDescent="0.3">
      <c r="G125" s="36"/>
      <c r="H125" s="36"/>
      <c r="I125" s="36"/>
      <c r="J125" s="36"/>
      <c r="K125" s="36"/>
      <c r="L125" s="36"/>
      <c r="M125" s="36"/>
    </row>
    <row r="126" spans="2:13" ht="18" customHeight="1" x14ac:dyDescent="0.3">
      <c r="G126" s="36"/>
      <c r="H126" s="36"/>
      <c r="I126" s="36"/>
      <c r="J126" s="36"/>
      <c r="K126" s="36"/>
      <c r="L126" s="36"/>
      <c r="M126" s="36"/>
    </row>
    <row r="127" spans="2:13" ht="18" customHeight="1" x14ac:dyDescent="0.3">
      <c r="G127" s="36"/>
      <c r="H127" s="36"/>
      <c r="I127" s="36"/>
      <c r="J127" s="36"/>
      <c r="K127" s="36"/>
      <c r="L127" s="36"/>
      <c r="M127" s="36"/>
    </row>
    <row r="128" spans="2:13" ht="18" customHeight="1" x14ac:dyDescent="0.3">
      <c r="G128" s="36"/>
      <c r="H128" s="36"/>
      <c r="I128" s="36"/>
      <c r="J128" s="36"/>
      <c r="K128" s="36"/>
      <c r="L128" s="36"/>
      <c r="M128" s="36"/>
    </row>
    <row r="129" spans="7:13" ht="18" customHeight="1" x14ac:dyDescent="0.3">
      <c r="G129" s="36"/>
      <c r="H129" s="36"/>
      <c r="I129" s="36"/>
      <c r="J129" s="36"/>
      <c r="K129" s="36"/>
      <c r="L129" s="36"/>
      <c r="M129" s="36"/>
    </row>
    <row r="130" spans="7:13" ht="18" customHeight="1" x14ac:dyDescent="0.3">
      <c r="G130" s="36"/>
      <c r="H130" s="36"/>
      <c r="I130" s="36"/>
      <c r="J130" s="36"/>
      <c r="K130" s="36"/>
      <c r="L130" s="36"/>
      <c r="M130" s="36"/>
    </row>
    <row r="131" spans="7:13" ht="18" customHeight="1" x14ac:dyDescent="0.3">
      <c r="G131" s="36"/>
      <c r="H131" s="36"/>
      <c r="I131" s="36"/>
      <c r="J131" s="36"/>
      <c r="K131" s="36"/>
      <c r="L131" s="36"/>
      <c r="M131" s="36"/>
    </row>
    <row r="132" spans="7:13" ht="18" customHeight="1" x14ac:dyDescent="0.3">
      <c r="G132" s="36"/>
      <c r="H132" s="36"/>
      <c r="I132" s="36"/>
      <c r="J132" s="36"/>
      <c r="K132" s="36"/>
      <c r="L132" s="36"/>
      <c r="M132" s="36"/>
    </row>
    <row r="133" spans="7:13" ht="18" customHeight="1" x14ac:dyDescent="0.3">
      <c r="G133" s="36"/>
      <c r="H133" s="36"/>
      <c r="I133" s="36"/>
      <c r="J133" s="36"/>
      <c r="K133" s="36"/>
      <c r="L133" s="36"/>
      <c r="M133" s="36"/>
    </row>
    <row r="134" spans="7:13" ht="18" customHeight="1" x14ac:dyDescent="0.3">
      <c r="G134" s="36"/>
      <c r="H134" s="36"/>
      <c r="I134" s="36"/>
      <c r="J134" s="36"/>
      <c r="K134" s="36"/>
      <c r="L134" s="36"/>
      <c r="M134" s="36"/>
    </row>
    <row r="135" spans="7:13" ht="18" customHeight="1" x14ac:dyDescent="0.3">
      <c r="G135" s="36"/>
      <c r="H135" s="36"/>
      <c r="I135" s="36"/>
      <c r="J135" s="36"/>
      <c r="K135" s="36"/>
      <c r="L135" s="36"/>
      <c r="M135" s="36"/>
    </row>
    <row r="136" spans="7:13" ht="18" customHeight="1" x14ac:dyDescent="0.3">
      <c r="G136" s="36"/>
      <c r="H136" s="36"/>
      <c r="I136" s="36"/>
      <c r="J136" s="36"/>
      <c r="K136" s="36"/>
      <c r="L136" s="36"/>
      <c r="M136" s="36"/>
    </row>
    <row r="137" spans="7:13" ht="18" customHeight="1" x14ac:dyDescent="0.3">
      <c r="G137" s="36"/>
      <c r="H137" s="36"/>
      <c r="I137" s="36"/>
      <c r="J137" s="36"/>
      <c r="K137" s="36"/>
      <c r="L137" s="36"/>
      <c r="M137" s="36"/>
    </row>
    <row r="138" spans="7:13" ht="18" customHeight="1" x14ac:dyDescent="0.3">
      <c r="G138" s="36"/>
      <c r="H138" s="36"/>
      <c r="I138" s="36"/>
      <c r="J138" s="36"/>
      <c r="K138" s="36"/>
      <c r="L138" s="36"/>
      <c r="M138" s="36"/>
    </row>
    <row r="139" spans="7:13" ht="18" customHeight="1" x14ac:dyDescent="0.3">
      <c r="G139" s="36"/>
      <c r="H139" s="36"/>
      <c r="I139" s="36"/>
      <c r="J139" s="36"/>
      <c r="K139" s="36"/>
      <c r="L139" s="36"/>
      <c r="M139" s="36"/>
    </row>
    <row r="140" spans="7:13" ht="18" customHeight="1" x14ac:dyDescent="0.3">
      <c r="G140" s="36"/>
      <c r="H140" s="36"/>
      <c r="I140" s="36"/>
      <c r="J140" s="36"/>
      <c r="K140" s="36"/>
      <c r="L140" s="36"/>
      <c r="M140" s="36"/>
    </row>
    <row r="141" spans="7:13" ht="18" customHeight="1" x14ac:dyDescent="0.3">
      <c r="G141" s="36"/>
      <c r="H141" s="36"/>
      <c r="I141" s="36"/>
      <c r="J141" s="36"/>
      <c r="K141" s="36"/>
      <c r="L141" s="36"/>
      <c r="M141" s="36"/>
    </row>
    <row r="142" spans="7:13" ht="18" customHeight="1" x14ac:dyDescent="0.3">
      <c r="G142" s="36"/>
      <c r="H142" s="36"/>
      <c r="I142" s="36"/>
      <c r="J142" s="36"/>
      <c r="K142" s="36"/>
      <c r="L142" s="36"/>
      <c r="M142" s="36"/>
    </row>
    <row r="143" spans="7:13" ht="18" customHeight="1" x14ac:dyDescent="0.3">
      <c r="G143" s="36"/>
      <c r="H143" s="36"/>
      <c r="I143" s="36"/>
      <c r="J143" s="36"/>
      <c r="K143" s="36"/>
      <c r="L143" s="36"/>
      <c r="M143" s="36"/>
    </row>
    <row r="144" spans="7:13" ht="18" customHeight="1" x14ac:dyDescent="0.3">
      <c r="G144" s="36"/>
      <c r="H144" s="36"/>
      <c r="I144" s="36"/>
      <c r="J144" s="36"/>
      <c r="K144" s="36"/>
      <c r="L144" s="36"/>
      <c r="M144" s="36"/>
    </row>
    <row r="145" spans="7:13" ht="18" customHeight="1" x14ac:dyDescent="0.3">
      <c r="G145" s="36"/>
      <c r="H145" s="36"/>
      <c r="I145" s="36"/>
      <c r="J145" s="36"/>
      <c r="K145" s="36"/>
      <c r="L145" s="36"/>
      <c r="M145" s="36"/>
    </row>
    <row r="146" spans="7:13" ht="18" customHeight="1" x14ac:dyDescent="0.3">
      <c r="G146" s="36"/>
      <c r="H146" s="36"/>
      <c r="I146" s="36"/>
      <c r="J146" s="36"/>
      <c r="K146" s="36"/>
      <c r="L146" s="36"/>
      <c r="M146" s="36"/>
    </row>
    <row r="147" spans="7:13" ht="18" customHeight="1" x14ac:dyDescent="0.3">
      <c r="G147" s="36"/>
      <c r="H147" s="36"/>
      <c r="I147" s="36"/>
      <c r="J147" s="36"/>
      <c r="K147" s="36"/>
      <c r="L147" s="36"/>
      <c r="M147" s="36"/>
    </row>
    <row r="148" spans="7:13" ht="18" customHeight="1" x14ac:dyDescent="0.3">
      <c r="G148" s="36"/>
      <c r="H148" s="36"/>
      <c r="I148" s="36"/>
      <c r="J148" s="36"/>
      <c r="K148" s="36"/>
      <c r="L148" s="36"/>
      <c r="M148" s="36"/>
    </row>
    <row r="149" spans="7:13" ht="18" customHeight="1" x14ac:dyDescent="0.3">
      <c r="G149" s="36"/>
      <c r="H149" s="36"/>
      <c r="I149" s="36"/>
      <c r="J149" s="36"/>
      <c r="K149" s="36"/>
      <c r="L149" s="36"/>
      <c r="M149" s="36"/>
    </row>
    <row r="150" spans="7:13" ht="18" customHeight="1" x14ac:dyDescent="0.3">
      <c r="G150" s="36"/>
      <c r="H150" s="36"/>
      <c r="I150" s="36"/>
      <c r="J150" s="36"/>
      <c r="K150" s="36"/>
      <c r="L150" s="36"/>
      <c r="M150" s="36"/>
    </row>
    <row r="151" spans="7:13" ht="18" customHeight="1" x14ac:dyDescent="0.3">
      <c r="G151" s="36"/>
      <c r="H151" s="36"/>
      <c r="I151" s="36"/>
      <c r="J151" s="36"/>
      <c r="K151" s="36"/>
      <c r="L151" s="36"/>
      <c r="M151" s="36"/>
    </row>
    <row r="152" spans="7:13" ht="18" customHeight="1" x14ac:dyDescent="0.3">
      <c r="G152" s="36"/>
      <c r="H152" s="36"/>
      <c r="I152" s="36"/>
      <c r="J152" s="36"/>
      <c r="K152" s="36"/>
      <c r="L152" s="36"/>
      <c r="M152" s="36"/>
    </row>
    <row r="153" spans="7:13" ht="18" customHeight="1" x14ac:dyDescent="0.3">
      <c r="G153" s="36"/>
      <c r="H153" s="36"/>
      <c r="I153" s="36"/>
      <c r="J153" s="36"/>
      <c r="K153" s="36"/>
      <c r="L153" s="36"/>
      <c r="M153" s="36"/>
    </row>
    <row r="154" spans="7:13" ht="18" customHeight="1" x14ac:dyDescent="0.3">
      <c r="G154" s="36"/>
      <c r="H154" s="36"/>
      <c r="I154" s="36"/>
      <c r="J154" s="36"/>
      <c r="K154" s="36"/>
      <c r="L154" s="36"/>
      <c r="M154" s="36"/>
    </row>
    <row r="155" spans="7:13" ht="18" customHeight="1" x14ac:dyDescent="0.3">
      <c r="G155" s="36"/>
      <c r="H155" s="36"/>
      <c r="I155" s="36"/>
      <c r="J155" s="36"/>
      <c r="K155" s="36"/>
      <c r="L155" s="36"/>
      <c r="M155" s="36"/>
    </row>
    <row r="156" spans="7:13" ht="18" customHeight="1" x14ac:dyDescent="0.3">
      <c r="G156" s="36"/>
      <c r="H156" s="36"/>
      <c r="I156" s="36"/>
      <c r="J156" s="36"/>
      <c r="K156" s="36"/>
      <c r="L156" s="36"/>
      <c r="M156" s="36"/>
    </row>
    <row r="157" spans="7:13" ht="18" customHeight="1" x14ac:dyDescent="0.3">
      <c r="G157" s="36"/>
      <c r="H157" s="36"/>
      <c r="I157" s="36"/>
      <c r="J157" s="36"/>
      <c r="K157" s="36"/>
      <c r="L157" s="36"/>
      <c r="M157" s="36"/>
    </row>
    <row r="158" spans="7:13" ht="18" customHeight="1" x14ac:dyDescent="0.3">
      <c r="G158" s="36"/>
      <c r="H158" s="36"/>
      <c r="I158" s="36"/>
      <c r="J158" s="36"/>
      <c r="K158" s="36"/>
      <c r="L158" s="36"/>
      <c r="M158" s="36"/>
    </row>
    <row r="159" spans="7:13" ht="18" customHeight="1" x14ac:dyDescent="0.3">
      <c r="G159" s="36"/>
      <c r="H159" s="36"/>
      <c r="I159" s="36"/>
      <c r="J159" s="36"/>
      <c r="K159" s="36"/>
      <c r="L159" s="36"/>
      <c r="M159" s="36"/>
    </row>
    <row r="160" spans="7:13" ht="18" customHeight="1" x14ac:dyDescent="0.3">
      <c r="G160" s="36"/>
      <c r="H160" s="36"/>
      <c r="I160" s="36"/>
      <c r="J160" s="36"/>
      <c r="K160" s="36"/>
      <c r="L160" s="36"/>
      <c r="M160" s="36"/>
    </row>
    <row r="161" spans="7:13" ht="18" customHeight="1" x14ac:dyDescent="0.3">
      <c r="G161" s="36"/>
      <c r="H161" s="36"/>
      <c r="I161" s="36"/>
      <c r="J161" s="36"/>
      <c r="K161" s="36"/>
      <c r="L161" s="36"/>
      <c r="M161" s="36"/>
    </row>
    <row r="162" spans="7:13" ht="18" customHeight="1" x14ac:dyDescent="0.3">
      <c r="G162" s="36"/>
      <c r="H162" s="36"/>
      <c r="I162" s="36"/>
      <c r="J162" s="36"/>
      <c r="K162" s="36"/>
      <c r="L162" s="36"/>
      <c r="M162" s="36"/>
    </row>
    <row r="163" spans="7:13" ht="18" customHeight="1" x14ac:dyDescent="0.3">
      <c r="G163" s="36"/>
      <c r="H163" s="36"/>
      <c r="I163" s="36"/>
      <c r="J163" s="36"/>
      <c r="K163" s="36"/>
      <c r="L163" s="36"/>
      <c r="M163" s="36"/>
    </row>
    <row r="164" spans="7:13" ht="18" customHeight="1" x14ac:dyDescent="0.3">
      <c r="G164" s="36"/>
      <c r="H164" s="36"/>
      <c r="I164" s="36"/>
      <c r="J164" s="36"/>
      <c r="K164" s="36"/>
      <c r="L164" s="36"/>
      <c r="M164" s="36"/>
    </row>
    <row r="165" spans="7:13" ht="18" customHeight="1" x14ac:dyDescent="0.3">
      <c r="G165" s="36"/>
      <c r="H165" s="36"/>
      <c r="I165" s="36"/>
      <c r="J165" s="36"/>
      <c r="K165" s="36"/>
      <c r="L165" s="36"/>
      <c r="M165" s="36"/>
    </row>
    <row r="166" spans="7:13" ht="18" customHeight="1" x14ac:dyDescent="0.3">
      <c r="G166" s="36"/>
      <c r="H166" s="36"/>
      <c r="I166" s="36"/>
      <c r="J166" s="36"/>
      <c r="K166" s="36"/>
      <c r="L166" s="36"/>
      <c r="M166" s="36"/>
    </row>
    <row r="167" spans="7:13" ht="18" customHeight="1" x14ac:dyDescent="0.3">
      <c r="G167" s="36"/>
      <c r="H167" s="36"/>
      <c r="I167" s="36"/>
      <c r="J167" s="36"/>
      <c r="K167" s="36"/>
      <c r="L167" s="36"/>
      <c r="M167" s="36"/>
    </row>
    <row r="168" spans="7:13" ht="18" customHeight="1" x14ac:dyDescent="0.3">
      <c r="G168" s="36"/>
      <c r="H168" s="36"/>
      <c r="I168" s="36"/>
      <c r="J168" s="36"/>
      <c r="K168" s="36"/>
      <c r="L168" s="36"/>
      <c r="M168" s="36"/>
    </row>
    <row r="169" spans="7:13" ht="18" customHeight="1" x14ac:dyDescent="0.3">
      <c r="G169" s="36"/>
      <c r="H169" s="36"/>
      <c r="I169" s="36"/>
      <c r="J169" s="36"/>
      <c r="K169" s="36"/>
      <c r="L169" s="36"/>
      <c r="M169" s="36"/>
    </row>
    <row r="170" spans="7:13" ht="18" customHeight="1" x14ac:dyDescent="0.3">
      <c r="G170" s="36"/>
      <c r="H170" s="36"/>
      <c r="I170" s="36"/>
      <c r="J170" s="36"/>
      <c r="K170" s="36"/>
      <c r="L170" s="36"/>
      <c r="M170" s="36"/>
    </row>
    <row r="171" spans="7:13" ht="18" customHeight="1" x14ac:dyDescent="0.3">
      <c r="G171" s="36"/>
      <c r="H171" s="36"/>
      <c r="I171" s="36"/>
      <c r="J171" s="36"/>
      <c r="K171" s="36"/>
      <c r="L171" s="36"/>
      <c r="M171" s="36"/>
    </row>
    <row r="172" spans="7:13" ht="18" customHeight="1" x14ac:dyDescent="0.3">
      <c r="G172" s="36"/>
      <c r="H172" s="36"/>
      <c r="I172" s="36"/>
      <c r="J172" s="36"/>
      <c r="K172" s="36"/>
      <c r="L172" s="36"/>
      <c r="M172" s="36"/>
    </row>
    <row r="173" spans="7:13" ht="18" customHeight="1" x14ac:dyDescent="0.3">
      <c r="G173" s="36"/>
      <c r="H173" s="36"/>
      <c r="I173" s="36"/>
      <c r="J173" s="36"/>
      <c r="K173" s="36"/>
      <c r="L173" s="36"/>
      <c r="M173" s="36"/>
    </row>
    <row r="174" spans="7:13" ht="18" customHeight="1" x14ac:dyDescent="0.3">
      <c r="G174" s="36"/>
      <c r="H174" s="36"/>
      <c r="I174" s="36"/>
      <c r="J174" s="36"/>
      <c r="K174" s="36"/>
      <c r="L174" s="36"/>
      <c r="M174" s="36"/>
    </row>
    <row r="175" spans="7:13" ht="18" customHeight="1" x14ac:dyDescent="0.3">
      <c r="G175" s="36"/>
      <c r="H175" s="36"/>
      <c r="I175" s="36"/>
      <c r="J175" s="36"/>
      <c r="K175" s="36"/>
      <c r="L175" s="36"/>
      <c r="M175" s="36"/>
    </row>
    <row r="176" spans="7:13" ht="18" customHeight="1" x14ac:dyDescent="0.3">
      <c r="G176" s="36"/>
      <c r="H176" s="36"/>
      <c r="I176" s="36"/>
      <c r="J176" s="36"/>
      <c r="K176" s="36"/>
      <c r="L176" s="36"/>
      <c r="M176" s="36"/>
    </row>
    <row r="177" spans="2:11" ht="18" customHeight="1" x14ac:dyDescent="0.3">
      <c r="G177" s="36"/>
      <c r="H177" s="36"/>
      <c r="I177" s="36"/>
      <c r="J177" s="36"/>
      <c r="K177" s="36"/>
    </row>
    <row r="178" spans="2:11" ht="18" customHeight="1" x14ac:dyDescent="0.3">
      <c r="G178" s="36"/>
      <c r="H178" s="36"/>
      <c r="I178" s="36"/>
      <c r="J178" s="36"/>
      <c r="K178" s="36"/>
    </row>
    <row r="179" spans="2:11" ht="18" customHeight="1" x14ac:dyDescent="0.3">
      <c r="B179" s="59"/>
      <c r="C179" s="59"/>
      <c r="D179" s="59"/>
      <c r="E179" s="59"/>
      <c r="F179" s="59"/>
      <c r="G179" s="59"/>
      <c r="H179" s="59"/>
      <c r="I179" s="59"/>
      <c r="J179" s="59"/>
      <c r="K179" s="59"/>
    </row>
    <row r="180" spans="2:11" ht="18" customHeight="1" x14ac:dyDescent="0.3">
      <c r="B180" s="59"/>
      <c r="C180" s="59"/>
      <c r="D180" s="59"/>
      <c r="E180" s="59"/>
      <c r="F180" s="59"/>
      <c r="G180" s="59"/>
      <c r="H180" s="59"/>
      <c r="I180" s="59"/>
      <c r="J180" s="59"/>
      <c r="K180" s="59"/>
    </row>
    <row r="181" spans="2:11" ht="18" customHeight="1" x14ac:dyDescent="0.3">
      <c r="B181" s="59"/>
      <c r="C181" s="59"/>
      <c r="D181" s="59"/>
      <c r="E181" s="59"/>
      <c r="F181" s="59"/>
      <c r="G181" s="59"/>
      <c r="H181" s="59"/>
      <c r="I181" s="59"/>
      <c r="J181" s="59"/>
      <c r="K181" s="59"/>
    </row>
    <row r="182" spans="2:11" ht="18" customHeight="1" x14ac:dyDescent="0.3">
      <c r="B182" s="59"/>
      <c r="C182" s="59"/>
      <c r="D182" s="59"/>
      <c r="E182" s="59"/>
      <c r="F182" s="59"/>
      <c r="G182" s="59"/>
      <c r="H182" s="59"/>
      <c r="I182" s="59"/>
      <c r="J182" s="59"/>
      <c r="K182" s="59"/>
    </row>
    <row r="183" spans="2:11" ht="18" customHeight="1" x14ac:dyDescent="0.3">
      <c r="B183" s="59"/>
      <c r="C183" s="59"/>
      <c r="D183" s="59"/>
      <c r="E183" s="59"/>
      <c r="F183" s="59"/>
      <c r="G183" s="59"/>
      <c r="H183" s="59"/>
      <c r="I183" s="59"/>
      <c r="J183" s="59"/>
      <c r="K183" s="59"/>
    </row>
    <row r="184" spans="2:11" ht="18" customHeight="1" x14ac:dyDescent="0.3">
      <c r="B184"/>
      <c r="C184"/>
      <c r="D184"/>
      <c r="E184"/>
      <c r="F184"/>
      <c r="G184"/>
      <c r="H184"/>
      <c r="I184"/>
      <c r="J184"/>
      <c r="K184"/>
    </row>
    <row r="185" spans="2:11" ht="57.75" customHeight="1" x14ac:dyDescent="0.3"/>
  </sheetData>
  <dataConsolidate link="1"/>
  <mergeCells count="7">
    <mergeCell ref="B4:D4"/>
    <mergeCell ref="E12:G12"/>
    <mergeCell ref="E2:J2"/>
    <mergeCell ref="F9:I9"/>
    <mergeCell ref="A2:B2"/>
    <mergeCell ref="E5:J8"/>
    <mergeCell ref="A12:C12"/>
  </mergeCells>
  <dataValidations count="7">
    <dataValidation type="list" allowBlank="1" showInputMessage="1" showErrorMessage="1" sqref="J118:K178 J96:K116 J83:K94">
      <formula1>ValidPerioder</formula1>
    </dataValidation>
    <dataValidation type="list" allowBlank="1" showInputMessage="1" showErrorMessage="1" sqref="F118:F179 F96:F116 F83:F94">
      <formula1>ValidLevels</formula1>
    </dataValidation>
    <dataValidation type="list" showInputMessage="1" showErrorMessage="1" sqref="I118:I178 I112:I116">
      <formula1>ValidSemester</formula1>
    </dataValidation>
    <dataValidation type="list" showInputMessage="1" showErrorMessage="1" sqref="E96:E116 E83:E94 I83:I94">
      <formula1>#REF!</formula1>
    </dataValidation>
    <dataValidation type="list" allowBlank="1" showInputMessage="1" showErrorMessage="1" sqref="L95:M115 L83:M93">
      <formula1>$C$5:$C$9</formula1>
    </dataValidation>
    <dataValidation type="whole" showInputMessage="1" showErrorMessage="1" sqref="I77:I82 I74:I75 I70:I72 I67:I68 I64:I65 I16:I62">
      <formula1>0</formula1>
      <formula2>10</formula2>
    </dataValidation>
    <dataValidation type="list" showInputMessage="1" showErrorMessage="1" sqref="E77:E82 E74:E75 E70:E72 E67:E68 E64:E65 E16:E62">
      <formula1>DynamicTextRange</formula1>
    </dataValidation>
  </dataValidations>
  <printOptions horizontalCentered="1"/>
  <pageMargins left="0.25" right="0.25" top="0.75" bottom="0.75" header="0.3" footer="0.3"/>
  <pageSetup scale="66" fitToHeight="0" orientation="portrait" r:id="rId1"/>
  <headerFooter differentFirst="1">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8" r:id="rId4" name="Drop Down 2">
              <controlPr defaultSize="0" autoLine="0" autoPict="0" macro="[0]!Nedrullningsbarlistruta2_Ändra">
                <anchor moveWithCells="1">
                  <from>
                    <xdr:col>1</xdr:col>
                    <xdr:colOff>1914525</xdr:colOff>
                    <xdr:row>5</xdr:row>
                    <xdr:rowOff>19050</xdr:rowOff>
                  </from>
                  <to>
                    <xdr:col>3</xdr:col>
                    <xdr:colOff>542925</xdr:colOff>
                    <xdr:row>5</xdr:row>
                    <xdr:rowOff>323850</xdr:rowOff>
                  </to>
                </anchor>
              </controlPr>
            </control>
          </mc:Choice>
        </mc:AlternateContent>
        <mc:AlternateContent xmlns:mc="http://schemas.openxmlformats.org/markup-compatibility/2006">
          <mc:Choice Requires="x14">
            <control shapeId="4099" r:id="rId5" name="Drop Down 3">
              <controlPr defaultSize="0" autoLine="0" autoPict="0" macro="[0]!Nedrullningsbarlistruta3_Ändra">
                <anchor moveWithCells="1">
                  <from>
                    <xdr:col>1</xdr:col>
                    <xdr:colOff>1914525</xdr:colOff>
                    <xdr:row>6</xdr:row>
                    <xdr:rowOff>19050</xdr:rowOff>
                  </from>
                  <to>
                    <xdr:col>3</xdr:col>
                    <xdr:colOff>542925</xdr:colOff>
                    <xdr:row>6</xdr:row>
                    <xdr:rowOff>323850</xdr:rowOff>
                  </to>
                </anchor>
              </controlPr>
            </control>
          </mc:Choice>
        </mc:AlternateContent>
        <mc:AlternateContent xmlns:mc="http://schemas.openxmlformats.org/markup-compatibility/2006">
          <mc:Choice Requires="x14">
            <control shapeId="4100" r:id="rId6" name="Drop Down 4">
              <controlPr defaultSize="0" autoLine="0" autoPict="0" macro="[0]!Nedrullningsbarlistruta4_Ändra">
                <anchor moveWithCells="1">
                  <from>
                    <xdr:col>1</xdr:col>
                    <xdr:colOff>1914525</xdr:colOff>
                    <xdr:row>7</xdr:row>
                    <xdr:rowOff>38100</xdr:rowOff>
                  </from>
                  <to>
                    <xdr:col>3</xdr:col>
                    <xdr:colOff>542925</xdr:colOff>
                    <xdr:row>8</xdr:row>
                    <xdr:rowOff>9525</xdr:rowOff>
                  </to>
                </anchor>
              </controlPr>
            </control>
          </mc:Choice>
        </mc:AlternateContent>
        <mc:AlternateContent xmlns:mc="http://schemas.openxmlformats.org/markup-compatibility/2006">
          <mc:Choice Requires="x14">
            <control shapeId="4101" r:id="rId7" name="Drop Down 5">
              <controlPr defaultSize="0" autoLine="0" autoPict="0" macro="[0]!Nedrullningsbarlistruta5_Ändra">
                <anchor moveWithCells="1">
                  <from>
                    <xdr:col>1</xdr:col>
                    <xdr:colOff>1914525</xdr:colOff>
                    <xdr:row>4</xdr:row>
                    <xdr:rowOff>28575</xdr:rowOff>
                  </from>
                  <to>
                    <xdr:col>3</xdr:col>
                    <xdr:colOff>542925</xdr:colOff>
                    <xdr:row>5</xdr:row>
                    <xdr:rowOff>0</xdr:rowOff>
                  </to>
                </anchor>
              </controlPr>
            </control>
          </mc:Choice>
        </mc:AlternateContent>
      </controls>
    </mc:Choice>
  </mc:AlternateContent>
  <tableParts count="1">
    <tablePart r:id="rId8"/>
  </tableParts>
  <extLst>
    <ext xmlns:x14="http://schemas.microsoft.com/office/spreadsheetml/2009/9/main" uri="{78C0D931-6437-407d-A8EE-F0AAD7539E65}">
      <x14:conditionalFormattings>
        <x14:conditionalFormatting xmlns:xm="http://schemas.microsoft.com/office/excel/2006/main">
          <x14:cfRule type="iconSet" priority="32" id="{64BB9DE0-AE0B-4ED7-8534-262C30E8162A}">
            <x14:iconSet custom="1">
              <x14:cfvo type="percent">
                <xm:f>0</xm:f>
              </x14:cfvo>
              <x14:cfvo type="num">
                <xm:f>1</xm:f>
              </x14:cfvo>
              <x14:cfvo type="num">
                <xm:f>2</xm:f>
              </x14:cfvo>
              <x14:cfIcon iconSet="3Symbols2" iconId="2"/>
              <x14:cfIcon iconSet="NoIcons" iconId="0"/>
              <x14:cfIcon iconSet="NoIcons" iconId="0"/>
            </x14:iconSet>
          </x14:cfRule>
          <xm:sqref>J9:K9 K7:K8</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14:formula1>
            <xm:f>Konstanter!$B$6:$B$10</xm:f>
          </x14:formula1>
          <xm:sqref>L117:M176 C16:C62</xm:sqref>
        </x14:dataValidation>
        <x14:dataValidation type="list" showInputMessage="1" showErrorMessage="1">
          <x14:formula1>
            <xm:f>'Program och examenskrav'!$F$27:$F$31</xm:f>
          </x14:formula1>
          <xm:sqref>E118:E178</xm:sqref>
        </x14:dataValidation>
        <x14:dataValidation type="list" showInputMessage="1" showErrorMessage="1">
          <x14:formula1>
            <xm:f>Sammanställning!$K$23:$K$32</xm:f>
          </x14:formula1>
          <xm:sqref>I96:I111</xm:sqref>
        </x14:dataValidation>
        <x14:dataValidation type="list" allowBlank="1" showInputMessage="1" showErrorMessage="1">
          <x14:formula1>
            <xm:f>Konstanter!$F$6:$F$8</xm:f>
          </x14:formula1>
          <xm:sqref>F77:F82 F74:F75 F70:F72 F67:F68 F64:F65 F16:F62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
    <tabColor rgb="FF0070C0"/>
    <pageSetUpPr autoPageBreaks="0" fitToPage="1"/>
  </sheetPr>
  <dimension ref="A1:L1056"/>
  <sheetViews>
    <sheetView showGridLines="0" topLeftCell="A18" zoomScaleNormal="100" workbookViewId="0">
      <selection activeCell="D6" sqref="D6"/>
    </sheetView>
  </sheetViews>
  <sheetFormatPr defaultRowHeight="18" customHeight="1" x14ac:dyDescent="0.3"/>
  <cols>
    <col min="1" max="1" width="52" customWidth="1"/>
    <col min="2" max="2" width="21.125" bestFit="1" customWidth="1"/>
    <col min="3" max="3" width="11.125" bestFit="1" customWidth="1"/>
    <col min="4" max="4" width="25.125" customWidth="1"/>
    <col min="5" max="5" width="8.375" customWidth="1"/>
    <col min="6" max="6" width="10.125" customWidth="1"/>
    <col min="7" max="7" width="9.25" customWidth="1"/>
    <col min="8" max="8" width="9.5" hidden="1" customWidth="1"/>
    <col min="9" max="9" width="10.875" bestFit="1" customWidth="1"/>
    <col min="10" max="10" width="15.625" hidden="1" customWidth="1"/>
    <col min="11" max="11" width="43.375" customWidth="1"/>
    <col min="12" max="12" width="28.25" customWidth="1"/>
  </cols>
  <sheetData>
    <row r="1" spans="1:12" ht="9" customHeight="1" x14ac:dyDescent="0.3">
      <c r="A1" s="1"/>
      <c r="B1" s="1"/>
      <c r="C1" s="1"/>
      <c r="D1" s="1"/>
      <c r="E1" s="1"/>
      <c r="F1" s="1"/>
      <c r="G1" s="1"/>
      <c r="H1" s="8"/>
      <c r="I1" s="1"/>
      <c r="J1" s="1"/>
      <c r="K1" s="1"/>
      <c r="L1" s="1"/>
    </row>
    <row r="2" spans="1:12" ht="51" customHeight="1" x14ac:dyDescent="0.3">
      <c r="A2" s="10" t="s">
        <v>115</v>
      </c>
      <c r="B2" s="63"/>
      <c r="C2" s="1"/>
      <c r="D2" s="230" t="str">
        <f>CONCATENATE("Just nu finns kursdata för ",COUNTA(ProgramKurser[KURSNAMN])," kurser, inom ",COUNTA(AvailablePrograms[PROGRAMNAMN]), " program och ",COUNTA(Spec[INRIKTNING]), " inriktningar, inlagda i arbetsboken.")</f>
        <v>Just nu finns kursdata för 353 kurser, inom 9 program och 43 inriktningar, inlagda i arbetsboken.</v>
      </c>
      <c r="E2" s="231"/>
      <c r="F2" s="231"/>
      <c r="G2" s="231"/>
      <c r="H2" s="231"/>
      <c r="I2" s="231"/>
      <c r="J2" s="1"/>
      <c r="K2" s="1"/>
      <c r="L2" s="1"/>
    </row>
    <row r="3" spans="1:12" ht="9" customHeight="1" x14ac:dyDescent="0.3">
      <c r="A3" s="1"/>
      <c r="B3" s="1"/>
      <c r="C3" s="1"/>
      <c r="D3" s="1"/>
      <c r="E3" s="5"/>
      <c r="F3" s="1"/>
      <c r="G3" s="1"/>
      <c r="H3" s="8"/>
      <c r="I3" s="1"/>
      <c r="J3" s="1"/>
      <c r="K3" s="1"/>
      <c r="L3" s="1"/>
    </row>
    <row r="4" spans="1:12" ht="9" customHeight="1" x14ac:dyDescent="0.3"/>
    <row r="5" spans="1:12" ht="18" customHeight="1" x14ac:dyDescent="0.3">
      <c r="A5" s="228" t="s">
        <v>9</v>
      </c>
      <c r="B5" s="229"/>
      <c r="C5" s="31" t="s">
        <v>10</v>
      </c>
      <c r="D5" s="135" t="s">
        <v>21</v>
      </c>
      <c r="E5" s="135" t="s">
        <v>11</v>
      </c>
      <c r="F5" s="135" t="s">
        <v>45</v>
      </c>
      <c r="G5" s="135" t="s">
        <v>6</v>
      </c>
      <c r="I5" s="90" t="s">
        <v>30</v>
      </c>
      <c r="K5" s="90" t="s">
        <v>17</v>
      </c>
      <c r="L5" s="90" t="s">
        <v>46</v>
      </c>
    </row>
    <row r="6" spans="1:12" ht="18" customHeight="1" x14ac:dyDescent="0.3">
      <c r="A6" s="227" t="s">
        <v>158</v>
      </c>
      <c r="B6" s="227"/>
      <c r="C6" s="267" t="s">
        <v>157</v>
      </c>
      <c r="D6" s="267"/>
      <c r="E6" s="267" t="s">
        <v>109</v>
      </c>
      <c r="F6" s="267">
        <v>4</v>
      </c>
      <c r="G6" s="268">
        <v>4</v>
      </c>
      <c r="H6" s="269"/>
      <c r="I6" s="123">
        <v>1</v>
      </c>
      <c r="J6" s="269"/>
      <c r="K6" s="182">
        <v>2</v>
      </c>
      <c r="L6" s="182">
        <v>4</v>
      </c>
    </row>
    <row r="7" spans="1:12" ht="18" customHeight="1" x14ac:dyDescent="0.3">
      <c r="A7" s="25"/>
      <c r="B7" s="25"/>
      <c r="C7" s="26"/>
      <c r="D7" s="26"/>
      <c r="E7" s="27"/>
      <c r="F7" s="27"/>
      <c r="G7" s="26"/>
      <c r="H7" s="28"/>
      <c r="I7" s="29"/>
    </row>
    <row r="8" spans="1:12" ht="18" customHeight="1" x14ac:dyDescent="0.3">
      <c r="D8" s="109" t="s">
        <v>18</v>
      </c>
    </row>
    <row r="12" spans="1:12" ht="6.75" customHeight="1" x14ac:dyDescent="0.3">
      <c r="A12" s="1"/>
      <c r="B12" s="1"/>
      <c r="C12" s="1"/>
      <c r="D12" s="1"/>
      <c r="E12" s="1"/>
      <c r="F12" s="1"/>
      <c r="G12" s="1"/>
      <c r="H12" s="8"/>
      <c r="I12" s="1"/>
      <c r="J12" s="1"/>
      <c r="K12" s="1"/>
      <c r="L12" s="1"/>
    </row>
    <row r="13" spans="1:12" ht="51" customHeight="1" x14ac:dyDescent="0.3">
      <c r="A13" s="10" t="s">
        <v>8</v>
      </c>
      <c r="B13" s="63" t="s">
        <v>91</v>
      </c>
      <c r="C13" s="1"/>
      <c r="D13" s="220" t="str">
        <f>'Ditt informationsblad'!$E$2</f>
        <v>Civilingenjör i Industriell Ekonomi                                                                                                                                 med inriktning Datateknik och Ekonomiska informationssystem</v>
      </c>
      <c r="E13" s="221"/>
      <c r="F13" s="221"/>
      <c r="G13" s="221"/>
      <c r="H13" s="221"/>
      <c r="I13" s="1"/>
      <c r="J13" s="1"/>
      <c r="K13" s="1"/>
      <c r="L13" s="1"/>
    </row>
    <row r="14" spans="1:12" ht="6.75" customHeight="1" x14ac:dyDescent="0.3">
      <c r="A14" s="1"/>
      <c r="B14" s="1"/>
      <c r="C14" s="1"/>
      <c r="D14" s="1"/>
      <c r="E14" s="5"/>
      <c r="F14" s="1"/>
      <c r="G14" s="1"/>
      <c r="H14" s="8"/>
      <c r="I14" s="1"/>
      <c r="J14" s="1"/>
      <c r="K14" s="1"/>
      <c r="L14" s="1"/>
    </row>
    <row r="15" spans="1:12" ht="20.25" customHeight="1" x14ac:dyDescent="0.3">
      <c r="A15" s="7" t="s">
        <v>9</v>
      </c>
      <c r="B15" s="70" t="s">
        <v>102</v>
      </c>
      <c r="C15" s="2" t="s">
        <v>10</v>
      </c>
      <c r="D15" s="7" t="s">
        <v>21</v>
      </c>
      <c r="E15" s="3" t="s">
        <v>11</v>
      </c>
      <c r="F15" s="7" t="s">
        <v>5</v>
      </c>
      <c r="G15" s="9" t="s">
        <v>6</v>
      </c>
      <c r="H15" s="2" t="s">
        <v>30</v>
      </c>
      <c r="I15" s="2" t="s">
        <v>44</v>
      </c>
      <c r="J15" s="2" t="s">
        <v>46</v>
      </c>
      <c r="K15" s="2" t="s">
        <v>22</v>
      </c>
      <c r="L15" s="2" t="s">
        <v>17</v>
      </c>
    </row>
    <row r="16" spans="1:12" ht="20.25" customHeight="1" x14ac:dyDescent="0.3">
      <c r="A16" s="101" t="s">
        <v>134</v>
      </c>
      <c r="B16" s="93" t="s">
        <v>968</v>
      </c>
      <c r="C16" s="7" t="s">
        <v>133</v>
      </c>
      <c r="D16" s="94" t="s">
        <v>193</v>
      </c>
      <c r="E16" s="95" t="s">
        <v>109</v>
      </c>
      <c r="F16" s="70">
        <v>6</v>
      </c>
      <c r="G16" s="139">
        <v>1</v>
      </c>
      <c r="H16" s="70" t="s">
        <v>956</v>
      </c>
      <c r="I16" s="70">
        <v>1</v>
      </c>
      <c r="J16" s="70" t="s">
        <v>957</v>
      </c>
      <c r="K16" s="70" t="s">
        <v>18</v>
      </c>
      <c r="L16" s="70" t="s">
        <v>396</v>
      </c>
    </row>
    <row r="17" spans="1:12" ht="20.25" customHeight="1" x14ac:dyDescent="0.3">
      <c r="A17" s="101" t="s">
        <v>136</v>
      </c>
      <c r="B17" s="93" t="s">
        <v>968</v>
      </c>
      <c r="C17" s="7" t="s">
        <v>135</v>
      </c>
      <c r="D17" s="94" t="s">
        <v>193</v>
      </c>
      <c r="E17" s="95" t="s">
        <v>109</v>
      </c>
      <c r="F17" s="70">
        <v>8</v>
      </c>
      <c r="G17" s="161">
        <v>1</v>
      </c>
      <c r="H17" s="70" t="s">
        <v>914</v>
      </c>
      <c r="I17" s="70">
        <v>1</v>
      </c>
      <c r="J17" s="70" t="s">
        <v>958</v>
      </c>
      <c r="K17" s="70" t="s">
        <v>18</v>
      </c>
      <c r="L17" s="70" t="s">
        <v>396</v>
      </c>
    </row>
    <row r="18" spans="1:12" ht="20.25" customHeight="1" x14ac:dyDescent="0.3">
      <c r="A18" s="101" t="s">
        <v>138</v>
      </c>
      <c r="B18" s="93" t="s">
        <v>968</v>
      </c>
      <c r="C18" s="7" t="s">
        <v>137</v>
      </c>
      <c r="D18" s="94" t="s">
        <v>193</v>
      </c>
      <c r="E18" s="95" t="s">
        <v>109</v>
      </c>
      <c r="F18" s="70">
        <v>10</v>
      </c>
      <c r="G18" s="161">
        <v>1</v>
      </c>
      <c r="H18" s="70" t="s">
        <v>914</v>
      </c>
      <c r="I18" s="70">
        <v>1</v>
      </c>
      <c r="J18" s="70" t="s">
        <v>959</v>
      </c>
      <c r="K18" s="70" t="s">
        <v>18</v>
      </c>
      <c r="L18" s="70" t="s">
        <v>396</v>
      </c>
    </row>
    <row r="19" spans="1:12" ht="20.25" customHeight="1" x14ac:dyDescent="0.3">
      <c r="A19" s="101" t="s">
        <v>140</v>
      </c>
      <c r="B19" s="93" t="s">
        <v>968</v>
      </c>
      <c r="C19" s="7" t="s">
        <v>139</v>
      </c>
      <c r="D19" s="94" t="s">
        <v>193</v>
      </c>
      <c r="E19" s="95" t="s">
        <v>109</v>
      </c>
      <c r="F19" s="70">
        <v>6</v>
      </c>
      <c r="G19" s="161">
        <v>1</v>
      </c>
      <c r="H19" s="70" t="s">
        <v>911</v>
      </c>
      <c r="I19" s="70">
        <v>1</v>
      </c>
      <c r="J19" s="70" t="s">
        <v>921</v>
      </c>
      <c r="K19" s="70" t="s">
        <v>18</v>
      </c>
      <c r="L19" s="70" t="s">
        <v>396</v>
      </c>
    </row>
    <row r="20" spans="1:12" ht="20.25" customHeight="1" x14ac:dyDescent="0.3">
      <c r="A20" s="101" t="s">
        <v>310</v>
      </c>
      <c r="B20" s="93"/>
      <c r="C20" s="7" t="s">
        <v>309</v>
      </c>
      <c r="D20" s="94" t="s">
        <v>195</v>
      </c>
      <c r="E20" s="95" t="s">
        <v>109</v>
      </c>
      <c r="F20" s="70">
        <v>2</v>
      </c>
      <c r="G20" s="161">
        <v>2</v>
      </c>
      <c r="H20" s="70" t="s">
        <v>914</v>
      </c>
      <c r="I20" s="70">
        <v>1</v>
      </c>
      <c r="J20" s="70" t="s">
        <v>925</v>
      </c>
      <c r="K20" s="70" t="s">
        <v>18</v>
      </c>
      <c r="L20" s="70" t="s">
        <v>396</v>
      </c>
    </row>
    <row r="21" spans="1:12" ht="20.25" customHeight="1" x14ac:dyDescent="0.3">
      <c r="A21" s="101" t="s">
        <v>142</v>
      </c>
      <c r="B21" s="93" t="s">
        <v>968</v>
      </c>
      <c r="C21" s="7" t="s">
        <v>141</v>
      </c>
      <c r="D21" s="94" t="s">
        <v>193</v>
      </c>
      <c r="E21" s="95" t="s">
        <v>109</v>
      </c>
      <c r="F21" s="70">
        <v>6</v>
      </c>
      <c r="G21" s="161">
        <v>2</v>
      </c>
      <c r="H21" s="70" t="s">
        <v>906</v>
      </c>
      <c r="I21" s="70">
        <v>1</v>
      </c>
      <c r="J21" s="70" t="s">
        <v>911</v>
      </c>
      <c r="K21" s="70" t="s">
        <v>18</v>
      </c>
      <c r="L21" s="70" t="s">
        <v>396</v>
      </c>
    </row>
    <row r="22" spans="1:12" ht="20.25" customHeight="1" x14ac:dyDescent="0.3">
      <c r="A22" s="101" t="s">
        <v>931</v>
      </c>
      <c r="B22" s="93"/>
      <c r="C22" s="7" t="s">
        <v>930</v>
      </c>
      <c r="D22" s="94" t="s">
        <v>193</v>
      </c>
      <c r="E22" s="95" t="s">
        <v>109</v>
      </c>
      <c r="F22" s="70">
        <v>4</v>
      </c>
      <c r="G22" s="161">
        <v>2</v>
      </c>
      <c r="H22" s="70" t="s">
        <v>562</v>
      </c>
      <c r="I22" s="70">
        <v>1</v>
      </c>
      <c r="J22" s="70" t="s">
        <v>888</v>
      </c>
      <c r="K22" s="70" t="s">
        <v>18</v>
      </c>
      <c r="L22" s="70" t="s">
        <v>560</v>
      </c>
    </row>
    <row r="23" spans="1:12" ht="20.25" customHeight="1" x14ac:dyDescent="0.3">
      <c r="A23" s="101" t="s">
        <v>160</v>
      </c>
      <c r="B23" s="93"/>
      <c r="C23" s="7" t="s">
        <v>159</v>
      </c>
      <c r="D23" s="94" t="s">
        <v>193</v>
      </c>
      <c r="E23" s="95" t="s">
        <v>109</v>
      </c>
      <c r="F23" s="70">
        <v>6</v>
      </c>
      <c r="G23" s="161">
        <v>2</v>
      </c>
      <c r="H23" s="70" t="s">
        <v>880</v>
      </c>
      <c r="I23" s="70">
        <v>1</v>
      </c>
      <c r="J23" s="70" t="s">
        <v>303</v>
      </c>
      <c r="K23" s="70" t="s">
        <v>18</v>
      </c>
      <c r="L23" s="70" t="s">
        <v>372</v>
      </c>
    </row>
    <row r="24" spans="1:12" ht="20.25" customHeight="1" x14ac:dyDescent="0.3">
      <c r="A24" s="101" t="s">
        <v>933</v>
      </c>
      <c r="B24" s="93"/>
      <c r="C24" s="7" t="s">
        <v>932</v>
      </c>
      <c r="D24" s="94" t="s">
        <v>194</v>
      </c>
      <c r="E24" s="95" t="s">
        <v>109</v>
      </c>
      <c r="F24" s="70">
        <v>4</v>
      </c>
      <c r="G24" s="161">
        <v>2</v>
      </c>
      <c r="H24" s="70" t="s">
        <v>889</v>
      </c>
      <c r="I24" s="70">
        <v>1</v>
      </c>
      <c r="J24" s="70" t="s">
        <v>944</v>
      </c>
      <c r="K24" s="70" t="s">
        <v>18</v>
      </c>
      <c r="L24" s="70" t="s">
        <v>560</v>
      </c>
    </row>
    <row r="25" spans="1:12" ht="20.25" customHeight="1" x14ac:dyDescent="0.3">
      <c r="A25" s="101" t="s">
        <v>148</v>
      </c>
      <c r="B25" s="93" t="s">
        <v>968</v>
      </c>
      <c r="C25" s="7" t="s">
        <v>147</v>
      </c>
      <c r="D25" s="94" t="s">
        <v>193</v>
      </c>
      <c r="E25" s="95" t="s">
        <v>109</v>
      </c>
      <c r="F25" s="70">
        <v>8</v>
      </c>
      <c r="G25" s="161">
        <v>2</v>
      </c>
      <c r="H25" s="70" t="s">
        <v>911</v>
      </c>
      <c r="I25" s="70">
        <v>1</v>
      </c>
      <c r="J25" s="70" t="s">
        <v>911</v>
      </c>
      <c r="K25" s="70" t="s">
        <v>18</v>
      </c>
      <c r="L25" s="70" t="s">
        <v>396</v>
      </c>
    </row>
    <row r="26" spans="1:12" ht="20.25" customHeight="1" x14ac:dyDescent="0.3">
      <c r="A26" s="101" t="s">
        <v>935</v>
      </c>
      <c r="B26" s="93"/>
      <c r="C26" s="7" t="s">
        <v>934</v>
      </c>
      <c r="D26" s="94" t="s">
        <v>193</v>
      </c>
      <c r="E26" s="95" t="s">
        <v>109</v>
      </c>
      <c r="F26" s="70">
        <v>6</v>
      </c>
      <c r="G26" s="161">
        <v>2</v>
      </c>
      <c r="H26" s="70" t="s">
        <v>477</v>
      </c>
      <c r="I26" s="70">
        <v>1</v>
      </c>
      <c r="J26" s="70" t="s">
        <v>877</v>
      </c>
      <c r="K26" s="70" t="s">
        <v>18</v>
      </c>
      <c r="L26" s="70" t="s">
        <v>372</v>
      </c>
    </row>
    <row r="27" spans="1:12" ht="20.25" customHeight="1" x14ac:dyDescent="0.3">
      <c r="A27" s="101" t="s">
        <v>144</v>
      </c>
      <c r="B27" s="93" t="s">
        <v>968</v>
      </c>
      <c r="C27" s="7" t="s">
        <v>143</v>
      </c>
      <c r="D27" s="94" t="s">
        <v>193</v>
      </c>
      <c r="E27" s="95" t="s">
        <v>109</v>
      </c>
      <c r="F27" s="70">
        <v>8</v>
      </c>
      <c r="G27" s="161">
        <v>2</v>
      </c>
      <c r="H27" s="70" t="s">
        <v>899</v>
      </c>
      <c r="I27" s="70">
        <v>1</v>
      </c>
      <c r="J27" s="70" t="s">
        <v>960</v>
      </c>
      <c r="K27" s="70" t="s">
        <v>18</v>
      </c>
      <c r="L27" s="70" t="s">
        <v>403</v>
      </c>
    </row>
    <row r="28" spans="1:12" ht="20.25" customHeight="1" x14ac:dyDescent="0.3">
      <c r="A28" s="101" t="s">
        <v>156</v>
      </c>
      <c r="B28" s="93"/>
      <c r="C28" s="7" t="s">
        <v>155</v>
      </c>
      <c r="D28" s="94" t="s">
        <v>193</v>
      </c>
      <c r="E28" s="95" t="s">
        <v>109</v>
      </c>
      <c r="F28" s="70">
        <v>4</v>
      </c>
      <c r="G28" s="161">
        <v>2</v>
      </c>
      <c r="H28" s="70">
        <v>2</v>
      </c>
      <c r="I28" s="70">
        <v>1</v>
      </c>
      <c r="J28" s="70">
        <v>4</v>
      </c>
      <c r="K28" s="70" t="s">
        <v>18</v>
      </c>
      <c r="L28" s="70">
        <v>2011</v>
      </c>
    </row>
    <row r="29" spans="1:12" ht="20.25" customHeight="1" x14ac:dyDescent="0.3">
      <c r="A29" s="101" t="s">
        <v>150</v>
      </c>
      <c r="B29" s="93" t="s">
        <v>968</v>
      </c>
      <c r="C29" s="7" t="s">
        <v>149</v>
      </c>
      <c r="D29" s="94" t="s">
        <v>193</v>
      </c>
      <c r="E29" s="95" t="s">
        <v>109</v>
      </c>
      <c r="F29" s="70">
        <v>2</v>
      </c>
      <c r="G29" s="161">
        <v>2</v>
      </c>
      <c r="H29" s="70" t="s">
        <v>567</v>
      </c>
      <c r="I29" s="70">
        <v>1</v>
      </c>
      <c r="J29" s="70" t="s">
        <v>961</v>
      </c>
      <c r="K29" s="70" t="s">
        <v>18</v>
      </c>
      <c r="L29" s="70" t="s">
        <v>403</v>
      </c>
    </row>
    <row r="30" spans="1:12" ht="20.25" customHeight="1" x14ac:dyDescent="0.3">
      <c r="A30" s="101" t="s">
        <v>146</v>
      </c>
      <c r="B30" s="93" t="s">
        <v>968</v>
      </c>
      <c r="C30" s="7" t="s">
        <v>145</v>
      </c>
      <c r="D30" s="94" t="s">
        <v>193</v>
      </c>
      <c r="E30" s="95" t="s">
        <v>110</v>
      </c>
      <c r="F30" s="70">
        <v>6</v>
      </c>
      <c r="G30" s="161">
        <v>2</v>
      </c>
      <c r="H30" s="70" t="s">
        <v>889</v>
      </c>
      <c r="I30" s="70">
        <v>1</v>
      </c>
      <c r="J30" s="70" t="s">
        <v>379</v>
      </c>
      <c r="K30" s="70" t="s">
        <v>18</v>
      </c>
      <c r="L30" s="70" t="s">
        <v>716</v>
      </c>
    </row>
    <row r="31" spans="1:12" ht="20.25" customHeight="1" x14ac:dyDescent="0.3">
      <c r="A31" s="101" t="s">
        <v>152</v>
      </c>
      <c r="B31" s="93" t="s">
        <v>968</v>
      </c>
      <c r="C31" s="7" t="s">
        <v>151</v>
      </c>
      <c r="D31" s="94" t="s">
        <v>193</v>
      </c>
      <c r="E31" s="95" t="s">
        <v>109</v>
      </c>
      <c r="F31" s="70">
        <v>6</v>
      </c>
      <c r="G31" s="161">
        <v>3</v>
      </c>
      <c r="H31" s="70" t="s">
        <v>906</v>
      </c>
      <c r="I31" s="70">
        <v>2</v>
      </c>
      <c r="J31" s="70" t="s">
        <v>906</v>
      </c>
      <c r="K31" s="70" t="s">
        <v>18</v>
      </c>
      <c r="L31" s="70" t="s">
        <v>396</v>
      </c>
    </row>
    <row r="32" spans="1:12" ht="20.25" customHeight="1" x14ac:dyDescent="0.3">
      <c r="A32" s="101" t="s">
        <v>146</v>
      </c>
      <c r="B32" s="93"/>
      <c r="C32" s="7" t="s">
        <v>145</v>
      </c>
      <c r="D32" s="94" t="s">
        <v>193</v>
      </c>
      <c r="E32" s="95" t="s">
        <v>110</v>
      </c>
      <c r="F32" s="70">
        <v>6</v>
      </c>
      <c r="G32" s="161">
        <v>3</v>
      </c>
      <c r="H32" s="70" t="s">
        <v>889</v>
      </c>
      <c r="I32" s="70">
        <v>2</v>
      </c>
      <c r="J32" s="70" t="s">
        <v>380</v>
      </c>
      <c r="K32" s="70" t="s">
        <v>18</v>
      </c>
      <c r="L32" s="70" t="s">
        <v>560</v>
      </c>
    </row>
    <row r="33" spans="1:12" ht="20.25" customHeight="1" x14ac:dyDescent="0.3">
      <c r="A33" s="101" t="s">
        <v>154</v>
      </c>
      <c r="B33" s="93"/>
      <c r="C33" s="7" t="s">
        <v>936</v>
      </c>
      <c r="D33" s="94" t="s">
        <v>193</v>
      </c>
      <c r="E33" s="95" t="s">
        <v>109</v>
      </c>
      <c r="F33" s="70">
        <v>12</v>
      </c>
      <c r="G33" s="161">
        <v>3</v>
      </c>
      <c r="H33" s="70" t="s">
        <v>889</v>
      </c>
      <c r="I33" s="70">
        <v>2</v>
      </c>
      <c r="J33" s="70" t="s">
        <v>946</v>
      </c>
      <c r="K33" s="70" t="s">
        <v>18</v>
      </c>
      <c r="L33" s="70" t="s">
        <v>560</v>
      </c>
    </row>
    <row r="34" spans="1:12" ht="20.25" customHeight="1" x14ac:dyDescent="0.3">
      <c r="A34" s="101" t="s">
        <v>315</v>
      </c>
      <c r="B34" s="93"/>
      <c r="C34" s="7" t="s">
        <v>314</v>
      </c>
      <c r="D34" s="94" t="s">
        <v>194</v>
      </c>
      <c r="E34" s="95" t="s">
        <v>109</v>
      </c>
      <c r="F34" s="70">
        <v>6</v>
      </c>
      <c r="G34" s="161">
        <v>3</v>
      </c>
      <c r="H34" s="70" t="s">
        <v>914</v>
      </c>
      <c r="I34" s="70">
        <v>2</v>
      </c>
      <c r="J34" s="70" t="s">
        <v>962</v>
      </c>
      <c r="K34" s="70" t="s">
        <v>18</v>
      </c>
      <c r="L34" s="70" t="s">
        <v>396</v>
      </c>
    </row>
    <row r="35" spans="1:12" ht="20.25" customHeight="1" x14ac:dyDescent="0.3">
      <c r="A35" s="101" t="s">
        <v>938</v>
      </c>
      <c r="B35" s="93"/>
      <c r="C35" s="7" t="s">
        <v>937</v>
      </c>
      <c r="D35" s="94" t="s">
        <v>193</v>
      </c>
      <c r="E35" s="95" t="s">
        <v>109</v>
      </c>
      <c r="F35" s="70">
        <v>6</v>
      </c>
      <c r="G35" s="161">
        <v>3</v>
      </c>
      <c r="H35" s="70" t="s">
        <v>561</v>
      </c>
      <c r="I35" s="70">
        <v>2</v>
      </c>
      <c r="J35" s="70" t="s">
        <v>945</v>
      </c>
      <c r="K35" s="70" t="s">
        <v>18</v>
      </c>
      <c r="L35" s="70" t="s">
        <v>560</v>
      </c>
    </row>
    <row r="36" spans="1:12" ht="20.25" customHeight="1" x14ac:dyDescent="0.3">
      <c r="A36" s="101" t="s">
        <v>318</v>
      </c>
      <c r="B36" s="93"/>
      <c r="C36" s="7" t="s">
        <v>317</v>
      </c>
      <c r="D36" s="94" t="s">
        <v>194</v>
      </c>
      <c r="E36" s="95" t="s">
        <v>109</v>
      </c>
      <c r="F36" s="70">
        <v>4</v>
      </c>
      <c r="G36" s="161">
        <v>3</v>
      </c>
      <c r="H36" s="70" t="s">
        <v>911</v>
      </c>
      <c r="I36" s="70">
        <v>2</v>
      </c>
      <c r="J36" s="70" t="s">
        <v>912</v>
      </c>
      <c r="K36" s="70" t="s">
        <v>18</v>
      </c>
      <c r="L36" s="70" t="s">
        <v>396</v>
      </c>
    </row>
    <row r="37" spans="1:12" ht="20.25" customHeight="1" x14ac:dyDescent="0.3">
      <c r="A37" s="101" t="s">
        <v>154</v>
      </c>
      <c r="B37" s="93" t="s">
        <v>968</v>
      </c>
      <c r="C37" s="7" t="s">
        <v>153</v>
      </c>
      <c r="D37" s="94" t="s">
        <v>193</v>
      </c>
      <c r="E37" s="95" t="s">
        <v>109</v>
      </c>
      <c r="F37" s="70">
        <v>10</v>
      </c>
      <c r="G37" s="161">
        <v>3</v>
      </c>
      <c r="H37" s="70" t="s">
        <v>889</v>
      </c>
      <c r="I37" s="70">
        <v>2</v>
      </c>
      <c r="J37" s="70" t="s">
        <v>946</v>
      </c>
      <c r="K37" s="70" t="s">
        <v>18</v>
      </c>
      <c r="L37" s="70" t="s">
        <v>716</v>
      </c>
    </row>
    <row r="38" spans="1:12" ht="20.25" customHeight="1" x14ac:dyDescent="0.3">
      <c r="A38" s="101" t="s">
        <v>156</v>
      </c>
      <c r="B38" s="93" t="s">
        <v>968</v>
      </c>
      <c r="C38" s="7" t="s">
        <v>155</v>
      </c>
      <c r="D38" s="94" t="s">
        <v>193</v>
      </c>
      <c r="E38" s="95" t="s">
        <v>109</v>
      </c>
      <c r="F38" s="70">
        <v>4</v>
      </c>
      <c r="G38" s="161">
        <v>3</v>
      </c>
      <c r="H38" s="70" t="s">
        <v>562</v>
      </c>
      <c r="I38" s="70">
        <v>2</v>
      </c>
      <c r="J38" s="70" t="s">
        <v>561</v>
      </c>
      <c r="K38" s="70" t="s">
        <v>18</v>
      </c>
      <c r="L38" s="70" t="s">
        <v>716</v>
      </c>
    </row>
    <row r="39" spans="1:12" ht="20.25" customHeight="1" x14ac:dyDescent="0.3">
      <c r="A39" s="101" t="s">
        <v>326</v>
      </c>
      <c r="B39" s="93" t="s">
        <v>968</v>
      </c>
      <c r="C39" s="7" t="s">
        <v>325</v>
      </c>
      <c r="D39" s="94" t="s">
        <v>193</v>
      </c>
      <c r="E39" s="95" t="s">
        <v>110</v>
      </c>
      <c r="F39" s="70">
        <v>4</v>
      </c>
      <c r="G39" s="161">
        <v>3</v>
      </c>
      <c r="H39" s="70" t="s">
        <v>477</v>
      </c>
      <c r="I39" s="70">
        <v>2</v>
      </c>
      <c r="J39" s="70" t="s">
        <v>879</v>
      </c>
      <c r="K39" s="70" t="s">
        <v>18</v>
      </c>
      <c r="L39" s="70" t="s">
        <v>580</v>
      </c>
    </row>
    <row r="40" spans="1:12" ht="20.25" customHeight="1" x14ac:dyDescent="0.3">
      <c r="A40" s="101" t="s">
        <v>160</v>
      </c>
      <c r="B40" s="93" t="s">
        <v>968</v>
      </c>
      <c r="C40" s="7" t="s">
        <v>159</v>
      </c>
      <c r="D40" s="94" t="s">
        <v>193</v>
      </c>
      <c r="E40" s="95" t="s">
        <v>109</v>
      </c>
      <c r="F40" s="70">
        <v>6</v>
      </c>
      <c r="G40" s="161">
        <v>3</v>
      </c>
      <c r="H40" s="70" t="s">
        <v>561</v>
      </c>
      <c r="I40" s="70">
        <v>2</v>
      </c>
      <c r="J40" s="70" t="s">
        <v>561</v>
      </c>
      <c r="K40" s="70" t="s">
        <v>18</v>
      </c>
      <c r="L40" s="70" t="s">
        <v>716</v>
      </c>
    </row>
    <row r="41" spans="1:12" ht="20.25" customHeight="1" x14ac:dyDescent="0.3">
      <c r="A41" s="101" t="s">
        <v>158</v>
      </c>
      <c r="B41" s="93"/>
      <c r="C41" s="7" t="s">
        <v>157</v>
      </c>
      <c r="D41" s="94" t="s">
        <v>193</v>
      </c>
      <c r="E41" s="95" t="s">
        <v>109</v>
      </c>
      <c r="F41" s="70">
        <v>4</v>
      </c>
      <c r="G41" s="161">
        <v>3</v>
      </c>
      <c r="H41" s="70">
        <v>2</v>
      </c>
      <c r="I41" s="70">
        <v>2</v>
      </c>
      <c r="J41" s="70">
        <v>3</v>
      </c>
      <c r="K41" s="70" t="s">
        <v>18</v>
      </c>
      <c r="L41" s="70">
        <v>2014</v>
      </c>
    </row>
    <row r="42" spans="1:12" ht="20.25" customHeight="1" x14ac:dyDescent="0.3">
      <c r="A42" s="101" t="s">
        <v>120</v>
      </c>
      <c r="B42" s="93"/>
      <c r="C42" s="7" t="s">
        <v>119</v>
      </c>
      <c r="D42" s="94" t="s">
        <v>23</v>
      </c>
      <c r="E42" s="95" t="s">
        <v>109</v>
      </c>
      <c r="F42" s="70">
        <v>4</v>
      </c>
      <c r="G42" s="161">
        <v>4</v>
      </c>
      <c r="H42" s="70" t="s">
        <v>397</v>
      </c>
      <c r="I42" s="70">
        <v>2</v>
      </c>
      <c r="J42" s="70" t="s">
        <v>398</v>
      </c>
      <c r="K42" s="70" t="s">
        <v>18</v>
      </c>
      <c r="L42" s="70" t="s">
        <v>396</v>
      </c>
    </row>
    <row r="43" spans="1:12" ht="20.25" customHeight="1" x14ac:dyDescent="0.3">
      <c r="A43" s="101" t="s">
        <v>118</v>
      </c>
      <c r="B43" s="93"/>
      <c r="C43" s="7" t="s">
        <v>117</v>
      </c>
      <c r="D43" s="94" t="s">
        <v>23</v>
      </c>
      <c r="E43" s="95" t="s">
        <v>110</v>
      </c>
      <c r="F43" s="70">
        <v>6</v>
      </c>
      <c r="G43" s="161">
        <v>4</v>
      </c>
      <c r="H43" s="70" t="s">
        <v>303</v>
      </c>
      <c r="I43" s="70">
        <v>2</v>
      </c>
      <c r="J43" s="70" t="s">
        <v>373</v>
      </c>
      <c r="K43" s="70" t="s">
        <v>18</v>
      </c>
      <c r="L43" s="70" t="s">
        <v>395</v>
      </c>
    </row>
    <row r="44" spans="1:12" ht="20.25" customHeight="1" x14ac:dyDescent="0.3">
      <c r="A44" s="101" t="s">
        <v>257</v>
      </c>
      <c r="B44" s="93"/>
      <c r="C44" s="7" t="s">
        <v>256</v>
      </c>
      <c r="D44" s="94" t="s">
        <v>33</v>
      </c>
      <c r="E44" s="95" t="s">
        <v>110</v>
      </c>
      <c r="F44" s="70">
        <v>6</v>
      </c>
      <c r="G44" s="161">
        <v>4</v>
      </c>
      <c r="H44" s="70" t="s">
        <v>373</v>
      </c>
      <c r="I44" s="70">
        <v>2</v>
      </c>
      <c r="J44" s="70" t="s">
        <v>303</v>
      </c>
      <c r="K44" s="70" t="s">
        <v>18</v>
      </c>
      <c r="L44" s="70" t="s">
        <v>395</v>
      </c>
    </row>
    <row r="45" spans="1:12" ht="20.25" customHeight="1" x14ac:dyDescent="0.3">
      <c r="A45" s="101" t="s">
        <v>664</v>
      </c>
      <c r="B45" s="93"/>
      <c r="C45" s="7" t="s">
        <v>663</v>
      </c>
      <c r="D45" s="94" t="s">
        <v>34</v>
      </c>
      <c r="E45" s="95" t="s">
        <v>109</v>
      </c>
      <c r="F45" s="70">
        <v>6</v>
      </c>
      <c r="G45" s="161">
        <v>4</v>
      </c>
      <c r="H45" s="70" t="s">
        <v>366</v>
      </c>
      <c r="I45" s="70">
        <v>2</v>
      </c>
      <c r="J45" s="70" t="s">
        <v>242</v>
      </c>
      <c r="K45" s="70" t="s">
        <v>18</v>
      </c>
      <c r="L45" s="70">
        <v>2014</v>
      </c>
    </row>
    <row r="46" spans="1:12" ht="20.25" customHeight="1" x14ac:dyDescent="0.3">
      <c r="A46" s="101" t="s">
        <v>292</v>
      </c>
      <c r="B46" s="93"/>
      <c r="C46" s="7" t="s">
        <v>291</v>
      </c>
      <c r="D46" s="94" t="s">
        <v>34</v>
      </c>
      <c r="E46" s="95" t="s">
        <v>109</v>
      </c>
      <c r="F46" s="70">
        <v>6</v>
      </c>
      <c r="G46" s="161">
        <v>4</v>
      </c>
      <c r="H46" s="70" t="s">
        <v>373</v>
      </c>
      <c r="I46" s="70">
        <v>2</v>
      </c>
      <c r="J46" s="70" t="s">
        <v>373</v>
      </c>
      <c r="K46" s="70" t="s">
        <v>18</v>
      </c>
      <c r="L46" s="70" t="s">
        <v>947</v>
      </c>
    </row>
    <row r="47" spans="1:12" ht="20.25" customHeight="1" x14ac:dyDescent="0.3">
      <c r="A47" s="101" t="s">
        <v>246</v>
      </c>
      <c r="B47" s="93"/>
      <c r="C47" s="7" t="s">
        <v>245</v>
      </c>
      <c r="D47" s="94" t="s">
        <v>31</v>
      </c>
      <c r="E47" s="95" t="s">
        <v>110</v>
      </c>
      <c r="F47" s="70">
        <v>6</v>
      </c>
      <c r="G47" s="161">
        <v>4</v>
      </c>
      <c r="H47" s="70" t="s">
        <v>367</v>
      </c>
      <c r="I47" s="70">
        <v>2</v>
      </c>
      <c r="J47" s="70" t="s">
        <v>366</v>
      </c>
      <c r="K47" s="70" t="s">
        <v>18</v>
      </c>
      <c r="L47" s="70">
        <v>2014</v>
      </c>
    </row>
    <row r="48" spans="1:12" ht="20.25" customHeight="1" x14ac:dyDescent="0.3">
      <c r="A48" s="101" t="s">
        <v>613</v>
      </c>
      <c r="B48" s="93"/>
      <c r="C48" s="7" t="s">
        <v>612</v>
      </c>
      <c r="D48" s="94" t="s">
        <v>34</v>
      </c>
      <c r="E48" s="95" t="s">
        <v>110</v>
      </c>
      <c r="F48" s="70">
        <v>4</v>
      </c>
      <c r="G48" s="161">
        <v>4</v>
      </c>
      <c r="H48" s="70" t="s">
        <v>477</v>
      </c>
      <c r="I48" s="70">
        <v>2</v>
      </c>
      <c r="J48" s="70" t="s">
        <v>478</v>
      </c>
      <c r="K48" s="70" t="s">
        <v>18</v>
      </c>
      <c r="L48" s="70" t="s">
        <v>372</v>
      </c>
    </row>
    <row r="49" spans="1:12" ht="20.25" customHeight="1" x14ac:dyDescent="0.3">
      <c r="A49" s="101" t="s">
        <v>328</v>
      </c>
      <c r="B49" s="93"/>
      <c r="C49" s="7" t="s">
        <v>327</v>
      </c>
      <c r="D49" s="94" t="s">
        <v>31</v>
      </c>
      <c r="E49" s="95" t="s">
        <v>109</v>
      </c>
      <c r="F49" s="70">
        <v>4</v>
      </c>
      <c r="G49" s="161">
        <v>4</v>
      </c>
      <c r="H49" s="70" t="s">
        <v>578</v>
      </c>
      <c r="I49" s="70">
        <v>2</v>
      </c>
      <c r="J49" s="70" t="s">
        <v>579</v>
      </c>
      <c r="K49" s="70" t="s">
        <v>18</v>
      </c>
      <c r="L49" s="70" t="s">
        <v>386</v>
      </c>
    </row>
    <row r="50" spans="1:12" ht="20.25" customHeight="1" x14ac:dyDescent="0.3">
      <c r="A50" s="101" t="s">
        <v>244</v>
      </c>
      <c r="B50" s="93"/>
      <c r="C50" s="7" t="s">
        <v>243</v>
      </c>
      <c r="D50" s="94" t="s">
        <v>695</v>
      </c>
      <c r="E50" s="95" t="s">
        <v>110</v>
      </c>
      <c r="F50" s="70">
        <v>6</v>
      </c>
      <c r="G50" s="161">
        <v>4</v>
      </c>
      <c r="H50" s="70" t="s">
        <v>690</v>
      </c>
      <c r="I50" s="70">
        <v>2</v>
      </c>
      <c r="J50" s="70" t="s">
        <v>689</v>
      </c>
      <c r="K50" s="70" t="s">
        <v>18</v>
      </c>
      <c r="L50" s="70" t="s">
        <v>395</v>
      </c>
    </row>
    <row r="51" spans="1:12" ht="20.25" customHeight="1" x14ac:dyDescent="0.3">
      <c r="A51" s="101" t="s">
        <v>164</v>
      </c>
      <c r="B51" s="93" t="s">
        <v>968</v>
      </c>
      <c r="C51" s="7" t="s">
        <v>163</v>
      </c>
      <c r="D51" s="94" t="s">
        <v>193</v>
      </c>
      <c r="E51" s="95" t="s">
        <v>110</v>
      </c>
      <c r="F51" s="70">
        <v>6</v>
      </c>
      <c r="G51" s="161">
        <v>4</v>
      </c>
      <c r="H51" s="70" t="s">
        <v>964</v>
      </c>
      <c r="I51" s="70">
        <v>2</v>
      </c>
      <c r="J51" s="70" t="s">
        <v>912</v>
      </c>
      <c r="K51" s="70" t="s">
        <v>18</v>
      </c>
      <c r="L51" s="70" t="s">
        <v>396</v>
      </c>
    </row>
    <row r="52" spans="1:12" ht="20.25" customHeight="1" x14ac:dyDescent="0.3">
      <c r="A52" s="101" t="s">
        <v>144</v>
      </c>
      <c r="B52" s="93"/>
      <c r="C52" s="7" t="s">
        <v>143</v>
      </c>
      <c r="D52" s="94" t="s">
        <v>193</v>
      </c>
      <c r="E52" s="95" t="s">
        <v>109</v>
      </c>
      <c r="F52" s="70">
        <v>8</v>
      </c>
      <c r="G52" s="161">
        <v>4</v>
      </c>
      <c r="H52" s="70" t="s">
        <v>889</v>
      </c>
      <c r="I52" s="70">
        <v>2</v>
      </c>
      <c r="J52" s="70" t="s">
        <v>380</v>
      </c>
      <c r="K52" s="70" t="s">
        <v>18</v>
      </c>
      <c r="L52" s="70" t="s">
        <v>560</v>
      </c>
    </row>
    <row r="53" spans="1:12" ht="20.25" customHeight="1" x14ac:dyDescent="0.3">
      <c r="A53" s="101" t="s">
        <v>162</v>
      </c>
      <c r="B53" s="93"/>
      <c r="C53" s="7" t="s">
        <v>939</v>
      </c>
      <c r="D53" s="94" t="s">
        <v>193</v>
      </c>
      <c r="E53" s="95" t="s">
        <v>110</v>
      </c>
      <c r="F53" s="70">
        <v>6</v>
      </c>
      <c r="G53" s="161">
        <v>4</v>
      </c>
      <c r="H53" s="70" t="s">
        <v>568</v>
      </c>
      <c r="I53" s="70">
        <v>2</v>
      </c>
      <c r="J53" s="70" t="s">
        <v>568</v>
      </c>
      <c r="K53" s="70" t="s">
        <v>18</v>
      </c>
      <c r="L53" s="70" t="s">
        <v>381</v>
      </c>
    </row>
    <row r="54" spans="1:12" ht="20.25" customHeight="1" x14ac:dyDescent="0.3">
      <c r="A54" s="101" t="s">
        <v>166</v>
      </c>
      <c r="B54" s="93" t="s">
        <v>968</v>
      </c>
      <c r="C54" s="7" t="s">
        <v>165</v>
      </c>
      <c r="D54" s="94" t="s">
        <v>193</v>
      </c>
      <c r="E54" s="95" t="s">
        <v>110</v>
      </c>
      <c r="F54" s="70">
        <v>6</v>
      </c>
      <c r="G54" s="161">
        <v>4</v>
      </c>
      <c r="H54" s="70" t="s">
        <v>911</v>
      </c>
      <c r="I54" s="70">
        <v>2</v>
      </c>
      <c r="J54" s="70" t="s">
        <v>965</v>
      </c>
      <c r="K54" s="70" t="s">
        <v>18</v>
      </c>
      <c r="L54" s="70" t="s">
        <v>396</v>
      </c>
    </row>
    <row r="55" spans="1:12" ht="20.25" customHeight="1" x14ac:dyDescent="0.3">
      <c r="A55" s="101" t="s">
        <v>222</v>
      </c>
      <c r="B55" s="93"/>
      <c r="C55" s="7" t="s">
        <v>329</v>
      </c>
      <c r="D55" s="94" t="s">
        <v>194</v>
      </c>
      <c r="E55" s="95" t="s">
        <v>109</v>
      </c>
      <c r="F55" s="70">
        <v>4</v>
      </c>
      <c r="G55" s="161">
        <v>4</v>
      </c>
      <c r="H55" s="70" t="s">
        <v>576</v>
      </c>
      <c r="I55" s="70">
        <v>2</v>
      </c>
      <c r="J55" s="70" t="s">
        <v>577</v>
      </c>
      <c r="K55" s="70" t="s">
        <v>18</v>
      </c>
      <c r="L55" s="70" t="s">
        <v>386</v>
      </c>
    </row>
    <row r="56" spans="1:12" ht="20.25" customHeight="1" x14ac:dyDescent="0.3">
      <c r="A56" s="101" t="s">
        <v>160</v>
      </c>
      <c r="B56" s="93"/>
      <c r="C56" s="7" t="s">
        <v>159</v>
      </c>
      <c r="D56" s="94" t="s">
        <v>193</v>
      </c>
      <c r="E56" s="95" t="s">
        <v>109</v>
      </c>
      <c r="F56" s="70">
        <v>6</v>
      </c>
      <c r="G56" s="161">
        <v>4</v>
      </c>
      <c r="H56" s="70" t="s">
        <v>213</v>
      </c>
      <c r="I56" s="70">
        <v>2</v>
      </c>
      <c r="J56" s="70" t="s">
        <v>367</v>
      </c>
      <c r="K56" s="70" t="s">
        <v>18</v>
      </c>
      <c r="L56" s="70">
        <v>2012</v>
      </c>
    </row>
    <row r="57" spans="1:12" ht="20.25" customHeight="1" x14ac:dyDescent="0.3">
      <c r="A57" s="101" t="s">
        <v>320</v>
      </c>
      <c r="B57" s="93"/>
      <c r="C57" s="7" t="s">
        <v>319</v>
      </c>
      <c r="D57" s="94" t="s">
        <v>195</v>
      </c>
      <c r="E57" s="95" t="s">
        <v>110</v>
      </c>
      <c r="F57" s="70">
        <v>6</v>
      </c>
      <c r="G57" s="161">
        <v>4</v>
      </c>
      <c r="H57" s="70" t="s">
        <v>561</v>
      </c>
      <c r="I57" s="70">
        <v>2</v>
      </c>
      <c r="J57" s="70" t="s">
        <v>963</v>
      </c>
      <c r="K57" s="70" t="s">
        <v>18</v>
      </c>
      <c r="L57" s="70" t="s">
        <v>716</v>
      </c>
    </row>
    <row r="58" spans="1:12" ht="20.25" customHeight="1" x14ac:dyDescent="0.3">
      <c r="A58" s="101" t="s">
        <v>326</v>
      </c>
      <c r="B58" s="93"/>
      <c r="C58" s="7" t="s">
        <v>325</v>
      </c>
      <c r="D58" s="94" t="s">
        <v>193</v>
      </c>
      <c r="E58" s="95" t="s">
        <v>110</v>
      </c>
      <c r="F58" s="70">
        <v>4</v>
      </c>
      <c r="G58" s="161">
        <v>4</v>
      </c>
      <c r="H58" s="70">
        <v>2</v>
      </c>
      <c r="I58" s="70">
        <v>2</v>
      </c>
      <c r="J58" s="70">
        <v>4</v>
      </c>
      <c r="K58" s="70" t="s">
        <v>18</v>
      </c>
      <c r="L58" s="70">
        <v>2012</v>
      </c>
    </row>
    <row r="59" spans="1:12" ht="20.25" customHeight="1" x14ac:dyDescent="0.3">
      <c r="A59" s="101" t="s">
        <v>158</v>
      </c>
      <c r="B59" s="93" t="s">
        <v>968</v>
      </c>
      <c r="C59" s="7" t="s">
        <v>157</v>
      </c>
      <c r="D59" s="94" t="s">
        <v>193</v>
      </c>
      <c r="E59" s="95" t="s">
        <v>109</v>
      </c>
      <c r="F59" s="70">
        <v>4</v>
      </c>
      <c r="G59" s="161">
        <v>4</v>
      </c>
      <c r="H59" s="70" t="s">
        <v>478</v>
      </c>
      <c r="I59" s="70">
        <v>2</v>
      </c>
      <c r="J59" s="70" t="s">
        <v>877</v>
      </c>
      <c r="K59" s="70" t="s">
        <v>18</v>
      </c>
      <c r="L59" s="70" t="s">
        <v>395</v>
      </c>
    </row>
    <row r="60" spans="1:12" ht="20.25" customHeight="1" x14ac:dyDescent="0.3">
      <c r="A60" s="101" t="s">
        <v>162</v>
      </c>
      <c r="B60" s="93" t="s">
        <v>968</v>
      </c>
      <c r="C60" s="7" t="s">
        <v>161</v>
      </c>
      <c r="D60" s="94" t="s">
        <v>193</v>
      </c>
      <c r="E60" s="95" t="s">
        <v>110</v>
      </c>
      <c r="F60" s="70">
        <v>4</v>
      </c>
      <c r="G60" s="161">
        <v>4</v>
      </c>
      <c r="H60" s="70" t="s">
        <v>478</v>
      </c>
      <c r="I60" s="70">
        <v>2</v>
      </c>
      <c r="J60" s="70" t="s">
        <v>478</v>
      </c>
      <c r="K60" s="70" t="s">
        <v>18</v>
      </c>
      <c r="L60" s="70" t="s">
        <v>395</v>
      </c>
    </row>
    <row r="61" spans="1:12" ht="20.25" customHeight="1" x14ac:dyDescent="0.3">
      <c r="A61" s="101" t="s">
        <v>951</v>
      </c>
      <c r="B61" s="93"/>
      <c r="C61" s="7" t="s">
        <v>950</v>
      </c>
      <c r="D61" s="94" t="s">
        <v>194</v>
      </c>
      <c r="E61" s="95" t="s">
        <v>109</v>
      </c>
      <c r="F61" s="70">
        <v>4</v>
      </c>
      <c r="G61" s="161">
        <v>4</v>
      </c>
      <c r="H61" s="70">
        <v>1</v>
      </c>
      <c r="I61" s="70">
        <v>2</v>
      </c>
      <c r="J61" s="70">
        <v>3</v>
      </c>
      <c r="K61" s="70" t="s">
        <v>18</v>
      </c>
      <c r="L61" s="70">
        <v>2014</v>
      </c>
    </row>
    <row r="62" spans="1:12" ht="20.25" customHeight="1" x14ac:dyDescent="0.3">
      <c r="A62" s="101" t="s">
        <v>222</v>
      </c>
      <c r="B62" s="93"/>
      <c r="C62" s="7" t="s">
        <v>952</v>
      </c>
      <c r="D62" s="94" t="s">
        <v>194</v>
      </c>
      <c r="E62" s="95" t="s">
        <v>109</v>
      </c>
      <c r="F62" s="70">
        <v>6</v>
      </c>
      <c r="G62" s="161">
        <v>4</v>
      </c>
      <c r="H62" s="70">
        <v>2</v>
      </c>
      <c r="I62" s="70">
        <v>2</v>
      </c>
      <c r="J62" s="70">
        <v>1</v>
      </c>
      <c r="K62" s="70" t="s">
        <v>18</v>
      </c>
      <c r="L62" s="70">
        <v>2014</v>
      </c>
    </row>
    <row r="63" spans="1:12" ht="20.25" customHeight="1" x14ac:dyDescent="0.3">
      <c r="A63" s="101" t="s">
        <v>233</v>
      </c>
      <c r="B63" s="93"/>
      <c r="C63" s="7" t="s">
        <v>232</v>
      </c>
      <c r="D63" s="94" t="s">
        <v>34</v>
      </c>
      <c r="E63" s="95" t="s">
        <v>110</v>
      </c>
      <c r="F63" s="70">
        <v>6</v>
      </c>
      <c r="G63" s="161">
        <v>5</v>
      </c>
      <c r="H63" s="70" t="s">
        <v>379</v>
      </c>
      <c r="I63" s="70">
        <v>3</v>
      </c>
      <c r="J63" s="70" t="s">
        <v>563</v>
      </c>
      <c r="K63" s="70" t="s">
        <v>18</v>
      </c>
      <c r="L63" s="70" t="s">
        <v>403</v>
      </c>
    </row>
    <row r="64" spans="1:12" ht="20.25" customHeight="1" x14ac:dyDescent="0.3">
      <c r="A64" s="101" t="s">
        <v>124</v>
      </c>
      <c r="B64" s="93"/>
      <c r="C64" s="7" t="s">
        <v>123</v>
      </c>
      <c r="D64" s="94" t="s">
        <v>23</v>
      </c>
      <c r="E64" s="95" t="s">
        <v>110</v>
      </c>
      <c r="F64" s="70">
        <v>2</v>
      </c>
      <c r="G64" s="161">
        <v>5</v>
      </c>
      <c r="H64" s="70" t="s">
        <v>373</v>
      </c>
      <c r="I64" s="70">
        <v>3</v>
      </c>
      <c r="J64" s="70" t="s">
        <v>303</v>
      </c>
      <c r="K64" s="70" t="s">
        <v>18</v>
      </c>
      <c r="L64" s="70" t="s">
        <v>395</v>
      </c>
    </row>
    <row r="65" spans="1:12" ht="20.25" customHeight="1" x14ac:dyDescent="0.3">
      <c r="A65" s="101" t="s">
        <v>126</v>
      </c>
      <c r="B65" s="93"/>
      <c r="C65" s="7" t="s">
        <v>125</v>
      </c>
      <c r="D65" s="94" t="s">
        <v>23</v>
      </c>
      <c r="E65" s="95" t="s">
        <v>109</v>
      </c>
      <c r="F65" s="70">
        <v>6</v>
      </c>
      <c r="G65" s="161">
        <v>5</v>
      </c>
      <c r="H65" s="70" t="s">
        <v>388</v>
      </c>
      <c r="I65" s="70">
        <v>3</v>
      </c>
      <c r="J65" s="70" t="s">
        <v>394</v>
      </c>
      <c r="K65" s="70" t="s">
        <v>18</v>
      </c>
      <c r="L65" s="70" t="s">
        <v>401</v>
      </c>
    </row>
    <row r="66" spans="1:12" ht="20.25" customHeight="1" x14ac:dyDescent="0.3">
      <c r="A66" s="101" t="s">
        <v>122</v>
      </c>
      <c r="B66" s="93"/>
      <c r="C66" s="7" t="s">
        <v>121</v>
      </c>
      <c r="D66" s="94" t="s">
        <v>23</v>
      </c>
      <c r="E66" s="95" t="s">
        <v>109</v>
      </c>
      <c r="F66" s="70">
        <v>4</v>
      </c>
      <c r="G66" s="161">
        <v>5</v>
      </c>
      <c r="H66" s="70" t="s">
        <v>399</v>
      </c>
      <c r="I66" s="70">
        <v>3</v>
      </c>
      <c r="J66" s="70" t="s">
        <v>400</v>
      </c>
      <c r="K66" s="70" t="s">
        <v>18</v>
      </c>
      <c r="L66" s="70" t="s">
        <v>396</v>
      </c>
    </row>
    <row r="67" spans="1:12" ht="20.25" customHeight="1" x14ac:dyDescent="0.3">
      <c r="A67" s="101" t="s">
        <v>358</v>
      </c>
      <c r="B67" s="93"/>
      <c r="C67" s="7" t="s">
        <v>357</v>
      </c>
      <c r="D67" s="94" t="s">
        <v>23</v>
      </c>
      <c r="E67" s="95" t="s">
        <v>109</v>
      </c>
      <c r="F67" s="70">
        <v>4</v>
      </c>
      <c r="G67" s="161">
        <v>5</v>
      </c>
      <c r="H67" s="70" t="s">
        <v>367</v>
      </c>
      <c r="I67" s="70">
        <v>3</v>
      </c>
      <c r="J67" s="70" t="s">
        <v>242</v>
      </c>
      <c r="K67" s="70" t="s">
        <v>18</v>
      </c>
      <c r="L67" s="70">
        <v>2009</v>
      </c>
    </row>
    <row r="68" spans="1:12" ht="20.25" customHeight="1" x14ac:dyDescent="0.3">
      <c r="A68" s="101" t="s">
        <v>324</v>
      </c>
      <c r="B68" s="93"/>
      <c r="C68" s="7" t="s">
        <v>323</v>
      </c>
      <c r="D68" s="94" t="s">
        <v>34</v>
      </c>
      <c r="E68" s="95" t="s">
        <v>110</v>
      </c>
      <c r="F68" s="70">
        <v>6</v>
      </c>
      <c r="G68" s="161">
        <v>5</v>
      </c>
      <c r="H68" s="70" t="s">
        <v>388</v>
      </c>
      <c r="I68" s="70">
        <v>3</v>
      </c>
      <c r="J68" s="70" t="s">
        <v>394</v>
      </c>
      <c r="K68" s="70" t="s">
        <v>18</v>
      </c>
      <c r="L68" s="70" t="s">
        <v>396</v>
      </c>
    </row>
    <row r="69" spans="1:12" ht="20.25" customHeight="1" x14ac:dyDescent="0.3">
      <c r="A69" s="101" t="s">
        <v>666</v>
      </c>
      <c r="B69" s="93"/>
      <c r="C69" s="7" t="s">
        <v>665</v>
      </c>
      <c r="D69" s="94" t="s">
        <v>34</v>
      </c>
      <c r="E69" s="95" t="s">
        <v>109</v>
      </c>
      <c r="F69" s="70">
        <v>6</v>
      </c>
      <c r="G69" s="161">
        <v>5</v>
      </c>
      <c r="H69" s="70" t="s">
        <v>369</v>
      </c>
      <c r="I69" s="70">
        <v>3</v>
      </c>
      <c r="J69" s="70" t="s">
        <v>368</v>
      </c>
      <c r="K69" s="70" t="s">
        <v>18</v>
      </c>
      <c r="L69" s="70">
        <v>2014</v>
      </c>
    </row>
    <row r="70" spans="1:12" ht="20.25" customHeight="1" x14ac:dyDescent="0.3">
      <c r="A70" s="101" t="s">
        <v>118</v>
      </c>
      <c r="B70" s="93"/>
      <c r="C70" s="7" t="s">
        <v>117</v>
      </c>
      <c r="D70" s="94" t="s">
        <v>23</v>
      </c>
      <c r="E70" s="95" t="s">
        <v>110</v>
      </c>
      <c r="F70" s="70">
        <v>6</v>
      </c>
      <c r="G70" s="161">
        <v>5</v>
      </c>
      <c r="H70" s="70" t="s">
        <v>383</v>
      </c>
      <c r="I70" s="70">
        <v>3</v>
      </c>
      <c r="J70" s="70" t="s">
        <v>382</v>
      </c>
      <c r="K70" s="70" t="s">
        <v>18</v>
      </c>
      <c r="L70" s="70" t="s">
        <v>381</v>
      </c>
    </row>
    <row r="71" spans="1:12" ht="20.25" customHeight="1" x14ac:dyDescent="0.3">
      <c r="A71" s="101" t="s">
        <v>260</v>
      </c>
      <c r="B71" s="93"/>
      <c r="C71" s="7" t="s">
        <v>259</v>
      </c>
      <c r="D71" s="94" t="s">
        <v>33</v>
      </c>
      <c r="E71" s="95" t="s">
        <v>110</v>
      </c>
      <c r="F71" s="70">
        <v>6</v>
      </c>
      <c r="G71" s="161">
        <v>5</v>
      </c>
      <c r="H71" s="70" t="s">
        <v>373</v>
      </c>
      <c r="I71" s="70">
        <v>3</v>
      </c>
      <c r="J71" s="70" t="s">
        <v>378</v>
      </c>
      <c r="K71" s="70" t="s">
        <v>18</v>
      </c>
      <c r="L71" s="70" t="s">
        <v>395</v>
      </c>
    </row>
    <row r="72" spans="1:12" ht="20.25" customHeight="1" x14ac:dyDescent="0.3">
      <c r="A72" s="101" t="s">
        <v>668</v>
      </c>
      <c r="B72" s="93"/>
      <c r="C72" s="7" t="s">
        <v>667</v>
      </c>
      <c r="D72" s="94" t="s">
        <v>34</v>
      </c>
      <c r="E72" s="95" t="s">
        <v>109</v>
      </c>
      <c r="F72" s="70">
        <v>6</v>
      </c>
      <c r="G72" s="161">
        <v>5</v>
      </c>
      <c r="H72" s="70" t="s">
        <v>367</v>
      </c>
      <c r="I72" s="70">
        <v>3</v>
      </c>
      <c r="J72" s="70" t="s">
        <v>678</v>
      </c>
      <c r="K72" s="70" t="s">
        <v>18</v>
      </c>
      <c r="L72" s="70">
        <v>2014</v>
      </c>
    </row>
    <row r="73" spans="1:12" ht="20.25" customHeight="1" x14ac:dyDescent="0.3">
      <c r="A73" s="101" t="s">
        <v>246</v>
      </c>
      <c r="B73" s="93"/>
      <c r="C73" s="7" t="s">
        <v>245</v>
      </c>
      <c r="D73" s="94" t="s">
        <v>31</v>
      </c>
      <c r="E73" s="95" t="s">
        <v>110</v>
      </c>
      <c r="F73" s="70">
        <v>6</v>
      </c>
      <c r="G73" s="161">
        <v>5</v>
      </c>
      <c r="H73" s="70" t="s">
        <v>388</v>
      </c>
      <c r="I73" s="70">
        <v>3</v>
      </c>
      <c r="J73" s="70" t="s">
        <v>394</v>
      </c>
      <c r="K73" s="70" t="s">
        <v>18</v>
      </c>
      <c r="L73" s="70" t="s">
        <v>386</v>
      </c>
    </row>
    <row r="74" spans="1:12" ht="20.25" customHeight="1" x14ac:dyDescent="0.3">
      <c r="A74" s="101" t="s">
        <v>615</v>
      </c>
      <c r="B74" s="93"/>
      <c r="C74" s="7" t="s">
        <v>614</v>
      </c>
      <c r="D74" s="94" t="s">
        <v>34</v>
      </c>
      <c r="E74" s="95" t="s">
        <v>109</v>
      </c>
      <c r="F74" s="70">
        <v>6</v>
      </c>
      <c r="G74" s="161">
        <v>5</v>
      </c>
      <c r="H74" s="70" t="s">
        <v>303</v>
      </c>
      <c r="I74" s="70">
        <v>3</v>
      </c>
      <c r="J74" s="70" t="s">
        <v>378</v>
      </c>
      <c r="K74" s="70" t="s">
        <v>18</v>
      </c>
      <c r="L74" s="70" t="s">
        <v>372</v>
      </c>
    </row>
    <row r="75" spans="1:12" ht="20.25" customHeight="1" x14ac:dyDescent="0.3">
      <c r="A75" s="101" t="s">
        <v>251</v>
      </c>
      <c r="B75" s="93"/>
      <c r="C75" s="7" t="s">
        <v>250</v>
      </c>
      <c r="D75" s="94" t="s">
        <v>31</v>
      </c>
      <c r="E75" s="95" t="s">
        <v>110</v>
      </c>
      <c r="F75" s="70">
        <v>6</v>
      </c>
      <c r="G75" s="161">
        <v>5</v>
      </c>
      <c r="H75" s="70" t="s">
        <v>367</v>
      </c>
      <c r="I75" s="70">
        <v>3</v>
      </c>
      <c r="J75" s="70" t="s">
        <v>242</v>
      </c>
      <c r="K75" s="70" t="s">
        <v>18</v>
      </c>
      <c r="L75" s="70">
        <v>2014</v>
      </c>
    </row>
    <row r="76" spans="1:12" ht="20.25" customHeight="1" x14ac:dyDescent="0.3">
      <c r="A76" s="101" t="s">
        <v>50</v>
      </c>
      <c r="B76" s="93"/>
      <c r="C76" s="7" t="s">
        <v>258</v>
      </c>
      <c r="D76" s="94" t="s">
        <v>33</v>
      </c>
      <c r="E76" s="95" t="s">
        <v>109</v>
      </c>
      <c r="F76" s="70">
        <v>6</v>
      </c>
      <c r="G76" s="161">
        <v>5</v>
      </c>
      <c r="H76" s="70" t="s">
        <v>303</v>
      </c>
      <c r="I76" s="70">
        <v>3</v>
      </c>
      <c r="J76" s="70" t="s">
        <v>373</v>
      </c>
      <c r="K76" s="70" t="s">
        <v>18</v>
      </c>
      <c r="L76" s="70" t="s">
        <v>395</v>
      </c>
    </row>
    <row r="77" spans="1:12" ht="20.25" customHeight="1" x14ac:dyDescent="0.3">
      <c r="A77" s="101" t="s">
        <v>248</v>
      </c>
      <c r="B77" s="93"/>
      <c r="C77" s="7" t="s">
        <v>247</v>
      </c>
      <c r="D77" s="94" t="s">
        <v>31</v>
      </c>
      <c r="E77" s="95" t="s">
        <v>110</v>
      </c>
      <c r="F77" s="70">
        <v>8</v>
      </c>
      <c r="G77" s="161">
        <v>5</v>
      </c>
      <c r="H77" s="70" t="s">
        <v>404</v>
      </c>
      <c r="I77" s="70">
        <v>3</v>
      </c>
      <c r="J77" s="70" t="s">
        <v>603</v>
      </c>
      <c r="K77" s="70" t="s">
        <v>18</v>
      </c>
      <c r="L77" s="70" t="s">
        <v>396</v>
      </c>
    </row>
    <row r="78" spans="1:12" ht="20.25" customHeight="1" x14ac:dyDescent="0.3">
      <c r="A78" s="101" t="s">
        <v>168</v>
      </c>
      <c r="B78" s="93" t="s">
        <v>968</v>
      </c>
      <c r="C78" s="7" t="s">
        <v>167</v>
      </c>
      <c r="D78" s="94" t="s">
        <v>193</v>
      </c>
      <c r="E78" s="95" t="s">
        <v>110</v>
      </c>
      <c r="F78" s="70">
        <v>6</v>
      </c>
      <c r="G78" s="161">
        <v>5</v>
      </c>
      <c r="H78" s="70" t="s">
        <v>906</v>
      </c>
      <c r="I78" s="70">
        <v>3</v>
      </c>
      <c r="J78" s="70" t="s">
        <v>906</v>
      </c>
      <c r="K78" s="70" t="s">
        <v>18</v>
      </c>
      <c r="L78" s="70" t="s">
        <v>396</v>
      </c>
    </row>
    <row r="79" spans="1:12" ht="20.25" customHeight="1" x14ac:dyDescent="0.3">
      <c r="A79" s="101" t="s">
        <v>940</v>
      </c>
      <c r="B79" s="93" t="s">
        <v>968</v>
      </c>
      <c r="C79" s="7" t="s">
        <v>169</v>
      </c>
      <c r="D79" s="94" t="s">
        <v>193</v>
      </c>
      <c r="E79" s="95" t="s">
        <v>110</v>
      </c>
      <c r="F79" s="70">
        <v>6</v>
      </c>
      <c r="G79" s="161">
        <v>5</v>
      </c>
      <c r="H79" s="70" t="s">
        <v>906</v>
      </c>
      <c r="I79" s="70">
        <v>3</v>
      </c>
      <c r="J79" s="70" t="s">
        <v>912</v>
      </c>
      <c r="K79" s="70" t="s">
        <v>18</v>
      </c>
      <c r="L79" s="70" t="s">
        <v>396</v>
      </c>
    </row>
    <row r="80" spans="1:12" ht="20.25" customHeight="1" x14ac:dyDescent="0.3">
      <c r="A80" s="101" t="s">
        <v>335</v>
      </c>
      <c r="B80" s="93"/>
      <c r="C80" s="7" t="s">
        <v>334</v>
      </c>
      <c r="D80" s="94" t="s">
        <v>194</v>
      </c>
      <c r="E80" s="95" t="s">
        <v>109</v>
      </c>
      <c r="F80" s="70">
        <v>6</v>
      </c>
      <c r="G80" s="161">
        <v>5</v>
      </c>
      <c r="H80" s="70" t="s">
        <v>902</v>
      </c>
      <c r="I80" s="70">
        <v>3</v>
      </c>
      <c r="J80" s="70" t="s">
        <v>948</v>
      </c>
      <c r="K80" s="70" t="s">
        <v>18</v>
      </c>
      <c r="L80" s="70" t="s">
        <v>386</v>
      </c>
    </row>
    <row r="81" spans="1:12" ht="20.25" customHeight="1" x14ac:dyDescent="0.3">
      <c r="A81" s="101" t="s">
        <v>171</v>
      </c>
      <c r="B81" s="93" t="s">
        <v>968</v>
      </c>
      <c r="C81" s="7" t="s">
        <v>170</v>
      </c>
      <c r="D81" s="94" t="s">
        <v>193</v>
      </c>
      <c r="E81" s="95" t="s">
        <v>110</v>
      </c>
      <c r="F81" s="70">
        <v>6</v>
      </c>
      <c r="G81" s="161">
        <v>5</v>
      </c>
      <c r="H81" s="70" t="s">
        <v>911</v>
      </c>
      <c r="I81" s="70">
        <v>3</v>
      </c>
      <c r="J81" s="70" t="s">
        <v>966</v>
      </c>
      <c r="K81" s="70" t="s">
        <v>18</v>
      </c>
      <c r="L81" s="70" t="s">
        <v>396</v>
      </c>
    </row>
    <row r="82" spans="1:12" ht="20.25" customHeight="1" x14ac:dyDescent="0.3">
      <c r="A82" s="101" t="s">
        <v>412</v>
      </c>
      <c r="B82" s="93"/>
      <c r="C82" s="7" t="s">
        <v>411</v>
      </c>
      <c r="D82" s="94" t="s">
        <v>194</v>
      </c>
      <c r="E82" s="95" t="s">
        <v>110</v>
      </c>
      <c r="F82" s="70">
        <v>4</v>
      </c>
      <c r="G82" s="161">
        <v>5</v>
      </c>
      <c r="H82" s="70" t="s">
        <v>561</v>
      </c>
      <c r="I82" s="70">
        <v>3</v>
      </c>
      <c r="J82" s="70" t="s">
        <v>892</v>
      </c>
      <c r="K82" s="70" t="s">
        <v>18</v>
      </c>
      <c r="L82" s="70" t="s">
        <v>560</v>
      </c>
    </row>
    <row r="83" spans="1:12" ht="20.25" customHeight="1" x14ac:dyDescent="0.3">
      <c r="A83" s="101" t="s">
        <v>331</v>
      </c>
      <c r="B83" s="93"/>
      <c r="C83" s="7" t="s">
        <v>330</v>
      </c>
      <c r="D83" s="94" t="s">
        <v>194</v>
      </c>
      <c r="E83" s="95" t="s">
        <v>109</v>
      </c>
      <c r="F83" s="70">
        <v>6</v>
      </c>
      <c r="G83" s="161">
        <v>5</v>
      </c>
      <c r="H83" s="70" t="s">
        <v>889</v>
      </c>
      <c r="I83" s="70">
        <v>3</v>
      </c>
      <c r="J83" s="70" t="s">
        <v>944</v>
      </c>
      <c r="K83" s="70" t="s">
        <v>18</v>
      </c>
      <c r="L83" s="70" t="s">
        <v>390</v>
      </c>
    </row>
    <row r="84" spans="1:12" ht="20.25" customHeight="1" x14ac:dyDescent="0.3">
      <c r="A84" s="101" t="s">
        <v>333</v>
      </c>
      <c r="B84" s="93"/>
      <c r="C84" s="7" t="s">
        <v>332</v>
      </c>
      <c r="D84" s="94" t="s">
        <v>194</v>
      </c>
      <c r="E84" s="95" t="s">
        <v>109</v>
      </c>
      <c r="F84" s="70">
        <v>6</v>
      </c>
      <c r="G84" s="161">
        <v>5</v>
      </c>
      <c r="H84" s="70" t="s">
        <v>880</v>
      </c>
      <c r="I84" s="70">
        <v>3</v>
      </c>
      <c r="J84" s="70" t="s">
        <v>943</v>
      </c>
      <c r="K84" s="70" t="s">
        <v>18</v>
      </c>
      <c r="L84" s="70" t="s">
        <v>580</v>
      </c>
    </row>
    <row r="85" spans="1:12" ht="20.25" customHeight="1" x14ac:dyDescent="0.3">
      <c r="A85" s="101" t="s">
        <v>322</v>
      </c>
      <c r="B85" s="93"/>
      <c r="C85" s="7" t="s">
        <v>321</v>
      </c>
      <c r="D85" s="94" t="s">
        <v>194</v>
      </c>
      <c r="E85" s="95" t="s">
        <v>109</v>
      </c>
      <c r="F85" s="70">
        <v>6</v>
      </c>
      <c r="G85" s="161">
        <v>5</v>
      </c>
      <c r="H85" s="70" t="s">
        <v>561</v>
      </c>
      <c r="I85" s="70">
        <v>3</v>
      </c>
      <c r="J85" s="70" t="s">
        <v>562</v>
      </c>
      <c r="K85" s="70" t="s">
        <v>18</v>
      </c>
      <c r="L85" s="70" t="s">
        <v>716</v>
      </c>
    </row>
    <row r="86" spans="1:12" ht="20.25" customHeight="1" x14ac:dyDescent="0.3">
      <c r="A86" s="101" t="s">
        <v>227</v>
      </c>
      <c r="B86" s="93"/>
      <c r="C86" s="7" t="s">
        <v>226</v>
      </c>
      <c r="D86" s="94" t="s">
        <v>194</v>
      </c>
      <c r="E86" s="95" t="s">
        <v>110</v>
      </c>
      <c r="F86" s="70">
        <v>6</v>
      </c>
      <c r="G86" s="161">
        <v>5</v>
      </c>
      <c r="H86" s="70" t="s">
        <v>561</v>
      </c>
      <c r="I86" s="70">
        <v>3</v>
      </c>
      <c r="J86" s="70" t="s">
        <v>892</v>
      </c>
      <c r="K86" s="70" t="s">
        <v>18</v>
      </c>
      <c r="L86" s="70" t="s">
        <v>716</v>
      </c>
    </row>
    <row r="87" spans="1:12" ht="20.25" customHeight="1" x14ac:dyDescent="0.3">
      <c r="A87" s="101" t="s">
        <v>224</v>
      </c>
      <c r="B87" s="93"/>
      <c r="C87" s="7" t="s">
        <v>336</v>
      </c>
      <c r="D87" s="94" t="s">
        <v>194</v>
      </c>
      <c r="E87" s="95" t="s">
        <v>109</v>
      </c>
      <c r="F87" s="70">
        <v>4</v>
      </c>
      <c r="G87" s="161">
        <v>5</v>
      </c>
      <c r="H87" s="70">
        <v>2</v>
      </c>
      <c r="I87" s="70">
        <v>3</v>
      </c>
      <c r="J87" s="70">
        <v>1</v>
      </c>
      <c r="K87" s="70" t="s">
        <v>18</v>
      </c>
      <c r="L87" s="70">
        <v>2013</v>
      </c>
    </row>
    <row r="88" spans="1:12" ht="20.25" customHeight="1" x14ac:dyDescent="0.3">
      <c r="A88" s="101" t="s">
        <v>224</v>
      </c>
      <c r="B88" s="93"/>
      <c r="C88" s="7" t="s">
        <v>953</v>
      </c>
      <c r="D88" s="94" t="s">
        <v>194</v>
      </c>
      <c r="E88" s="95" t="s">
        <v>109</v>
      </c>
      <c r="F88" s="70">
        <v>6</v>
      </c>
      <c r="G88" s="161">
        <v>5</v>
      </c>
      <c r="H88" s="70" t="s">
        <v>213</v>
      </c>
      <c r="I88" s="70">
        <v>3</v>
      </c>
      <c r="J88" s="70" t="s">
        <v>942</v>
      </c>
      <c r="K88" s="70" t="s">
        <v>18</v>
      </c>
      <c r="L88" s="70">
        <v>2014</v>
      </c>
    </row>
    <row r="89" spans="1:12" ht="20.25" customHeight="1" x14ac:dyDescent="0.3">
      <c r="A89" s="101" t="s">
        <v>253</v>
      </c>
      <c r="B89" s="93"/>
      <c r="C89" s="7" t="s">
        <v>252</v>
      </c>
      <c r="D89" s="94" t="s">
        <v>31</v>
      </c>
      <c r="E89" s="95" t="s">
        <v>110</v>
      </c>
      <c r="F89" s="70">
        <v>6</v>
      </c>
      <c r="G89" s="161">
        <v>6</v>
      </c>
      <c r="H89" s="70" t="s">
        <v>399</v>
      </c>
      <c r="I89" s="70">
        <v>3</v>
      </c>
      <c r="J89" s="70" t="s">
        <v>604</v>
      </c>
      <c r="K89" s="70" t="s">
        <v>18</v>
      </c>
      <c r="L89" s="70" t="s">
        <v>396</v>
      </c>
    </row>
    <row r="90" spans="1:12" ht="20.25" customHeight="1" x14ac:dyDescent="0.3">
      <c r="A90" s="101" t="s">
        <v>294</v>
      </c>
      <c r="B90" s="93"/>
      <c r="C90" s="7" t="s">
        <v>293</v>
      </c>
      <c r="D90" s="94" t="s">
        <v>34</v>
      </c>
      <c r="E90" s="95" t="s">
        <v>109</v>
      </c>
      <c r="F90" s="70">
        <v>6</v>
      </c>
      <c r="G90" s="161">
        <v>6</v>
      </c>
      <c r="H90" s="70" t="s">
        <v>382</v>
      </c>
      <c r="I90" s="70">
        <v>3</v>
      </c>
      <c r="J90" s="70" t="s">
        <v>679</v>
      </c>
      <c r="K90" s="70" t="s">
        <v>18</v>
      </c>
      <c r="L90" s="70" t="s">
        <v>403</v>
      </c>
    </row>
    <row r="91" spans="1:12" ht="20.25" customHeight="1" x14ac:dyDescent="0.3">
      <c r="A91" s="101" t="s">
        <v>262</v>
      </c>
      <c r="B91" s="93"/>
      <c r="C91" s="7" t="s">
        <v>261</v>
      </c>
      <c r="D91" s="94" t="s">
        <v>23</v>
      </c>
      <c r="E91" s="95" t="s">
        <v>110</v>
      </c>
      <c r="F91" s="70">
        <v>6</v>
      </c>
      <c r="G91" s="161">
        <v>6</v>
      </c>
      <c r="H91" s="70" t="s">
        <v>400</v>
      </c>
      <c r="I91" s="70">
        <v>3</v>
      </c>
      <c r="J91" s="70" t="s">
        <v>402</v>
      </c>
      <c r="K91" s="70" t="s">
        <v>18</v>
      </c>
      <c r="L91" s="70" t="s">
        <v>396</v>
      </c>
    </row>
    <row r="92" spans="1:12" ht="20.25" customHeight="1" x14ac:dyDescent="0.3">
      <c r="A92" s="101" t="s">
        <v>130</v>
      </c>
      <c r="B92" s="93"/>
      <c r="C92" s="7" t="s">
        <v>129</v>
      </c>
      <c r="D92" s="94" t="s">
        <v>23</v>
      </c>
      <c r="E92" s="95" t="s">
        <v>110</v>
      </c>
      <c r="F92" s="70">
        <v>6</v>
      </c>
      <c r="G92" s="161">
        <v>6</v>
      </c>
      <c r="H92" s="70" t="s">
        <v>369</v>
      </c>
      <c r="I92" s="70">
        <v>3</v>
      </c>
      <c r="J92" s="70" t="s">
        <v>371</v>
      </c>
      <c r="K92" s="70" t="s">
        <v>18</v>
      </c>
      <c r="L92" s="70">
        <v>2014</v>
      </c>
    </row>
    <row r="93" spans="1:12" ht="20.25" customHeight="1" x14ac:dyDescent="0.3">
      <c r="A93" s="101" t="s">
        <v>126</v>
      </c>
      <c r="B93" s="93"/>
      <c r="C93" s="7" t="s">
        <v>125</v>
      </c>
      <c r="D93" s="94" t="s">
        <v>23</v>
      </c>
      <c r="E93" s="95" t="s">
        <v>109</v>
      </c>
      <c r="F93" s="70">
        <v>6</v>
      </c>
      <c r="G93" s="161">
        <v>6</v>
      </c>
      <c r="H93" s="70" t="s">
        <v>303</v>
      </c>
      <c r="I93" s="70">
        <v>3</v>
      </c>
      <c r="J93" s="70" t="s">
        <v>373</v>
      </c>
      <c r="K93" s="70" t="s">
        <v>18</v>
      </c>
      <c r="L93" s="70" t="s">
        <v>372</v>
      </c>
    </row>
    <row r="94" spans="1:12" ht="20.25" customHeight="1" x14ac:dyDescent="0.3">
      <c r="A94" s="101" t="s">
        <v>338</v>
      </c>
      <c r="B94" s="93"/>
      <c r="C94" s="7" t="s">
        <v>337</v>
      </c>
      <c r="D94" s="94" t="s">
        <v>23</v>
      </c>
      <c r="E94" s="95" t="s">
        <v>110</v>
      </c>
      <c r="F94" s="70">
        <v>6</v>
      </c>
      <c r="G94" s="161">
        <v>6</v>
      </c>
      <c r="H94" s="70" t="s">
        <v>391</v>
      </c>
      <c r="I94" s="70">
        <v>3</v>
      </c>
      <c r="J94" s="70" t="s">
        <v>392</v>
      </c>
      <c r="K94" s="70" t="s">
        <v>18</v>
      </c>
      <c r="L94" s="70" t="s">
        <v>386</v>
      </c>
    </row>
    <row r="95" spans="1:12" ht="20.25" customHeight="1" x14ac:dyDescent="0.3">
      <c r="A95" s="101" t="s">
        <v>128</v>
      </c>
      <c r="B95" s="93"/>
      <c r="C95" s="7" t="s">
        <v>127</v>
      </c>
      <c r="D95" s="94" t="s">
        <v>23</v>
      </c>
      <c r="E95" s="95" t="s">
        <v>110</v>
      </c>
      <c r="F95" s="70">
        <v>18</v>
      </c>
      <c r="G95" s="161">
        <v>6</v>
      </c>
      <c r="H95" s="70" t="s">
        <v>369</v>
      </c>
      <c r="I95" s="70">
        <v>3</v>
      </c>
      <c r="J95" s="70" t="s">
        <v>368</v>
      </c>
      <c r="K95" s="70" t="s">
        <v>18</v>
      </c>
      <c r="L95" s="70">
        <v>2014</v>
      </c>
    </row>
    <row r="96" spans="1:12" ht="20.25" customHeight="1" x14ac:dyDescent="0.3">
      <c r="A96" s="101" t="s">
        <v>340</v>
      </c>
      <c r="B96" s="93"/>
      <c r="C96" s="7" t="s">
        <v>339</v>
      </c>
      <c r="D96" s="94" t="s">
        <v>23</v>
      </c>
      <c r="E96" s="95" t="s">
        <v>109</v>
      </c>
      <c r="F96" s="70">
        <v>6</v>
      </c>
      <c r="G96" s="161">
        <v>6</v>
      </c>
      <c r="H96" s="70" t="s">
        <v>379</v>
      </c>
      <c r="I96" s="70">
        <v>3</v>
      </c>
      <c r="J96" s="70" t="s">
        <v>380</v>
      </c>
      <c r="K96" s="70" t="s">
        <v>18</v>
      </c>
      <c r="L96" s="70" t="s">
        <v>390</v>
      </c>
    </row>
    <row r="97" spans="1:12" ht="20.25" customHeight="1" x14ac:dyDescent="0.3">
      <c r="A97" s="101" t="s">
        <v>671</v>
      </c>
      <c r="B97" s="93"/>
      <c r="C97" s="7" t="s">
        <v>670</v>
      </c>
      <c r="D97" s="94" t="s">
        <v>34</v>
      </c>
      <c r="E97" s="95" t="s">
        <v>110</v>
      </c>
      <c r="F97" s="70">
        <v>16</v>
      </c>
      <c r="G97" s="161">
        <v>6</v>
      </c>
      <c r="H97" s="70" t="s">
        <v>369</v>
      </c>
      <c r="I97" s="70">
        <v>3</v>
      </c>
      <c r="J97" s="70" t="s">
        <v>681</v>
      </c>
      <c r="K97" s="70" t="s">
        <v>18</v>
      </c>
      <c r="L97" s="70">
        <v>2014</v>
      </c>
    </row>
    <row r="98" spans="1:12" ht="20.25" customHeight="1" x14ac:dyDescent="0.3">
      <c r="A98" s="101" t="s">
        <v>611</v>
      </c>
      <c r="B98" s="93"/>
      <c r="C98" s="7" t="s">
        <v>610</v>
      </c>
      <c r="D98" s="94" t="s">
        <v>33</v>
      </c>
      <c r="E98" s="95" t="s">
        <v>110</v>
      </c>
      <c r="F98" s="70">
        <v>18</v>
      </c>
      <c r="G98" s="161">
        <v>6</v>
      </c>
      <c r="H98" s="70" t="s">
        <v>369</v>
      </c>
      <c r="I98" s="70">
        <v>3</v>
      </c>
      <c r="J98" s="70" t="s">
        <v>368</v>
      </c>
      <c r="K98" s="70" t="s">
        <v>18</v>
      </c>
      <c r="L98" s="70">
        <v>2014</v>
      </c>
    </row>
    <row r="99" spans="1:12" ht="20.25" customHeight="1" x14ac:dyDescent="0.3">
      <c r="A99" s="101" t="s">
        <v>582</v>
      </c>
      <c r="B99" s="93"/>
      <c r="C99" s="7" t="s">
        <v>581</v>
      </c>
      <c r="D99" s="94" t="s">
        <v>31</v>
      </c>
      <c r="E99" s="95" t="s">
        <v>110</v>
      </c>
      <c r="F99" s="70">
        <v>18</v>
      </c>
      <c r="G99" s="161">
        <v>6</v>
      </c>
      <c r="H99" s="70" t="s">
        <v>369</v>
      </c>
      <c r="I99" s="70">
        <v>3</v>
      </c>
      <c r="J99" s="70" t="s">
        <v>368</v>
      </c>
      <c r="K99" s="70" t="s">
        <v>18</v>
      </c>
      <c r="L99" s="70">
        <v>2014</v>
      </c>
    </row>
    <row r="100" spans="1:12" ht="20.25" customHeight="1" x14ac:dyDescent="0.3">
      <c r="A100" s="101" t="s">
        <v>251</v>
      </c>
      <c r="B100" s="93"/>
      <c r="C100" s="7" t="s">
        <v>250</v>
      </c>
      <c r="D100" s="94" t="s">
        <v>31</v>
      </c>
      <c r="E100" s="95" t="s">
        <v>110</v>
      </c>
      <c r="F100" s="70">
        <v>6</v>
      </c>
      <c r="G100" s="161">
        <v>6</v>
      </c>
      <c r="H100" s="70" t="s">
        <v>388</v>
      </c>
      <c r="I100" s="70">
        <v>3</v>
      </c>
      <c r="J100" s="70" t="s">
        <v>393</v>
      </c>
      <c r="K100" s="70" t="s">
        <v>18</v>
      </c>
      <c r="L100" s="70" t="s">
        <v>386</v>
      </c>
    </row>
    <row r="101" spans="1:12" ht="20.25" customHeight="1" x14ac:dyDescent="0.3">
      <c r="A101" s="101" t="s">
        <v>651</v>
      </c>
      <c r="B101" s="93"/>
      <c r="C101" s="7" t="s">
        <v>650</v>
      </c>
      <c r="D101" s="94" t="s">
        <v>34</v>
      </c>
      <c r="E101" s="95" t="s">
        <v>109</v>
      </c>
      <c r="F101" s="70">
        <v>2</v>
      </c>
      <c r="G101" s="161">
        <v>6</v>
      </c>
      <c r="H101" s="70" t="s">
        <v>374</v>
      </c>
      <c r="I101" s="70">
        <v>3</v>
      </c>
      <c r="J101" s="70" t="s">
        <v>549</v>
      </c>
      <c r="K101" s="70" t="s">
        <v>18</v>
      </c>
      <c r="L101" s="70" t="s">
        <v>571</v>
      </c>
    </row>
    <row r="102" spans="1:12" ht="20.25" customHeight="1" x14ac:dyDescent="0.3">
      <c r="A102" s="101" t="s">
        <v>77</v>
      </c>
      <c r="B102" s="93"/>
      <c r="C102" s="7" t="s">
        <v>254</v>
      </c>
      <c r="D102" s="94" t="s">
        <v>31</v>
      </c>
      <c r="E102" s="95" t="s">
        <v>110</v>
      </c>
      <c r="F102" s="70">
        <v>6</v>
      </c>
      <c r="G102" s="161">
        <v>6</v>
      </c>
      <c r="H102" s="70" t="s">
        <v>391</v>
      </c>
      <c r="I102" s="70">
        <v>3</v>
      </c>
      <c r="J102" s="70" t="s">
        <v>392</v>
      </c>
      <c r="K102" s="70" t="s">
        <v>18</v>
      </c>
      <c r="L102" s="70" t="s">
        <v>386</v>
      </c>
    </row>
    <row r="103" spans="1:12" ht="20.25" customHeight="1" x14ac:dyDescent="0.3">
      <c r="A103" s="101" t="s">
        <v>297</v>
      </c>
      <c r="B103" s="93"/>
      <c r="C103" s="7" t="s">
        <v>296</v>
      </c>
      <c r="D103" s="94" t="s">
        <v>34</v>
      </c>
      <c r="E103" s="95" t="s">
        <v>109</v>
      </c>
      <c r="F103" s="70">
        <v>6</v>
      </c>
      <c r="G103" s="161">
        <v>6</v>
      </c>
      <c r="H103" s="70" t="s">
        <v>383</v>
      </c>
      <c r="I103" s="70">
        <v>3</v>
      </c>
      <c r="J103" s="70" t="s">
        <v>680</v>
      </c>
      <c r="K103" s="70" t="s">
        <v>18</v>
      </c>
      <c r="L103" s="70" t="s">
        <v>403</v>
      </c>
    </row>
    <row r="104" spans="1:12" ht="20.25" customHeight="1" x14ac:dyDescent="0.3">
      <c r="A104" s="101" t="s">
        <v>609</v>
      </c>
      <c r="B104" s="93"/>
      <c r="C104" s="7" t="s">
        <v>608</v>
      </c>
      <c r="D104" s="94" t="s">
        <v>33</v>
      </c>
      <c r="E104" s="95" t="s">
        <v>110</v>
      </c>
      <c r="F104" s="70">
        <v>6</v>
      </c>
      <c r="G104" s="161">
        <v>6</v>
      </c>
      <c r="H104" s="70" t="s">
        <v>366</v>
      </c>
      <c r="I104" s="70">
        <v>3</v>
      </c>
      <c r="J104" s="70" t="s">
        <v>366</v>
      </c>
      <c r="K104" s="70" t="s">
        <v>18</v>
      </c>
      <c r="L104" s="70">
        <v>2014</v>
      </c>
    </row>
    <row r="105" spans="1:12" ht="20.25" customHeight="1" x14ac:dyDescent="0.3">
      <c r="A105" s="101" t="s">
        <v>674</v>
      </c>
      <c r="B105" s="93"/>
      <c r="C105" s="7" t="s">
        <v>673</v>
      </c>
      <c r="D105" s="94" t="s">
        <v>34</v>
      </c>
      <c r="E105" s="95" t="s">
        <v>110</v>
      </c>
      <c r="F105" s="70">
        <v>2</v>
      </c>
      <c r="G105" s="161">
        <v>6</v>
      </c>
      <c r="H105" s="70" t="s">
        <v>366</v>
      </c>
      <c r="I105" s="70">
        <v>3</v>
      </c>
      <c r="J105" s="70" t="s">
        <v>242</v>
      </c>
      <c r="K105" s="70" t="s">
        <v>18</v>
      </c>
      <c r="L105" s="70">
        <v>2014</v>
      </c>
    </row>
    <row r="106" spans="1:12" ht="20.25" customHeight="1" x14ac:dyDescent="0.3">
      <c r="A106" s="101" t="s">
        <v>344</v>
      </c>
      <c r="B106" s="93"/>
      <c r="C106" s="7" t="s">
        <v>343</v>
      </c>
      <c r="D106" s="94" t="s">
        <v>34</v>
      </c>
      <c r="E106" s="95" t="s">
        <v>110</v>
      </c>
      <c r="F106" s="70">
        <v>6</v>
      </c>
      <c r="G106" s="161">
        <v>6</v>
      </c>
      <c r="H106" s="70" t="s">
        <v>564</v>
      </c>
      <c r="I106" s="70">
        <v>3</v>
      </c>
      <c r="J106" s="70" t="s">
        <v>662</v>
      </c>
      <c r="K106" s="70" t="s">
        <v>18</v>
      </c>
      <c r="L106" s="70" t="s">
        <v>390</v>
      </c>
    </row>
    <row r="107" spans="1:12" ht="20.25" customHeight="1" x14ac:dyDescent="0.3">
      <c r="A107" s="101" t="s">
        <v>619</v>
      </c>
      <c r="B107" s="93"/>
      <c r="C107" s="7" t="s">
        <v>618</v>
      </c>
      <c r="D107" s="94" t="s">
        <v>34</v>
      </c>
      <c r="E107" s="95" t="s">
        <v>110</v>
      </c>
      <c r="F107" s="70">
        <v>10</v>
      </c>
      <c r="G107" s="161">
        <v>6</v>
      </c>
      <c r="H107" s="70" t="s">
        <v>373</v>
      </c>
      <c r="I107" s="70">
        <v>3</v>
      </c>
      <c r="J107" s="70" t="s">
        <v>649</v>
      </c>
      <c r="K107" s="70" t="s">
        <v>18</v>
      </c>
      <c r="L107" s="70" t="s">
        <v>372</v>
      </c>
    </row>
    <row r="108" spans="1:12" ht="20.25" customHeight="1" x14ac:dyDescent="0.3">
      <c r="A108" s="101" t="s">
        <v>617</v>
      </c>
      <c r="B108" s="93"/>
      <c r="C108" s="7" t="s">
        <v>616</v>
      </c>
      <c r="D108" s="94" t="s">
        <v>34</v>
      </c>
      <c r="E108" s="95" t="s">
        <v>110</v>
      </c>
      <c r="F108" s="70">
        <v>8</v>
      </c>
      <c r="G108" s="161">
        <v>6</v>
      </c>
      <c r="H108" s="70" t="s">
        <v>303</v>
      </c>
      <c r="I108" s="70">
        <v>3</v>
      </c>
      <c r="J108" s="70" t="s">
        <v>373</v>
      </c>
      <c r="K108" s="70" t="s">
        <v>18</v>
      </c>
      <c r="L108" s="70" t="s">
        <v>372</v>
      </c>
    </row>
    <row r="109" spans="1:12" ht="20.25" customHeight="1" x14ac:dyDescent="0.3">
      <c r="A109" s="101" t="s">
        <v>244</v>
      </c>
      <c r="B109" s="93"/>
      <c r="C109" s="7" t="s">
        <v>243</v>
      </c>
      <c r="D109" s="94" t="s">
        <v>696</v>
      </c>
      <c r="E109" s="95" t="s">
        <v>110</v>
      </c>
      <c r="F109" s="70">
        <v>6</v>
      </c>
      <c r="G109" s="161">
        <v>6</v>
      </c>
      <c r="H109" s="70" t="s">
        <v>303</v>
      </c>
      <c r="I109" s="70">
        <v>3</v>
      </c>
      <c r="J109" s="70" t="s">
        <v>378</v>
      </c>
      <c r="K109" s="70" t="s">
        <v>18</v>
      </c>
      <c r="L109" s="70">
        <v>2013</v>
      </c>
    </row>
    <row r="110" spans="1:12" ht="20.25" customHeight="1" x14ac:dyDescent="0.3">
      <c r="A110" s="101" t="s">
        <v>173</v>
      </c>
      <c r="B110" s="93" t="s">
        <v>968</v>
      </c>
      <c r="C110" s="7" t="s">
        <v>172</v>
      </c>
      <c r="D110" s="94" t="s">
        <v>193</v>
      </c>
      <c r="E110" s="95" t="s">
        <v>110</v>
      </c>
      <c r="F110" s="70">
        <v>6</v>
      </c>
      <c r="G110" s="161">
        <v>6</v>
      </c>
      <c r="H110" s="70" t="s">
        <v>906</v>
      </c>
      <c r="I110" s="70">
        <v>3</v>
      </c>
      <c r="J110" s="70" t="s">
        <v>912</v>
      </c>
      <c r="K110" s="70" t="s">
        <v>18</v>
      </c>
      <c r="L110" s="70" t="s">
        <v>396</v>
      </c>
    </row>
    <row r="111" spans="1:12" ht="20.25" customHeight="1" x14ac:dyDescent="0.3">
      <c r="A111" s="101" t="s">
        <v>300</v>
      </c>
      <c r="B111" s="93"/>
      <c r="C111" s="7" t="s">
        <v>941</v>
      </c>
      <c r="D111" s="94" t="s">
        <v>194</v>
      </c>
      <c r="E111" s="95" t="s">
        <v>110</v>
      </c>
      <c r="F111" s="70">
        <v>6</v>
      </c>
      <c r="G111" s="161">
        <v>6</v>
      </c>
      <c r="H111" s="70" t="s">
        <v>880</v>
      </c>
      <c r="I111" s="70">
        <v>3</v>
      </c>
      <c r="J111" s="70" t="s">
        <v>480</v>
      </c>
      <c r="K111" s="70" t="s">
        <v>18</v>
      </c>
      <c r="L111" s="70" t="s">
        <v>372</v>
      </c>
    </row>
    <row r="112" spans="1:12" ht="20.25" customHeight="1" x14ac:dyDescent="0.3">
      <c r="A112" s="101" t="s">
        <v>414</v>
      </c>
      <c r="B112" s="93"/>
      <c r="C112" s="7" t="s">
        <v>413</v>
      </c>
      <c r="D112" s="94" t="s">
        <v>194</v>
      </c>
      <c r="E112" s="95" t="s">
        <v>110</v>
      </c>
      <c r="F112" s="70">
        <v>4</v>
      </c>
      <c r="G112" s="161">
        <v>6</v>
      </c>
      <c r="H112" s="70" t="s">
        <v>568</v>
      </c>
      <c r="I112" s="70">
        <v>3</v>
      </c>
      <c r="J112" s="70" t="s">
        <v>901</v>
      </c>
      <c r="K112" s="70" t="s">
        <v>18</v>
      </c>
      <c r="L112" s="70" t="s">
        <v>381</v>
      </c>
    </row>
    <row r="113" spans="1:12" ht="20.25" customHeight="1" x14ac:dyDescent="0.3">
      <c r="A113" s="101" t="s">
        <v>342</v>
      </c>
      <c r="B113" s="93"/>
      <c r="C113" s="7" t="s">
        <v>341</v>
      </c>
      <c r="D113" s="94" t="s">
        <v>194</v>
      </c>
      <c r="E113" s="95" t="s">
        <v>109</v>
      </c>
      <c r="F113" s="70">
        <v>6</v>
      </c>
      <c r="G113" s="161">
        <v>6</v>
      </c>
      <c r="H113" s="70" t="s">
        <v>902</v>
      </c>
      <c r="I113" s="70">
        <v>3</v>
      </c>
      <c r="J113" s="70" t="s">
        <v>949</v>
      </c>
      <c r="K113" s="70" t="s">
        <v>18</v>
      </c>
      <c r="L113" s="70" t="s">
        <v>386</v>
      </c>
    </row>
    <row r="114" spans="1:12" ht="20.25" customHeight="1" x14ac:dyDescent="0.3">
      <c r="A114" s="101" t="s">
        <v>416</v>
      </c>
      <c r="B114" s="93"/>
      <c r="C114" s="7" t="s">
        <v>415</v>
      </c>
      <c r="D114" s="94" t="s">
        <v>194</v>
      </c>
      <c r="E114" s="95" t="s">
        <v>114</v>
      </c>
      <c r="F114" s="70">
        <v>6</v>
      </c>
      <c r="G114" s="161">
        <v>6</v>
      </c>
      <c r="H114" s="70" t="s">
        <v>562</v>
      </c>
      <c r="I114" s="70">
        <v>3</v>
      </c>
      <c r="J114" s="70" t="s">
        <v>561</v>
      </c>
      <c r="K114" s="70" t="s">
        <v>18</v>
      </c>
      <c r="L114" s="70" t="s">
        <v>560</v>
      </c>
    </row>
    <row r="115" spans="1:12" ht="20.25" customHeight="1" x14ac:dyDescent="0.3">
      <c r="A115" s="101" t="s">
        <v>326</v>
      </c>
      <c r="B115" s="93"/>
      <c r="C115" s="7" t="s">
        <v>325</v>
      </c>
      <c r="D115" s="94" t="s">
        <v>193</v>
      </c>
      <c r="E115" s="95" t="s">
        <v>110</v>
      </c>
      <c r="F115" s="70">
        <v>4</v>
      </c>
      <c r="G115" s="161">
        <v>6</v>
      </c>
      <c r="H115" s="70" t="s">
        <v>567</v>
      </c>
      <c r="I115" s="70">
        <v>3</v>
      </c>
      <c r="J115" s="70" t="s">
        <v>568</v>
      </c>
      <c r="K115" s="70" t="s">
        <v>18</v>
      </c>
      <c r="L115" s="70" t="s">
        <v>381</v>
      </c>
    </row>
    <row r="116" spans="1:12" ht="20.25" customHeight="1" x14ac:dyDescent="0.3">
      <c r="A116" s="101" t="s">
        <v>302</v>
      </c>
      <c r="B116" s="93"/>
      <c r="C116" s="7" t="s">
        <v>301</v>
      </c>
      <c r="D116" s="94" t="s">
        <v>194</v>
      </c>
      <c r="E116" s="95" t="s">
        <v>109</v>
      </c>
      <c r="F116" s="70">
        <v>4</v>
      </c>
      <c r="G116" s="161">
        <v>6</v>
      </c>
      <c r="H116" s="70" t="s">
        <v>576</v>
      </c>
      <c r="I116" s="70">
        <v>3</v>
      </c>
      <c r="J116" s="70" t="s">
        <v>576</v>
      </c>
      <c r="K116" s="70" t="s">
        <v>18</v>
      </c>
      <c r="L116" s="70" t="s">
        <v>386</v>
      </c>
    </row>
    <row r="117" spans="1:12" ht="20.25" customHeight="1" x14ac:dyDescent="0.3">
      <c r="A117" s="101" t="s">
        <v>300</v>
      </c>
      <c r="B117" s="93"/>
      <c r="C117" s="7" t="s">
        <v>299</v>
      </c>
      <c r="D117" s="94" t="s">
        <v>194</v>
      </c>
      <c r="E117" s="95" t="s">
        <v>110</v>
      </c>
      <c r="F117" s="70">
        <v>6</v>
      </c>
      <c r="G117" s="161">
        <v>6</v>
      </c>
      <c r="H117" s="70" t="s">
        <v>889</v>
      </c>
      <c r="I117" s="70">
        <v>3</v>
      </c>
      <c r="J117" s="70" t="s">
        <v>565</v>
      </c>
      <c r="K117" s="70" t="s">
        <v>18</v>
      </c>
      <c r="L117" s="70" t="s">
        <v>390</v>
      </c>
    </row>
    <row r="118" spans="1:12" ht="20.25" customHeight="1" x14ac:dyDescent="0.3">
      <c r="A118" s="101" t="s">
        <v>231</v>
      </c>
      <c r="B118" s="93"/>
      <c r="C118" s="7" t="s">
        <v>230</v>
      </c>
      <c r="D118" s="94" t="s">
        <v>194</v>
      </c>
      <c r="E118" s="95" t="s">
        <v>110</v>
      </c>
      <c r="F118" s="70">
        <v>4</v>
      </c>
      <c r="G118" s="161">
        <v>6</v>
      </c>
      <c r="H118" s="70" t="s">
        <v>967</v>
      </c>
      <c r="I118" s="70">
        <v>3</v>
      </c>
      <c r="J118" s="70" t="s">
        <v>879</v>
      </c>
      <c r="K118" s="70" t="s">
        <v>18</v>
      </c>
      <c r="L118" s="70" t="s">
        <v>395</v>
      </c>
    </row>
    <row r="119" spans="1:12" ht="20.25" customHeight="1" x14ac:dyDescent="0.3">
      <c r="A119" s="101" t="s">
        <v>218</v>
      </c>
      <c r="B119" s="93"/>
      <c r="C119" s="7" t="s">
        <v>217</v>
      </c>
      <c r="D119" s="94" t="s">
        <v>194</v>
      </c>
      <c r="E119" s="95" t="s">
        <v>114</v>
      </c>
      <c r="F119" s="70">
        <v>6</v>
      </c>
      <c r="G119" s="161">
        <v>6</v>
      </c>
      <c r="H119" s="70">
        <v>2</v>
      </c>
      <c r="I119" s="70">
        <v>3</v>
      </c>
      <c r="J119" s="70">
        <v>4</v>
      </c>
      <c r="K119" s="70" t="s">
        <v>18</v>
      </c>
      <c r="L119" s="70">
        <v>2013</v>
      </c>
    </row>
    <row r="120" spans="1:12" ht="20.25" customHeight="1" x14ac:dyDescent="0.3">
      <c r="A120" s="101" t="s">
        <v>118</v>
      </c>
      <c r="B120" s="93"/>
      <c r="C120" s="7" t="s">
        <v>117</v>
      </c>
      <c r="D120" s="94" t="s">
        <v>194</v>
      </c>
      <c r="E120" s="95" t="s">
        <v>110</v>
      </c>
      <c r="F120" s="70">
        <v>6</v>
      </c>
      <c r="G120" s="161">
        <v>6</v>
      </c>
      <c r="H120" s="70">
        <v>1</v>
      </c>
      <c r="I120" s="70">
        <v>3</v>
      </c>
      <c r="J120" s="70">
        <v>2</v>
      </c>
      <c r="K120" s="70" t="s">
        <v>18</v>
      </c>
      <c r="L120" s="70">
        <v>2014</v>
      </c>
    </row>
    <row r="121" spans="1:12" ht="20.25" customHeight="1" x14ac:dyDescent="0.3">
      <c r="A121" s="101" t="s">
        <v>955</v>
      </c>
      <c r="B121" s="93"/>
      <c r="C121" s="7" t="s">
        <v>954</v>
      </c>
      <c r="D121" s="94" t="s">
        <v>194</v>
      </c>
      <c r="E121" s="95" t="s">
        <v>110</v>
      </c>
      <c r="F121" s="70">
        <v>16</v>
      </c>
      <c r="G121" s="161">
        <v>6</v>
      </c>
      <c r="H121" s="70" t="s">
        <v>213</v>
      </c>
      <c r="I121" s="70">
        <v>3</v>
      </c>
      <c r="J121" s="70" t="s">
        <v>942</v>
      </c>
      <c r="K121" s="70" t="s">
        <v>18</v>
      </c>
      <c r="L121" s="70">
        <v>2014</v>
      </c>
    </row>
    <row r="122" spans="1:12" ht="20.25" customHeight="1" x14ac:dyDescent="0.3">
      <c r="A122" s="101" t="s">
        <v>586</v>
      </c>
      <c r="B122" s="93"/>
      <c r="C122" s="7" t="s">
        <v>585</v>
      </c>
      <c r="D122" s="94" t="s">
        <v>31</v>
      </c>
      <c r="E122" s="95" t="s">
        <v>114</v>
      </c>
      <c r="F122" s="70">
        <v>6</v>
      </c>
      <c r="G122" s="161">
        <v>7</v>
      </c>
      <c r="H122" s="70" t="s">
        <v>367</v>
      </c>
      <c r="I122" s="70">
        <v>4</v>
      </c>
      <c r="J122" s="70" t="s">
        <v>367</v>
      </c>
      <c r="K122" s="70" t="s">
        <v>18</v>
      </c>
      <c r="L122" s="70">
        <v>2014</v>
      </c>
    </row>
    <row r="123" spans="1:12" ht="20.25" customHeight="1" x14ac:dyDescent="0.3">
      <c r="A123" s="101" t="s">
        <v>732</v>
      </c>
      <c r="B123" s="93"/>
      <c r="C123" s="7" t="s">
        <v>731</v>
      </c>
      <c r="D123" s="94" t="s">
        <v>799</v>
      </c>
      <c r="E123" s="95" t="s">
        <v>114</v>
      </c>
      <c r="F123" s="70">
        <v>6</v>
      </c>
      <c r="G123" s="161">
        <v>7</v>
      </c>
      <c r="H123" s="70" t="s">
        <v>690</v>
      </c>
      <c r="I123" s="70">
        <v>4</v>
      </c>
      <c r="J123" s="70" t="s">
        <v>691</v>
      </c>
      <c r="K123" s="70" t="s">
        <v>18</v>
      </c>
      <c r="L123" s="70" t="s">
        <v>886</v>
      </c>
    </row>
    <row r="124" spans="1:12" ht="20.25" customHeight="1" x14ac:dyDescent="0.3">
      <c r="A124" s="101" t="s">
        <v>707</v>
      </c>
      <c r="B124" s="93"/>
      <c r="C124" s="7" t="s">
        <v>706</v>
      </c>
      <c r="D124" s="94" t="s">
        <v>103</v>
      </c>
      <c r="E124" s="95" t="s">
        <v>114</v>
      </c>
      <c r="F124" s="70">
        <v>6</v>
      </c>
      <c r="G124" s="161">
        <v>7</v>
      </c>
      <c r="H124" s="70" t="s">
        <v>717</v>
      </c>
      <c r="I124" s="70">
        <v>4</v>
      </c>
      <c r="J124" s="70" t="s">
        <v>380</v>
      </c>
      <c r="K124" s="70" t="s">
        <v>18</v>
      </c>
      <c r="L124" s="70" t="s">
        <v>886</v>
      </c>
    </row>
    <row r="125" spans="1:12" ht="20.25" customHeight="1" x14ac:dyDescent="0.3">
      <c r="A125" s="101" t="s">
        <v>825</v>
      </c>
      <c r="B125" s="93"/>
      <c r="C125" s="7" t="s">
        <v>824</v>
      </c>
      <c r="D125" s="94" t="s">
        <v>194</v>
      </c>
      <c r="E125" s="95" t="s">
        <v>114</v>
      </c>
      <c r="F125" s="70">
        <v>12</v>
      </c>
      <c r="G125" s="161">
        <v>7</v>
      </c>
      <c r="H125" s="70" t="s">
        <v>213</v>
      </c>
      <c r="I125" s="70">
        <v>4</v>
      </c>
      <c r="J125" s="70" t="s">
        <v>213</v>
      </c>
      <c r="K125" s="70" t="s">
        <v>18</v>
      </c>
      <c r="L125" s="70">
        <v>2009</v>
      </c>
    </row>
    <row r="126" spans="1:12" ht="20.25" customHeight="1" x14ac:dyDescent="0.3">
      <c r="A126" s="101" t="s">
        <v>430</v>
      </c>
      <c r="B126" s="93"/>
      <c r="C126" s="7" t="s">
        <v>429</v>
      </c>
      <c r="D126" s="94" t="s">
        <v>194</v>
      </c>
      <c r="E126" s="95" t="s">
        <v>114</v>
      </c>
      <c r="F126" s="70">
        <v>6</v>
      </c>
      <c r="G126" s="161">
        <v>7</v>
      </c>
      <c r="H126" s="70" t="s">
        <v>911</v>
      </c>
      <c r="I126" s="70">
        <v>4</v>
      </c>
      <c r="J126" s="70" t="s">
        <v>906</v>
      </c>
      <c r="K126" s="70" t="s">
        <v>18</v>
      </c>
      <c r="L126" s="70" t="s">
        <v>396</v>
      </c>
    </row>
    <row r="127" spans="1:12" ht="20.25" customHeight="1" x14ac:dyDescent="0.3">
      <c r="A127" s="101" t="s">
        <v>813</v>
      </c>
      <c r="B127" s="93"/>
      <c r="C127" s="7" t="s">
        <v>812</v>
      </c>
      <c r="D127" s="94" t="s">
        <v>194</v>
      </c>
      <c r="E127" s="95" t="s">
        <v>110</v>
      </c>
      <c r="F127" s="70">
        <v>6</v>
      </c>
      <c r="G127" s="161">
        <v>7</v>
      </c>
      <c r="H127" s="70" t="s">
        <v>914</v>
      </c>
      <c r="I127" s="70">
        <v>4</v>
      </c>
      <c r="J127" s="70" t="s">
        <v>915</v>
      </c>
      <c r="K127" s="70" t="s">
        <v>18</v>
      </c>
      <c r="L127" s="70" t="s">
        <v>396</v>
      </c>
    </row>
    <row r="128" spans="1:12" ht="20.25" customHeight="1" x14ac:dyDescent="0.3">
      <c r="A128" s="101" t="s">
        <v>233</v>
      </c>
      <c r="B128" s="93"/>
      <c r="C128" s="7" t="s">
        <v>232</v>
      </c>
      <c r="D128" s="94" t="s">
        <v>34</v>
      </c>
      <c r="E128" s="95" t="s">
        <v>110</v>
      </c>
      <c r="F128" s="70">
        <v>6</v>
      </c>
      <c r="G128" s="161">
        <v>7</v>
      </c>
      <c r="H128" s="70" t="s">
        <v>303</v>
      </c>
      <c r="I128" s="70">
        <v>4</v>
      </c>
      <c r="J128" s="70" t="s">
        <v>378</v>
      </c>
      <c r="K128" s="70" t="s">
        <v>18</v>
      </c>
      <c r="L128" s="70" t="s">
        <v>372</v>
      </c>
    </row>
    <row r="129" spans="1:12" ht="20.25" customHeight="1" x14ac:dyDescent="0.3">
      <c r="A129" s="101" t="s">
        <v>790</v>
      </c>
      <c r="B129" s="93"/>
      <c r="C129" s="7" t="s">
        <v>789</v>
      </c>
      <c r="D129" s="94" t="s">
        <v>107</v>
      </c>
      <c r="E129" s="95" t="s">
        <v>114</v>
      </c>
      <c r="F129" s="70">
        <v>6</v>
      </c>
      <c r="G129" s="161">
        <v>7</v>
      </c>
      <c r="H129" s="70" t="s">
        <v>379</v>
      </c>
      <c r="I129" s="70">
        <v>4</v>
      </c>
      <c r="J129" s="70" t="s">
        <v>565</v>
      </c>
      <c r="K129" s="70" t="s">
        <v>18</v>
      </c>
      <c r="L129" s="70" t="s">
        <v>886</v>
      </c>
    </row>
    <row r="130" spans="1:12" ht="20.25" customHeight="1" x14ac:dyDescent="0.3">
      <c r="A130" s="101" t="s">
        <v>434</v>
      </c>
      <c r="B130" s="93"/>
      <c r="C130" s="7" t="s">
        <v>433</v>
      </c>
      <c r="D130" s="94" t="s">
        <v>194</v>
      </c>
      <c r="E130" s="95" t="s">
        <v>114</v>
      </c>
      <c r="F130" s="70">
        <v>6</v>
      </c>
      <c r="G130" s="161">
        <v>7</v>
      </c>
      <c r="H130" s="70" t="s">
        <v>911</v>
      </c>
      <c r="I130" s="70">
        <v>4</v>
      </c>
      <c r="J130" s="70" t="s">
        <v>912</v>
      </c>
      <c r="K130" s="70" t="s">
        <v>18</v>
      </c>
      <c r="L130" s="70" t="s">
        <v>396</v>
      </c>
    </row>
    <row r="131" spans="1:12" ht="20.25" customHeight="1" x14ac:dyDescent="0.3">
      <c r="A131" s="101" t="s">
        <v>660</v>
      </c>
      <c r="B131" s="93"/>
      <c r="C131" s="7" t="s">
        <v>659</v>
      </c>
      <c r="D131" s="94" t="s">
        <v>34</v>
      </c>
      <c r="E131" s="95" t="s">
        <v>114</v>
      </c>
      <c r="F131" s="70">
        <v>6</v>
      </c>
      <c r="G131" s="161">
        <v>7</v>
      </c>
      <c r="H131" s="70" t="s">
        <v>367</v>
      </c>
      <c r="I131" s="70">
        <v>4</v>
      </c>
      <c r="J131" s="70" t="s">
        <v>366</v>
      </c>
      <c r="K131" s="70" t="s">
        <v>18</v>
      </c>
      <c r="L131" s="70">
        <v>2013</v>
      </c>
    </row>
    <row r="132" spans="1:12" ht="20.25" customHeight="1" x14ac:dyDescent="0.3">
      <c r="A132" s="101" t="s">
        <v>625</v>
      </c>
      <c r="B132" s="93"/>
      <c r="C132" s="7" t="s">
        <v>624</v>
      </c>
      <c r="D132" s="94" t="s">
        <v>34</v>
      </c>
      <c r="E132" s="95" t="s">
        <v>114</v>
      </c>
      <c r="F132" s="70">
        <v>6</v>
      </c>
      <c r="G132" s="161">
        <v>7</v>
      </c>
      <c r="H132" s="70" t="s">
        <v>383</v>
      </c>
      <c r="I132" s="70">
        <v>4</v>
      </c>
      <c r="J132" s="70" t="s">
        <v>382</v>
      </c>
      <c r="K132" s="70" t="s">
        <v>18</v>
      </c>
      <c r="L132" s="70" t="s">
        <v>381</v>
      </c>
    </row>
    <row r="133" spans="1:12" ht="20.25" customHeight="1" x14ac:dyDescent="0.3">
      <c r="A133" s="101" t="s">
        <v>627</v>
      </c>
      <c r="B133" s="93"/>
      <c r="C133" s="7" t="s">
        <v>626</v>
      </c>
      <c r="D133" s="94" t="s">
        <v>34</v>
      </c>
      <c r="E133" s="95" t="s">
        <v>114</v>
      </c>
      <c r="F133" s="70">
        <v>6</v>
      </c>
      <c r="G133" s="161">
        <v>7</v>
      </c>
      <c r="H133" s="70" t="s">
        <v>400</v>
      </c>
      <c r="I133" s="70">
        <v>4</v>
      </c>
      <c r="J133" s="70" t="s">
        <v>402</v>
      </c>
      <c r="K133" s="70" t="s">
        <v>18</v>
      </c>
      <c r="L133" s="70" t="s">
        <v>396</v>
      </c>
    </row>
    <row r="134" spans="1:12" ht="20.25" customHeight="1" x14ac:dyDescent="0.3">
      <c r="A134" s="101" t="s">
        <v>623</v>
      </c>
      <c r="B134" s="93"/>
      <c r="C134" s="7" t="s">
        <v>622</v>
      </c>
      <c r="D134" s="94" t="s">
        <v>34</v>
      </c>
      <c r="E134" s="95" t="s">
        <v>114</v>
      </c>
      <c r="F134" s="70">
        <v>6</v>
      </c>
      <c r="G134" s="161">
        <v>7</v>
      </c>
      <c r="H134" s="70" t="s">
        <v>383</v>
      </c>
      <c r="I134" s="70">
        <v>4</v>
      </c>
      <c r="J134" s="70" t="s">
        <v>385</v>
      </c>
      <c r="K134" s="70" t="s">
        <v>18</v>
      </c>
      <c r="L134" s="70" t="s">
        <v>381</v>
      </c>
    </row>
    <row r="135" spans="1:12" ht="20.25" customHeight="1" x14ac:dyDescent="0.3">
      <c r="A135" s="101" t="s">
        <v>631</v>
      </c>
      <c r="B135" s="93"/>
      <c r="C135" s="7" t="s">
        <v>630</v>
      </c>
      <c r="D135" s="94" t="s">
        <v>34</v>
      </c>
      <c r="E135" s="95" t="s">
        <v>114</v>
      </c>
      <c r="F135" s="70">
        <v>6</v>
      </c>
      <c r="G135" s="161">
        <v>7</v>
      </c>
      <c r="H135" s="70" t="s">
        <v>383</v>
      </c>
      <c r="I135" s="70">
        <v>4</v>
      </c>
      <c r="J135" s="70" t="s">
        <v>384</v>
      </c>
      <c r="K135" s="70" t="s">
        <v>18</v>
      </c>
      <c r="L135" s="70" t="s">
        <v>381</v>
      </c>
    </row>
    <row r="136" spans="1:12" ht="20.25" customHeight="1" x14ac:dyDescent="0.3">
      <c r="A136" s="101" t="s">
        <v>823</v>
      </c>
      <c r="B136" s="93"/>
      <c r="C136" s="7" t="s">
        <v>822</v>
      </c>
      <c r="D136" s="94" t="s">
        <v>194</v>
      </c>
      <c r="E136" s="95" t="s">
        <v>110</v>
      </c>
      <c r="F136" s="70">
        <v>6</v>
      </c>
      <c r="G136" s="161">
        <v>7</v>
      </c>
      <c r="H136" s="70" t="s">
        <v>906</v>
      </c>
      <c r="I136" s="70">
        <v>4</v>
      </c>
      <c r="J136" s="70" t="s">
        <v>912</v>
      </c>
      <c r="K136" s="70" t="s">
        <v>18</v>
      </c>
      <c r="L136" s="70" t="s">
        <v>396</v>
      </c>
    </row>
    <row r="137" spans="1:12" ht="20.25" customHeight="1" x14ac:dyDescent="0.3">
      <c r="A137" s="101" t="s">
        <v>504</v>
      </c>
      <c r="B137" s="93"/>
      <c r="C137" s="7" t="s">
        <v>503</v>
      </c>
      <c r="D137" s="94" t="s">
        <v>31</v>
      </c>
      <c r="E137" s="95" t="s">
        <v>114</v>
      </c>
      <c r="F137" s="70">
        <v>6</v>
      </c>
      <c r="G137" s="161">
        <v>7</v>
      </c>
      <c r="H137" s="70" t="s">
        <v>400</v>
      </c>
      <c r="I137" s="70">
        <v>4</v>
      </c>
      <c r="J137" s="70" t="s">
        <v>399</v>
      </c>
      <c r="K137" s="70" t="s">
        <v>18</v>
      </c>
      <c r="L137" s="70" t="s">
        <v>396</v>
      </c>
    </row>
    <row r="138" spans="1:12" ht="20.25" customHeight="1" x14ac:dyDescent="0.3">
      <c r="A138" s="101" t="s">
        <v>266</v>
      </c>
      <c r="B138" s="93"/>
      <c r="C138" s="7" t="s">
        <v>265</v>
      </c>
      <c r="D138" s="94" t="s">
        <v>23</v>
      </c>
      <c r="E138" s="95" t="s">
        <v>110</v>
      </c>
      <c r="F138" s="70">
        <v>6</v>
      </c>
      <c r="G138" s="161">
        <v>7</v>
      </c>
      <c r="H138" s="70" t="s">
        <v>382</v>
      </c>
      <c r="I138" s="70">
        <v>4</v>
      </c>
      <c r="J138" s="70" t="s">
        <v>385</v>
      </c>
      <c r="K138" s="70" t="s">
        <v>18</v>
      </c>
      <c r="L138" s="70" t="s">
        <v>403</v>
      </c>
    </row>
    <row r="139" spans="1:12" ht="20.25" customHeight="1" x14ac:dyDescent="0.3">
      <c r="A139" s="101" t="s">
        <v>362</v>
      </c>
      <c r="B139" s="93"/>
      <c r="C139" s="7" t="s">
        <v>361</v>
      </c>
      <c r="D139" s="94" t="s">
        <v>23</v>
      </c>
      <c r="E139" s="95" t="s">
        <v>110</v>
      </c>
      <c r="F139" s="70">
        <v>6</v>
      </c>
      <c r="G139" s="161">
        <v>7</v>
      </c>
      <c r="H139" s="70" t="s">
        <v>374</v>
      </c>
      <c r="I139" s="70">
        <v>4</v>
      </c>
      <c r="J139" s="70" t="s">
        <v>377</v>
      </c>
      <c r="K139" s="70" t="s">
        <v>18</v>
      </c>
      <c r="L139" s="70" t="s">
        <v>372</v>
      </c>
    </row>
    <row r="140" spans="1:12" ht="20.25" customHeight="1" x14ac:dyDescent="0.3">
      <c r="A140" s="101" t="s">
        <v>272</v>
      </c>
      <c r="B140" s="93"/>
      <c r="C140" s="7" t="s">
        <v>271</v>
      </c>
      <c r="D140" s="94" t="s">
        <v>23</v>
      </c>
      <c r="E140" s="95" t="s">
        <v>114</v>
      </c>
      <c r="F140" s="70">
        <v>6</v>
      </c>
      <c r="G140" s="161">
        <v>7</v>
      </c>
      <c r="H140" s="70" t="s">
        <v>404</v>
      </c>
      <c r="I140" s="70">
        <v>4</v>
      </c>
      <c r="J140" s="70" t="s">
        <v>406</v>
      </c>
      <c r="K140" s="70" t="s">
        <v>18</v>
      </c>
      <c r="L140" s="70" t="s">
        <v>396</v>
      </c>
    </row>
    <row r="141" spans="1:12" ht="20.25" customHeight="1" x14ac:dyDescent="0.3">
      <c r="A141" s="101" t="s">
        <v>237</v>
      </c>
      <c r="B141" s="93"/>
      <c r="C141" s="7" t="s">
        <v>236</v>
      </c>
      <c r="D141" s="94" t="s">
        <v>23</v>
      </c>
      <c r="E141" s="95" t="s">
        <v>110</v>
      </c>
      <c r="F141" s="70">
        <v>6</v>
      </c>
      <c r="G141" s="161">
        <v>7</v>
      </c>
      <c r="H141" s="70" t="s">
        <v>400</v>
      </c>
      <c r="I141" s="70">
        <v>4</v>
      </c>
      <c r="J141" s="70" t="s">
        <v>400</v>
      </c>
      <c r="K141" s="70" t="s">
        <v>18</v>
      </c>
      <c r="L141" s="70" t="s">
        <v>396</v>
      </c>
    </row>
    <row r="142" spans="1:12" ht="20.25" customHeight="1" x14ac:dyDescent="0.3">
      <c r="A142" s="101" t="s">
        <v>235</v>
      </c>
      <c r="B142" s="93"/>
      <c r="C142" s="7" t="s">
        <v>234</v>
      </c>
      <c r="D142" s="94" t="s">
        <v>23</v>
      </c>
      <c r="E142" s="95" t="s">
        <v>114</v>
      </c>
      <c r="F142" s="70">
        <v>6</v>
      </c>
      <c r="G142" s="161">
        <v>7</v>
      </c>
      <c r="H142" s="70" t="s">
        <v>383</v>
      </c>
      <c r="I142" s="70">
        <v>4</v>
      </c>
      <c r="J142" s="70" t="s">
        <v>384</v>
      </c>
      <c r="K142" s="70" t="s">
        <v>18</v>
      </c>
      <c r="L142" s="70" t="s">
        <v>403</v>
      </c>
    </row>
    <row r="143" spans="1:12" ht="20.25" customHeight="1" x14ac:dyDescent="0.3">
      <c r="A143" s="101" t="s">
        <v>422</v>
      </c>
      <c r="B143" s="93"/>
      <c r="C143" s="7" t="s">
        <v>421</v>
      </c>
      <c r="D143" s="94" t="s">
        <v>194</v>
      </c>
      <c r="E143" s="95" t="s">
        <v>114</v>
      </c>
      <c r="F143" s="70">
        <v>6</v>
      </c>
      <c r="G143" s="161">
        <v>7</v>
      </c>
      <c r="H143" s="70" t="s">
        <v>906</v>
      </c>
      <c r="I143" s="70">
        <v>4</v>
      </c>
      <c r="J143" s="70" t="s">
        <v>912</v>
      </c>
      <c r="K143" s="70" t="s">
        <v>18</v>
      </c>
      <c r="L143" s="70" t="s">
        <v>396</v>
      </c>
    </row>
    <row r="144" spans="1:12" ht="20.25" customHeight="1" x14ac:dyDescent="0.3">
      <c r="A144" s="101" t="s">
        <v>424</v>
      </c>
      <c r="B144" s="93"/>
      <c r="C144" s="7" t="s">
        <v>423</v>
      </c>
      <c r="D144" s="94" t="s">
        <v>194</v>
      </c>
      <c r="E144" s="95" t="s">
        <v>114</v>
      </c>
      <c r="F144" s="70">
        <v>6</v>
      </c>
      <c r="G144" s="161">
        <v>7</v>
      </c>
      <c r="H144" s="70" t="s">
        <v>914</v>
      </c>
      <c r="I144" s="70">
        <v>4</v>
      </c>
      <c r="J144" s="70" t="s">
        <v>402</v>
      </c>
      <c r="K144" s="70" t="s">
        <v>18</v>
      </c>
      <c r="L144" s="70" t="s">
        <v>396</v>
      </c>
    </row>
    <row r="145" spans="1:12" ht="20.25" customHeight="1" x14ac:dyDescent="0.3">
      <c r="A145" s="101" t="s">
        <v>438</v>
      </c>
      <c r="B145" s="93"/>
      <c r="C145" s="7" t="s">
        <v>437</v>
      </c>
      <c r="D145" s="94" t="s">
        <v>194</v>
      </c>
      <c r="E145" s="95" t="s">
        <v>114</v>
      </c>
      <c r="F145" s="70">
        <v>6</v>
      </c>
      <c r="G145" s="161">
        <v>7</v>
      </c>
      <c r="H145" s="70" t="s">
        <v>911</v>
      </c>
      <c r="I145" s="70">
        <v>4</v>
      </c>
      <c r="J145" s="70" t="s">
        <v>911</v>
      </c>
      <c r="K145" s="70" t="s">
        <v>18</v>
      </c>
      <c r="L145" s="70" t="s">
        <v>396</v>
      </c>
    </row>
    <row r="146" spans="1:12" ht="20.25" customHeight="1" x14ac:dyDescent="0.3">
      <c r="A146" s="101" t="s">
        <v>270</v>
      </c>
      <c r="B146" s="93"/>
      <c r="C146" s="7" t="s">
        <v>269</v>
      </c>
      <c r="D146" s="94" t="s">
        <v>23</v>
      </c>
      <c r="E146" s="95" t="s">
        <v>114</v>
      </c>
      <c r="F146" s="70">
        <v>6</v>
      </c>
      <c r="G146" s="161">
        <v>7</v>
      </c>
      <c r="H146" s="70" t="s">
        <v>303</v>
      </c>
      <c r="I146" s="70">
        <v>4</v>
      </c>
      <c r="J146" s="70" t="s">
        <v>373</v>
      </c>
      <c r="K146" s="70" t="s">
        <v>18</v>
      </c>
      <c r="L146" s="70" t="s">
        <v>395</v>
      </c>
    </row>
    <row r="147" spans="1:12" ht="20.25" customHeight="1" x14ac:dyDescent="0.3">
      <c r="A147" s="101" t="s">
        <v>290</v>
      </c>
      <c r="B147" s="93"/>
      <c r="C147" s="7" t="s">
        <v>289</v>
      </c>
      <c r="D147" s="94" t="s">
        <v>23</v>
      </c>
      <c r="E147" s="95" t="s">
        <v>114</v>
      </c>
      <c r="F147" s="70">
        <v>6</v>
      </c>
      <c r="G147" s="161">
        <v>7</v>
      </c>
      <c r="H147" s="70" t="s">
        <v>387</v>
      </c>
      <c r="I147" s="70">
        <v>4</v>
      </c>
      <c r="J147" s="70" t="s">
        <v>393</v>
      </c>
      <c r="K147" s="70" t="s">
        <v>18</v>
      </c>
      <c r="L147" s="70" t="s">
        <v>386</v>
      </c>
    </row>
    <row r="148" spans="1:12" ht="20.25" customHeight="1" x14ac:dyDescent="0.3">
      <c r="A148" s="101" t="s">
        <v>178</v>
      </c>
      <c r="B148" s="93" t="s">
        <v>968</v>
      </c>
      <c r="C148" s="7" t="s">
        <v>177</v>
      </c>
      <c r="D148" s="94" t="s">
        <v>193</v>
      </c>
      <c r="E148" s="95" t="s">
        <v>114</v>
      </c>
      <c r="F148" s="70">
        <v>6</v>
      </c>
      <c r="G148" s="161">
        <v>8</v>
      </c>
      <c r="H148" s="70" t="s">
        <v>914</v>
      </c>
      <c r="I148" s="70">
        <v>4</v>
      </c>
      <c r="J148" s="70" t="s">
        <v>924</v>
      </c>
      <c r="K148" s="70" t="s">
        <v>18</v>
      </c>
      <c r="L148" s="70" t="s">
        <v>396</v>
      </c>
    </row>
    <row r="149" spans="1:12" ht="20.25" customHeight="1" x14ac:dyDescent="0.3">
      <c r="A149" s="101" t="s">
        <v>284</v>
      </c>
      <c r="B149" s="93"/>
      <c r="C149" s="7" t="s">
        <v>283</v>
      </c>
      <c r="D149" s="94" t="s">
        <v>23</v>
      </c>
      <c r="E149" s="95" t="s">
        <v>110</v>
      </c>
      <c r="F149" s="70">
        <v>6</v>
      </c>
      <c r="G149" s="161">
        <v>7</v>
      </c>
      <c r="H149" s="70" t="s">
        <v>382</v>
      </c>
      <c r="I149" s="70">
        <v>4</v>
      </c>
      <c r="J149" s="70" t="s">
        <v>383</v>
      </c>
      <c r="K149" s="70" t="s">
        <v>18</v>
      </c>
      <c r="L149" s="70" t="s">
        <v>389</v>
      </c>
    </row>
    <row r="150" spans="1:12" ht="20.25" customHeight="1" x14ac:dyDescent="0.3">
      <c r="A150" s="101" t="s">
        <v>705</v>
      </c>
      <c r="B150" s="93"/>
      <c r="C150" s="7" t="s">
        <v>704</v>
      </c>
      <c r="D150" s="94" t="s">
        <v>800</v>
      </c>
      <c r="E150" s="95" t="s">
        <v>114</v>
      </c>
      <c r="F150" s="70">
        <v>6</v>
      </c>
      <c r="G150" s="161">
        <v>7</v>
      </c>
      <c r="H150" s="70" t="s">
        <v>805</v>
      </c>
      <c r="I150" s="70">
        <v>4</v>
      </c>
      <c r="J150" s="70" t="s">
        <v>806</v>
      </c>
      <c r="K150" s="70" t="s">
        <v>18</v>
      </c>
      <c r="L150" s="70" t="s">
        <v>716</v>
      </c>
    </row>
    <row r="151" spans="1:12" ht="20.25" customHeight="1" x14ac:dyDescent="0.3">
      <c r="A151" s="101" t="s">
        <v>538</v>
      </c>
      <c r="B151" s="93"/>
      <c r="C151" s="7" t="s">
        <v>537</v>
      </c>
      <c r="D151" s="94" t="s">
        <v>31</v>
      </c>
      <c r="E151" s="95" t="s">
        <v>110</v>
      </c>
      <c r="F151" s="70">
        <v>6</v>
      </c>
      <c r="G151" s="161">
        <v>7</v>
      </c>
      <c r="H151" s="70" t="s">
        <v>366</v>
      </c>
      <c r="I151" s="70">
        <v>4</v>
      </c>
      <c r="J151" s="70" t="s">
        <v>214</v>
      </c>
      <c r="K151" s="70" t="s">
        <v>18</v>
      </c>
      <c r="L151" s="70">
        <v>2010</v>
      </c>
    </row>
    <row r="152" spans="1:12" ht="20.25" customHeight="1" x14ac:dyDescent="0.3">
      <c r="A152" s="101" t="s">
        <v>494</v>
      </c>
      <c r="B152" s="93"/>
      <c r="C152" s="7" t="s">
        <v>493</v>
      </c>
      <c r="D152" s="94" t="s">
        <v>694</v>
      </c>
      <c r="E152" s="95" t="s">
        <v>114</v>
      </c>
      <c r="F152" s="70">
        <v>6</v>
      </c>
      <c r="G152" s="161">
        <v>7</v>
      </c>
      <c r="H152" s="70" t="s">
        <v>400</v>
      </c>
      <c r="I152" s="70">
        <v>4</v>
      </c>
      <c r="J152" s="70" t="s">
        <v>410</v>
      </c>
      <c r="K152" s="70" t="s">
        <v>18</v>
      </c>
      <c r="L152" s="70" t="s">
        <v>697</v>
      </c>
    </row>
    <row r="153" spans="1:12" ht="20.25" customHeight="1" x14ac:dyDescent="0.3">
      <c r="A153" s="101" t="s">
        <v>720</v>
      </c>
      <c r="B153" s="93"/>
      <c r="C153" s="7" t="s">
        <v>719</v>
      </c>
      <c r="D153" s="94" t="s">
        <v>67</v>
      </c>
      <c r="E153" s="95" t="s">
        <v>114</v>
      </c>
      <c r="F153" s="70">
        <v>6</v>
      </c>
      <c r="G153" s="161">
        <v>7</v>
      </c>
      <c r="H153" s="70" t="s">
        <v>380</v>
      </c>
      <c r="I153" s="70">
        <v>4</v>
      </c>
      <c r="J153" s="70" t="s">
        <v>380</v>
      </c>
      <c r="K153" s="70" t="s">
        <v>18</v>
      </c>
      <c r="L153" s="70" t="s">
        <v>886</v>
      </c>
    </row>
    <row r="154" spans="1:12" ht="20.25" customHeight="1" x14ac:dyDescent="0.3">
      <c r="A154" s="101" t="s">
        <v>274</v>
      </c>
      <c r="B154" s="93"/>
      <c r="C154" s="7" t="s">
        <v>363</v>
      </c>
      <c r="D154" s="94" t="s">
        <v>23</v>
      </c>
      <c r="E154" s="95" t="s">
        <v>114</v>
      </c>
      <c r="F154" s="70">
        <v>6</v>
      </c>
      <c r="G154" s="161">
        <v>7</v>
      </c>
      <c r="H154" s="70" t="s">
        <v>373</v>
      </c>
      <c r="I154" s="70">
        <v>4</v>
      </c>
      <c r="J154" s="70" t="s">
        <v>378</v>
      </c>
      <c r="K154" s="70" t="s">
        <v>18</v>
      </c>
      <c r="L154" s="70" t="s">
        <v>372</v>
      </c>
    </row>
    <row r="155" spans="1:12" ht="20.25" customHeight="1" x14ac:dyDescent="0.3">
      <c r="A155" s="101" t="s">
        <v>274</v>
      </c>
      <c r="B155" s="93"/>
      <c r="C155" s="7" t="s">
        <v>273</v>
      </c>
      <c r="D155" s="94" t="s">
        <v>23</v>
      </c>
      <c r="E155" s="95" t="s">
        <v>110</v>
      </c>
      <c r="F155" s="70">
        <v>4</v>
      </c>
      <c r="G155" s="161">
        <v>7</v>
      </c>
      <c r="H155" s="70" t="s">
        <v>383</v>
      </c>
      <c r="I155" s="70">
        <v>4</v>
      </c>
      <c r="J155" s="70" t="s">
        <v>385</v>
      </c>
      <c r="K155" s="70" t="s">
        <v>18</v>
      </c>
      <c r="L155" s="70" t="s">
        <v>403</v>
      </c>
    </row>
    <row r="156" spans="1:12" ht="20.25" customHeight="1" x14ac:dyDescent="0.3">
      <c r="A156" s="101" t="s">
        <v>730</v>
      </c>
      <c r="B156" s="93"/>
      <c r="C156" s="7" t="s">
        <v>729</v>
      </c>
      <c r="D156" s="94" t="s">
        <v>194</v>
      </c>
      <c r="E156" s="95" t="s">
        <v>114</v>
      </c>
      <c r="F156" s="70">
        <v>6</v>
      </c>
      <c r="G156" s="161">
        <v>7</v>
      </c>
      <c r="H156" s="70" t="s">
        <v>567</v>
      </c>
      <c r="I156" s="70">
        <v>4</v>
      </c>
      <c r="J156" s="70" t="s">
        <v>898</v>
      </c>
      <c r="K156" s="70" t="s">
        <v>18</v>
      </c>
      <c r="L156" s="70" t="s">
        <v>403</v>
      </c>
    </row>
    <row r="157" spans="1:12" ht="20.25" customHeight="1" x14ac:dyDescent="0.3">
      <c r="A157" s="101" t="s">
        <v>658</v>
      </c>
      <c r="B157" s="93"/>
      <c r="C157" s="7" t="s">
        <v>657</v>
      </c>
      <c r="D157" s="94" t="s">
        <v>34</v>
      </c>
      <c r="E157" s="95" t="s">
        <v>114</v>
      </c>
      <c r="F157" s="70">
        <v>6</v>
      </c>
      <c r="G157" s="161">
        <v>7</v>
      </c>
      <c r="H157" s="70" t="s">
        <v>373</v>
      </c>
      <c r="I157" s="70">
        <v>4</v>
      </c>
      <c r="J157" s="70" t="s">
        <v>378</v>
      </c>
      <c r="K157" s="70" t="s">
        <v>18</v>
      </c>
      <c r="L157" s="70" t="s">
        <v>395</v>
      </c>
    </row>
    <row r="158" spans="1:12" ht="20.25" customHeight="1" x14ac:dyDescent="0.3">
      <c r="A158" s="101" t="s">
        <v>629</v>
      </c>
      <c r="B158" s="93"/>
      <c r="C158" s="7" t="s">
        <v>628</v>
      </c>
      <c r="D158" s="94" t="s">
        <v>34</v>
      </c>
      <c r="E158" s="95" t="s">
        <v>110</v>
      </c>
      <c r="F158" s="70">
        <v>6</v>
      </c>
      <c r="G158" s="161">
        <v>7</v>
      </c>
      <c r="H158" s="70" t="s">
        <v>400</v>
      </c>
      <c r="I158" s="70">
        <v>4</v>
      </c>
      <c r="J158" s="70" t="s">
        <v>683</v>
      </c>
      <c r="K158" s="70" t="s">
        <v>18</v>
      </c>
      <c r="L158" s="70" t="s">
        <v>396</v>
      </c>
    </row>
    <row r="159" spans="1:12" ht="20.25" customHeight="1" x14ac:dyDescent="0.3">
      <c r="A159" s="101" t="s">
        <v>818</v>
      </c>
      <c r="B159" s="93"/>
      <c r="C159" s="7" t="s">
        <v>817</v>
      </c>
      <c r="D159" s="94" t="s">
        <v>194</v>
      </c>
      <c r="E159" s="95" t="s">
        <v>110</v>
      </c>
      <c r="F159" s="70">
        <v>6</v>
      </c>
      <c r="G159" s="161">
        <v>7</v>
      </c>
      <c r="H159" s="70" t="s">
        <v>889</v>
      </c>
      <c r="I159" s="70">
        <v>4</v>
      </c>
      <c r="J159" s="70" t="s">
        <v>565</v>
      </c>
      <c r="K159" s="70" t="s">
        <v>18</v>
      </c>
      <c r="L159" s="70" t="s">
        <v>560</v>
      </c>
    </row>
    <row r="160" spans="1:12" ht="20.25" customHeight="1" x14ac:dyDescent="0.3">
      <c r="A160" s="101" t="s">
        <v>818</v>
      </c>
      <c r="B160" s="93"/>
      <c r="C160" s="7" t="s">
        <v>895</v>
      </c>
      <c r="D160" s="94" t="s">
        <v>194</v>
      </c>
      <c r="E160" s="95" t="s">
        <v>110</v>
      </c>
      <c r="F160" s="70">
        <v>6</v>
      </c>
      <c r="G160" s="161">
        <v>7</v>
      </c>
      <c r="H160" s="70" t="s">
        <v>889</v>
      </c>
      <c r="I160" s="70">
        <v>4</v>
      </c>
      <c r="J160" s="70" t="s">
        <v>918</v>
      </c>
      <c r="K160" s="70" t="s">
        <v>18</v>
      </c>
      <c r="L160" s="70" t="s">
        <v>716</v>
      </c>
    </row>
    <row r="161" spans="1:12" ht="20.25" customHeight="1" x14ac:dyDescent="0.3">
      <c r="A161" s="101" t="s">
        <v>496</v>
      </c>
      <c r="B161" s="93"/>
      <c r="C161" s="7" t="s">
        <v>495</v>
      </c>
      <c r="D161" s="94" t="s">
        <v>31</v>
      </c>
      <c r="E161" s="95" t="s">
        <v>114</v>
      </c>
      <c r="F161" s="70">
        <v>6</v>
      </c>
      <c r="G161" s="161">
        <v>7</v>
      </c>
      <c r="H161" s="70" t="s">
        <v>388</v>
      </c>
      <c r="I161" s="70">
        <v>4</v>
      </c>
      <c r="J161" s="70" t="s">
        <v>394</v>
      </c>
      <c r="K161" s="70" t="s">
        <v>18</v>
      </c>
      <c r="L161" s="70" t="s">
        <v>386</v>
      </c>
    </row>
    <row r="162" spans="1:12" ht="20.25" customHeight="1" x14ac:dyDescent="0.3">
      <c r="A162" s="101" t="s">
        <v>653</v>
      </c>
      <c r="B162" s="93"/>
      <c r="C162" s="7" t="s">
        <v>652</v>
      </c>
      <c r="D162" s="94" t="s">
        <v>34</v>
      </c>
      <c r="E162" s="95" t="s">
        <v>110</v>
      </c>
      <c r="F162" s="70">
        <v>6</v>
      </c>
      <c r="G162" s="161">
        <v>7</v>
      </c>
      <c r="H162" s="70" t="s">
        <v>382</v>
      </c>
      <c r="I162" s="70">
        <v>4</v>
      </c>
      <c r="J162" s="70" t="s">
        <v>682</v>
      </c>
      <c r="K162" s="70" t="s">
        <v>18</v>
      </c>
      <c r="L162" s="70" t="s">
        <v>403</v>
      </c>
    </row>
    <row r="163" spans="1:12" ht="20.25" customHeight="1" x14ac:dyDescent="0.3">
      <c r="A163" s="101" t="s">
        <v>575</v>
      </c>
      <c r="B163" s="93"/>
      <c r="C163" s="7" t="s">
        <v>574</v>
      </c>
      <c r="D163" s="94" t="s">
        <v>31</v>
      </c>
      <c r="E163" s="95" t="s">
        <v>110</v>
      </c>
      <c r="F163" s="70">
        <v>6</v>
      </c>
      <c r="G163" s="161">
        <v>7</v>
      </c>
      <c r="H163" s="70" t="s">
        <v>369</v>
      </c>
      <c r="I163" s="70">
        <v>4</v>
      </c>
      <c r="J163" s="70" t="s">
        <v>535</v>
      </c>
      <c r="K163" s="70" t="s">
        <v>18</v>
      </c>
      <c r="L163" s="70">
        <v>2013</v>
      </c>
    </row>
    <row r="164" spans="1:12" ht="20.25" customHeight="1" x14ac:dyDescent="0.3">
      <c r="A164" s="101" t="s">
        <v>734</v>
      </c>
      <c r="B164" s="93"/>
      <c r="C164" s="7" t="s">
        <v>733</v>
      </c>
      <c r="D164" s="94" t="s">
        <v>799</v>
      </c>
      <c r="E164" s="95" t="s">
        <v>114</v>
      </c>
      <c r="F164" s="70">
        <v>6</v>
      </c>
      <c r="G164" s="161">
        <v>7</v>
      </c>
      <c r="H164" s="70" t="s">
        <v>383</v>
      </c>
      <c r="I164" s="70">
        <v>4</v>
      </c>
      <c r="J164" s="70" t="s">
        <v>384</v>
      </c>
      <c r="K164" s="70" t="s">
        <v>18</v>
      </c>
      <c r="L164" s="70" t="s">
        <v>886</v>
      </c>
    </row>
    <row r="165" spans="1:12" ht="20.25" customHeight="1" x14ac:dyDescent="0.3">
      <c r="A165" s="101" t="s">
        <v>736</v>
      </c>
      <c r="B165" s="93"/>
      <c r="C165" s="7" t="s">
        <v>735</v>
      </c>
      <c r="D165" s="94" t="s">
        <v>104</v>
      </c>
      <c r="E165" s="95" t="s">
        <v>114</v>
      </c>
      <c r="F165" s="70">
        <v>6</v>
      </c>
      <c r="G165" s="161">
        <v>7</v>
      </c>
      <c r="H165" s="70" t="s">
        <v>380</v>
      </c>
      <c r="I165" s="70">
        <v>4</v>
      </c>
      <c r="J165" s="70" t="s">
        <v>380</v>
      </c>
      <c r="K165" s="70" t="s">
        <v>18</v>
      </c>
      <c r="L165" s="70" t="s">
        <v>716</v>
      </c>
    </row>
    <row r="166" spans="1:12" ht="20.25" customHeight="1" x14ac:dyDescent="0.3">
      <c r="A166" s="101" t="s">
        <v>839</v>
      </c>
      <c r="B166" s="93"/>
      <c r="C166" s="7" t="s">
        <v>838</v>
      </c>
      <c r="D166" s="94" t="s">
        <v>194</v>
      </c>
      <c r="E166" s="95" t="s">
        <v>114</v>
      </c>
      <c r="F166" s="70">
        <v>6</v>
      </c>
      <c r="G166" s="161">
        <v>7</v>
      </c>
      <c r="H166" s="70" t="s">
        <v>561</v>
      </c>
      <c r="I166" s="70">
        <v>4</v>
      </c>
      <c r="J166" s="70" t="s">
        <v>561</v>
      </c>
      <c r="K166" s="70" t="s">
        <v>18</v>
      </c>
      <c r="L166" s="70" t="s">
        <v>560</v>
      </c>
    </row>
    <row r="167" spans="1:12" ht="20.25" customHeight="1" x14ac:dyDescent="0.3">
      <c r="A167" s="101" t="s">
        <v>485</v>
      </c>
      <c r="B167" s="93"/>
      <c r="C167" s="7" t="s">
        <v>484</v>
      </c>
      <c r="D167" s="94" t="s">
        <v>694</v>
      </c>
      <c r="E167" s="95" t="s">
        <v>114</v>
      </c>
      <c r="F167" s="70">
        <v>6</v>
      </c>
      <c r="G167" s="161">
        <v>7</v>
      </c>
      <c r="H167" s="70" t="s">
        <v>399</v>
      </c>
      <c r="I167" s="70">
        <v>4</v>
      </c>
      <c r="J167" s="70" t="s">
        <v>410</v>
      </c>
      <c r="K167" s="70" t="s">
        <v>18</v>
      </c>
      <c r="L167" s="70" t="s">
        <v>697</v>
      </c>
    </row>
    <row r="168" spans="1:12" ht="20.25" customHeight="1" x14ac:dyDescent="0.3">
      <c r="A168" s="101" t="s">
        <v>740</v>
      </c>
      <c r="B168" s="93"/>
      <c r="C168" s="7" t="s">
        <v>739</v>
      </c>
      <c r="D168" s="94" t="s">
        <v>194</v>
      </c>
      <c r="E168" s="95" t="s">
        <v>114</v>
      </c>
      <c r="F168" s="70">
        <v>12</v>
      </c>
      <c r="G168" s="161">
        <v>7</v>
      </c>
      <c r="H168" s="70" t="s">
        <v>889</v>
      </c>
      <c r="I168" s="70">
        <v>4</v>
      </c>
      <c r="J168" s="70" t="s">
        <v>565</v>
      </c>
      <c r="K168" s="70" t="s">
        <v>18</v>
      </c>
      <c r="L168" s="70" t="s">
        <v>560</v>
      </c>
    </row>
    <row r="169" spans="1:12" ht="20.25" customHeight="1" x14ac:dyDescent="0.3">
      <c r="A169" s="101" t="s">
        <v>268</v>
      </c>
      <c r="B169" s="93"/>
      <c r="C169" s="7" t="s">
        <v>267</v>
      </c>
      <c r="D169" s="94" t="s">
        <v>23</v>
      </c>
      <c r="E169" s="95" t="s">
        <v>114</v>
      </c>
      <c r="F169" s="70">
        <v>6</v>
      </c>
      <c r="G169" s="161">
        <v>7</v>
      </c>
      <c r="H169" s="70" t="s">
        <v>399</v>
      </c>
      <c r="I169" s="70">
        <v>4</v>
      </c>
      <c r="J169" s="70" t="s">
        <v>399</v>
      </c>
      <c r="K169" s="70" t="s">
        <v>18</v>
      </c>
      <c r="L169" s="70" t="s">
        <v>396</v>
      </c>
    </row>
    <row r="170" spans="1:12" ht="20.25" customHeight="1" x14ac:dyDescent="0.3">
      <c r="A170" s="101" t="s">
        <v>761</v>
      </c>
      <c r="B170" s="93"/>
      <c r="C170" s="7" t="s">
        <v>760</v>
      </c>
      <c r="D170" s="94" t="s">
        <v>29</v>
      </c>
      <c r="E170" s="95" t="s">
        <v>114</v>
      </c>
      <c r="F170" s="70">
        <v>6</v>
      </c>
      <c r="G170" s="161">
        <v>7</v>
      </c>
      <c r="H170" s="70" t="s">
        <v>379</v>
      </c>
      <c r="I170" s="70">
        <v>4</v>
      </c>
      <c r="J170" s="70" t="s">
        <v>380</v>
      </c>
      <c r="K170" s="70" t="s">
        <v>18</v>
      </c>
      <c r="L170" s="70" t="s">
        <v>886</v>
      </c>
    </row>
    <row r="171" spans="1:12" ht="20.25" customHeight="1" x14ac:dyDescent="0.3">
      <c r="A171" s="101" t="s">
        <v>796</v>
      </c>
      <c r="B171" s="93"/>
      <c r="C171" s="7" t="s">
        <v>795</v>
      </c>
      <c r="D171" s="94" t="s">
        <v>803</v>
      </c>
      <c r="E171" s="95" t="s">
        <v>114</v>
      </c>
      <c r="F171" s="70">
        <v>6</v>
      </c>
      <c r="G171" s="161">
        <v>7</v>
      </c>
      <c r="H171" s="70" t="s">
        <v>379</v>
      </c>
      <c r="I171" s="70">
        <v>4</v>
      </c>
      <c r="J171" s="70" t="s">
        <v>380</v>
      </c>
      <c r="K171" s="70" t="s">
        <v>18</v>
      </c>
      <c r="L171" s="70" t="s">
        <v>395</v>
      </c>
    </row>
    <row r="172" spans="1:12" ht="20.25" customHeight="1" x14ac:dyDescent="0.3">
      <c r="A172" s="101" t="s">
        <v>837</v>
      </c>
      <c r="B172" s="93"/>
      <c r="C172" s="7" t="s">
        <v>836</v>
      </c>
      <c r="D172" s="94" t="s">
        <v>194</v>
      </c>
      <c r="E172" s="95" t="s">
        <v>114</v>
      </c>
      <c r="F172" s="70">
        <v>6</v>
      </c>
      <c r="G172" s="161">
        <v>7</v>
      </c>
      <c r="H172" s="70">
        <v>2</v>
      </c>
      <c r="I172" s="70">
        <v>4</v>
      </c>
      <c r="J172" s="70">
        <v>4</v>
      </c>
      <c r="K172" s="70" t="s">
        <v>18</v>
      </c>
      <c r="L172" s="70">
        <v>2009</v>
      </c>
    </row>
    <row r="173" spans="1:12" ht="20.25" customHeight="1" x14ac:dyDescent="0.3">
      <c r="A173" s="101" t="s">
        <v>365</v>
      </c>
      <c r="B173" s="93"/>
      <c r="C173" s="7" t="s">
        <v>364</v>
      </c>
      <c r="D173" s="94" t="s">
        <v>23</v>
      </c>
      <c r="E173" s="95" t="s">
        <v>114</v>
      </c>
      <c r="F173" s="70">
        <v>6</v>
      </c>
      <c r="G173" s="161">
        <v>7</v>
      </c>
      <c r="H173" s="70" t="s">
        <v>367</v>
      </c>
      <c r="I173" s="70">
        <v>4</v>
      </c>
      <c r="J173" s="70" t="s">
        <v>366</v>
      </c>
      <c r="K173" s="70" t="s">
        <v>18</v>
      </c>
      <c r="L173" s="70">
        <v>2009</v>
      </c>
    </row>
    <row r="174" spans="1:12" ht="20.25" customHeight="1" x14ac:dyDescent="0.3">
      <c r="A174" s="101" t="s">
        <v>239</v>
      </c>
      <c r="B174" s="93"/>
      <c r="C174" s="7" t="s">
        <v>238</v>
      </c>
      <c r="D174" s="94" t="s">
        <v>23</v>
      </c>
      <c r="E174" s="95" t="s">
        <v>110</v>
      </c>
      <c r="F174" s="70">
        <v>6</v>
      </c>
      <c r="G174" s="161">
        <v>7</v>
      </c>
      <c r="H174" s="70" t="s">
        <v>367</v>
      </c>
      <c r="I174" s="70">
        <v>4</v>
      </c>
      <c r="J174" s="70" t="s">
        <v>242</v>
      </c>
      <c r="K174" s="70" t="s">
        <v>18</v>
      </c>
      <c r="L174" s="70">
        <v>2014</v>
      </c>
    </row>
    <row r="175" spans="1:12" ht="20.25" customHeight="1" x14ac:dyDescent="0.3">
      <c r="A175" s="101" t="s">
        <v>264</v>
      </c>
      <c r="B175" s="93"/>
      <c r="C175" s="7" t="s">
        <v>263</v>
      </c>
      <c r="D175" s="94" t="s">
        <v>23</v>
      </c>
      <c r="E175" s="95" t="s">
        <v>114</v>
      </c>
      <c r="F175" s="70">
        <v>12</v>
      </c>
      <c r="G175" s="161">
        <v>7</v>
      </c>
      <c r="H175" s="70" t="s">
        <v>404</v>
      </c>
      <c r="I175" s="70">
        <v>4</v>
      </c>
      <c r="J175" s="70" t="s">
        <v>405</v>
      </c>
      <c r="K175" s="70" t="s">
        <v>18</v>
      </c>
      <c r="L175" s="70" t="s">
        <v>396</v>
      </c>
    </row>
    <row r="176" spans="1:12" ht="20.25" customHeight="1" x14ac:dyDescent="0.3">
      <c r="A176" s="101" t="s">
        <v>835</v>
      </c>
      <c r="B176" s="93"/>
      <c r="C176" s="7" t="s">
        <v>834</v>
      </c>
      <c r="D176" s="94" t="s">
        <v>194</v>
      </c>
      <c r="E176" s="95" t="s">
        <v>110</v>
      </c>
      <c r="F176" s="70">
        <v>8</v>
      </c>
      <c r="G176" s="161">
        <v>7</v>
      </c>
      <c r="H176" s="70" t="s">
        <v>477</v>
      </c>
      <c r="I176" s="70">
        <v>4</v>
      </c>
      <c r="J176" s="70" t="s">
        <v>478</v>
      </c>
      <c r="K176" s="70" t="s">
        <v>18</v>
      </c>
      <c r="L176" s="70" t="s">
        <v>372</v>
      </c>
    </row>
    <row r="177" spans="1:12" ht="20.25" customHeight="1" x14ac:dyDescent="0.3">
      <c r="A177" s="101" t="s">
        <v>835</v>
      </c>
      <c r="B177" s="93"/>
      <c r="C177" s="7" t="s">
        <v>882</v>
      </c>
      <c r="D177" s="94" t="s">
        <v>194</v>
      </c>
      <c r="E177" s="95" t="s">
        <v>110</v>
      </c>
      <c r="F177" s="70">
        <v>6</v>
      </c>
      <c r="G177" s="161">
        <v>7</v>
      </c>
      <c r="H177" s="70" t="s">
        <v>567</v>
      </c>
      <c r="I177" s="70">
        <v>4</v>
      </c>
      <c r="J177" s="70" t="s">
        <v>568</v>
      </c>
      <c r="K177" s="70" t="s">
        <v>18</v>
      </c>
      <c r="L177" s="70" t="s">
        <v>403</v>
      </c>
    </row>
    <row r="178" spans="1:12" ht="20.25" customHeight="1" x14ac:dyDescent="0.3">
      <c r="A178" s="101" t="s">
        <v>360</v>
      </c>
      <c r="B178" s="93"/>
      <c r="C178" s="7" t="s">
        <v>359</v>
      </c>
      <c r="D178" s="94" t="s">
        <v>23</v>
      </c>
      <c r="E178" s="95" t="s">
        <v>114</v>
      </c>
      <c r="F178" s="70">
        <v>6</v>
      </c>
      <c r="G178" s="161">
        <v>7</v>
      </c>
      <c r="H178" s="70" t="s">
        <v>375</v>
      </c>
      <c r="I178" s="70">
        <v>4</v>
      </c>
      <c r="J178" s="70" t="s">
        <v>376</v>
      </c>
      <c r="K178" s="70" t="s">
        <v>18</v>
      </c>
      <c r="L178" s="70" t="s">
        <v>372</v>
      </c>
    </row>
    <row r="179" spans="1:12" ht="20.25" customHeight="1" x14ac:dyDescent="0.3">
      <c r="A179" s="101" t="s">
        <v>251</v>
      </c>
      <c r="B179" s="93"/>
      <c r="C179" s="7" t="s">
        <v>250</v>
      </c>
      <c r="D179" s="94" t="s">
        <v>31</v>
      </c>
      <c r="E179" s="95" t="s">
        <v>110</v>
      </c>
      <c r="F179" s="70">
        <v>6</v>
      </c>
      <c r="G179" s="161">
        <v>7</v>
      </c>
      <c r="H179" s="70" t="s">
        <v>367</v>
      </c>
      <c r="I179" s="70">
        <v>4</v>
      </c>
      <c r="J179" s="70" t="s">
        <v>242</v>
      </c>
      <c r="K179" s="70" t="s">
        <v>18</v>
      </c>
      <c r="L179" s="70">
        <v>2014</v>
      </c>
    </row>
    <row r="180" spans="1:12" ht="20.25" customHeight="1" x14ac:dyDescent="0.3">
      <c r="A180" s="101" t="s">
        <v>498</v>
      </c>
      <c r="B180" s="93"/>
      <c r="C180" s="7" t="s">
        <v>497</v>
      </c>
      <c r="D180" s="94" t="s">
        <v>31</v>
      </c>
      <c r="E180" s="95" t="s">
        <v>114</v>
      </c>
      <c r="F180" s="70">
        <v>6</v>
      </c>
      <c r="G180" s="161">
        <v>7</v>
      </c>
      <c r="H180" s="70" t="s">
        <v>605</v>
      </c>
      <c r="I180" s="70">
        <v>4</v>
      </c>
      <c r="J180" s="70" t="s">
        <v>606</v>
      </c>
      <c r="K180" s="70" t="s">
        <v>18</v>
      </c>
      <c r="L180" s="70" t="s">
        <v>396</v>
      </c>
    </row>
    <row r="181" spans="1:12" ht="20.25" customHeight="1" x14ac:dyDescent="0.3">
      <c r="A181" s="101" t="s">
        <v>502</v>
      </c>
      <c r="B181" s="93"/>
      <c r="C181" s="7" t="s">
        <v>501</v>
      </c>
      <c r="D181" s="94" t="s">
        <v>31</v>
      </c>
      <c r="E181" s="95" t="s">
        <v>114</v>
      </c>
      <c r="F181" s="70">
        <v>6</v>
      </c>
      <c r="G181" s="161">
        <v>7</v>
      </c>
      <c r="H181" s="70" t="s">
        <v>400</v>
      </c>
      <c r="I181" s="70">
        <v>4</v>
      </c>
      <c r="J181" s="70" t="s">
        <v>410</v>
      </c>
      <c r="K181" s="70" t="s">
        <v>18</v>
      </c>
      <c r="L181" s="70" t="s">
        <v>396</v>
      </c>
    </row>
    <row r="182" spans="1:12" ht="20.25" customHeight="1" x14ac:dyDescent="0.3">
      <c r="A182" s="101" t="s">
        <v>528</v>
      </c>
      <c r="B182" s="93"/>
      <c r="C182" s="7" t="s">
        <v>527</v>
      </c>
      <c r="D182" s="94" t="s">
        <v>31</v>
      </c>
      <c r="E182" s="95" t="s">
        <v>114</v>
      </c>
      <c r="F182" s="70">
        <v>6</v>
      </c>
      <c r="G182" s="161">
        <v>7</v>
      </c>
      <c r="H182" s="70" t="s">
        <v>367</v>
      </c>
      <c r="I182" s="70">
        <v>4</v>
      </c>
      <c r="J182" s="70" t="s">
        <v>366</v>
      </c>
      <c r="K182" s="70" t="s">
        <v>18</v>
      </c>
      <c r="L182" s="70">
        <v>2013</v>
      </c>
    </row>
    <row r="183" spans="1:12" ht="20.25" customHeight="1" x14ac:dyDescent="0.3">
      <c r="A183" s="101" t="s">
        <v>827</v>
      </c>
      <c r="B183" s="93"/>
      <c r="C183" s="7" t="s">
        <v>826</v>
      </c>
      <c r="D183" s="94" t="s">
        <v>194</v>
      </c>
      <c r="E183" s="95" t="s">
        <v>114</v>
      </c>
      <c r="F183" s="70">
        <v>6</v>
      </c>
      <c r="G183" s="161">
        <v>7</v>
      </c>
      <c r="H183" s="70">
        <v>2</v>
      </c>
      <c r="I183" s="70">
        <v>4</v>
      </c>
      <c r="J183" s="70">
        <v>1</v>
      </c>
      <c r="K183" s="70" t="s">
        <v>18</v>
      </c>
      <c r="L183" s="70">
        <v>2009</v>
      </c>
    </row>
    <row r="184" spans="1:12" ht="20.25" customHeight="1" x14ac:dyDescent="0.3">
      <c r="A184" s="101" t="s">
        <v>743</v>
      </c>
      <c r="B184" s="93"/>
      <c r="C184" s="7" t="s">
        <v>742</v>
      </c>
      <c r="D184" s="94" t="s">
        <v>105</v>
      </c>
      <c r="E184" s="95" t="s">
        <v>114</v>
      </c>
      <c r="F184" s="70">
        <v>6</v>
      </c>
      <c r="G184" s="161">
        <v>7</v>
      </c>
      <c r="H184" s="70" t="s">
        <v>380</v>
      </c>
      <c r="I184" s="70">
        <v>4</v>
      </c>
      <c r="J184" s="70" t="s">
        <v>380</v>
      </c>
      <c r="K184" s="70" t="s">
        <v>18</v>
      </c>
      <c r="L184" s="70" t="s">
        <v>716</v>
      </c>
    </row>
    <row r="185" spans="1:12" ht="20.25" customHeight="1" x14ac:dyDescent="0.3">
      <c r="A185" s="101" t="s">
        <v>792</v>
      </c>
      <c r="B185" s="93"/>
      <c r="C185" s="7" t="s">
        <v>791</v>
      </c>
      <c r="D185" s="94" t="s">
        <v>107</v>
      </c>
      <c r="E185" s="95" t="s">
        <v>114</v>
      </c>
      <c r="F185" s="70">
        <v>6</v>
      </c>
      <c r="G185" s="161">
        <v>7</v>
      </c>
      <c r="H185" s="70" t="s">
        <v>373</v>
      </c>
      <c r="I185" s="70">
        <v>4</v>
      </c>
      <c r="J185" s="70" t="s">
        <v>480</v>
      </c>
      <c r="K185" s="70" t="s">
        <v>18</v>
      </c>
      <c r="L185" s="70" t="s">
        <v>890</v>
      </c>
    </row>
    <row r="186" spans="1:12" ht="20.25" customHeight="1" x14ac:dyDescent="0.3">
      <c r="A186" s="101" t="s">
        <v>769</v>
      </c>
      <c r="B186" s="93"/>
      <c r="C186" s="7" t="s">
        <v>819</v>
      </c>
      <c r="D186" s="94" t="s">
        <v>194</v>
      </c>
      <c r="E186" s="95" t="s">
        <v>114</v>
      </c>
      <c r="F186" s="70">
        <v>12</v>
      </c>
      <c r="G186" s="161">
        <v>7</v>
      </c>
      <c r="H186" s="70" t="s">
        <v>889</v>
      </c>
      <c r="I186" s="70">
        <v>4</v>
      </c>
      <c r="J186" s="70" t="s">
        <v>891</v>
      </c>
      <c r="K186" s="70" t="s">
        <v>18</v>
      </c>
      <c r="L186" s="70" t="s">
        <v>560</v>
      </c>
    </row>
    <row r="187" spans="1:12" ht="20.25" customHeight="1" x14ac:dyDescent="0.3">
      <c r="A187" s="101" t="s">
        <v>771</v>
      </c>
      <c r="B187" s="93"/>
      <c r="C187" s="7" t="s">
        <v>770</v>
      </c>
      <c r="D187" s="94" t="s">
        <v>108</v>
      </c>
      <c r="E187" s="95" t="s">
        <v>114</v>
      </c>
      <c r="F187" s="70">
        <v>6</v>
      </c>
      <c r="G187" s="161">
        <v>7</v>
      </c>
      <c r="H187" s="70" t="s">
        <v>367</v>
      </c>
      <c r="I187" s="70">
        <v>4</v>
      </c>
      <c r="J187" s="70" t="s">
        <v>214</v>
      </c>
      <c r="K187" s="70" t="s">
        <v>18</v>
      </c>
      <c r="L187" s="70">
        <v>2014</v>
      </c>
    </row>
    <row r="188" spans="1:12" ht="20.25" customHeight="1" x14ac:dyDescent="0.3">
      <c r="A188" s="101" t="s">
        <v>833</v>
      </c>
      <c r="B188" s="93"/>
      <c r="C188" s="7" t="s">
        <v>832</v>
      </c>
      <c r="D188" s="94" t="s">
        <v>194</v>
      </c>
      <c r="E188" s="95" t="s">
        <v>114</v>
      </c>
      <c r="F188" s="70">
        <v>6</v>
      </c>
      <c r="G188" s="161">
        <v>7</v>
      </c>
      <c r="H188" s="70" t="s">
        <v>567</v>
      </c>
      <c r="I188" s="70">
        <v>4</v>
      </c>
      <c r="J188" s="70" t="s">
        <v>898</v>
      </c>
      <c r="K188" s="70" t="s">
        <v>18</v>
      </c>
      <c r="L188" s="70" t="s">
        <v>913</v>
      </c>
    </row>
    <row r="189" spans="1:12" ht="20.25" customHeight="1" x14ac:dyDescent="0.3">
      <c r="A189" s="101" t="s">
        <v>655</v>
      </c>
      <c r="B189" s="93"/>
      <c r="C189" s="7" t="s">
        <v>654</v>
      </c>
      <c r="D189" s="94" t="s">
        <v>34</v>
      </c>
      <c r="E189" s="95" t="s">
        <v>114</v>
      </c>
      <c r="F189" s="70">
        <v>6</v>
      </c>
      <c r="G189" s="161">
        <v>7</v>
      </c>
      <c r="H189" s="70" t="s">
        <v>382</v>
      </c>
      <c r="I189" s="70">
        <v>4</v>
      </c>
      <c r="J189" s="70" t="s">
        <v>385</v>
      </c>
      <c r="K189" s="70" t="s">
        <v>18</v>
      </c>
      <c r="L189" s="70" t="s">
        <v>403</v>
      </c>
    </row>
    <row r="190" spans="1:12" ht="20.25" customHeight="1" x14ac:dyDescent="0.3">
      <c r="A190" s="101" t="s">
        <v>428</v>
      </c>
      <c r="B190" s="93"/>
      <c r="C190" s="7" t="s">
        <v>427</v>
      </c>
      <c r="D190" s="94" t="s">
        <v>194</v>
      </c>
      <c r="E190" s="95" t="s">
        <v>114</v>
      </c>
      <c r="F190" s="70">
        <v>6</v>
      </c>
      <c r="G190" s="161">
        <v>7</v>
      </c>
      <c r="H190" s="70" t="s">
        <v>911</v>
      </c>
      <c r="I190" s="70">
        <v>4</v>
      </c>
      <c r="J190" s="70" t="s">
        <v>906</v>
      </c>
      <c r="K190" s="70" t="s">
        <v>18</v>
      </c>
      <c r="L190" s="70" t="s">
        <v>396</v>
      </c>
    </row>
    <row r="191" spans="1:12" ht="20.25" customHeight="1" x14ac:dyDescent="0.3">
      <c r="A191" s="101" t="s">
        <v>420</v>
      </c>
      <c r="B191" s="93"/>
      <c r="C191" s="7" t="s">
        <v>419</v>
      </c>
      <c r="D191" s="94" t="s">
        <v>194</v>
      </c>
      <c r="E191" s="95" t="s">
        <v>114</v>
      </c>
      <c r="F191" s="70">
        <v>6</v>
      </c>
      <c r="G191" s="161">
        <v>7</v>
      </c>
      <c r="H191" s="70" t="s">
        <v>916</v>
      </c>
      <c r="I191" s="70">
        <v>4</v>
      </c>
      <c r="J191" s="70" t="s">
        <v>917</v>
      </c>
      <c r="K191" s="70" t="s">
        <v>18</v>
      </c>
      <c r="L191" s="70" t="s">
        <v>396</v>
      </c>
    </row>
    <row r="192" spans="1:12" ht="20.25" customHeight="1" x14ac:dyDescent="0.3">
      <c r="A192" s="101" t="s">
        <v>526</v>
      </c>
      <c r="B192" s="93"/>
      <c r="C192" s="7" t="s">
        <v>525</v>
      </c>
      <c r="D192" s="94" t="s">
        <v>31</v>
      </c>
      <c r="E192" s="95" t="s">
        <v>114</v>
      </c>
      <c r="F192" s="70">
        <v>6</v>
      </c>
      <c r="G192" s="161">
        <v>7</v>
      </c>
      <c r="H192" s="70" t="s">
        <v>366</v>
      </c>
      <c r="I192" s="70">
        <v>4</v>
      </c>
      <c r="J192" s="70" t="s">
        <v>367</v>
      </c>
      <c r="K192" s="70" t="s">
        <v>18</v>
      </c>
      <c r="L192" s="70">
        <v>2014</v>
      </c>
    </row>
    <row r="193" spans="1:12" ht="20.25" customHeight="1" x14ac:dyDescent="0.3">
      <c r="A193" s="101" t="s">
        <v>77</v>
      </c>
      <c r="B193" s="93"/>
      <c r="C193" s="7" t="s">
        <v>254</v>
      </c>
      <c r="D193" s="94" t="s">
        <v>31</v>
      </c>
      <c r="E193" s="95" t="s">
        <v>110</v>
      </c>
      <c r="F193" s="70">
        <v>6</v>
      </c>
      <c r="G193" s="161">
        <v>7</v>
      </c>
      <c r="H193" s="70" t="s">
        <v>367</v>
      </c>
      <c r="I193" s="70">
        <v>4</v>
      </c>
      <c r="J193" s="70" t="s">
        <v>242</v>
      </c>
      <c r="K193" s="70" t="s">
        <v>18</v>
      </c>
      <c r="L193" s="70">
        <v>2014</v>
      </c>
    </row>
    <row r="194" spans="1:12" ht="20.25" customHeight="1" x14ac:dyDescent="0.3">
      <c r="A194" s="101" t="s">
        <v>50</v>
      </c>
      <c r="B194" s="93"/>
      <c r="C194" s="7" t="s">
        <v>258</v>
      </c>
      <c r="D194" s="94" t="s">
        <v>31</v>
      </c>
      <c r="E194" s="95" t="s">
        <v>109</v>
      </c>
      <c r="F194" s="70">
        <v>6</v>
      </c>
      <c r="G194" s="161">
        <v>7</v>
      </c>
      <c r="H194" s="70" t="s">
        <v>481</v>
      </c>
      <c r="I194" s="70">
        <v>4</v>
      </c>
      <c r="J194" s="70" t="s">
        <v>482</v>
      </c>
      <c r="K194" s="70" t="s">
        <v>18</v>
      </c>
      <c r="L194" s="70" t="s">
        <v>890</v>
      </c>
    </row>
    <row r="195" spans="1:12" ht="20.25" customHeight="1" x14ac:dyDescent="0.3">
      <c r="A195" s="101" t="s">
        <v>426</v>
      </c>
      <c r="B195" s="93"/>
      <c r="C195" s="7" t="s">
        <v>425</v>
      </c>
      <c r="D195" s="94" t="s">
        <v>34</v>
      </c>
      <c r="E195" s="95" t="s">
        <v>114</v>
      </c>
      <c r="F195" s="70">
        <v>6</v>
      </c>
      <c r="G195" s="161">
        <v>7</v>
      </c>
      <c r="H195" s="70" t="s">
        <v>382</v>
      </c>
      <c r="I195" s="70">
        <v>4</v>
      </c>
      <c r="J195" s="70" t="s">
        <v>385</v>
      </c>
      <c r="K195" s="70" t="s">
        <v>18</v>
      </c>
      <c r="L195" s="70" t="s">
        <v>878</v>
      </c>
    </row>
    <row r="196" spans="1:12" ht="20.25" customHeight="1" x14ac:dyDescent="0.3">
      <c r="A196" s="101" t="s">
        <v>551</v>
      </c>
      <c r="B196" s="93"/>
      <c r="C196" s="7" t="s">
        <v>550</v>
      </c>
      <c r="D196" s="94" t="s">
        <v>31</v>
      </c>
      <c r="E196" s="95" t="s">
        <v>114</v>
      </c>
      <c r="F196" s="70">
        <v>6</v>
      </c>
      <c r="G196" s="161">
        <v>7</v>
      </c>
      <c r="H196" s="70" t="s">
        <v>303</v>
      </c>
      <c r="I196" s="70">
        <v>4</v>
      </c>
      <c r="J196" s="70" t="s">
        <v>378</v>
      </c>
      <c r="K196" s="70" t="s">
        <v>18</v>
      </c>
      <c r="L196" s="70" t="s">
        <v>571</v>
      </c>
    </row>
    <row r="197" spans="1:12" ht="20.25" customHeight="1" x14ac:dyDescent="0.3">
      <c r="A197" s="101" t="s">
        <v>621</v>
      </c>
      <c r="B197" s="93"/>
      <c r="C197" s="7" t="s">
        <v>620</v>
      </c>
      <c r="D197" s="94" t="s">
        <v>34</v>
      </c>
      <c r="E197" s="95" t="s">
        <v>114</v>
      </c>
      <c r="F197" s="70">
        <v>6</v>
      </c>
      <c r="G197" s="161">
        <v>7</v>
      </c>
      <c r="H197" s="70" t="s">
        <v>399</v>
      </c>
      <c r="I197" s="70">
        <v>4</v>
      </c>
      <c r="J197" s="70" t="s">
        <v>399</v>
      </c>
      <c r="K197" s="70" t="s">
        <v>18</v>
      </c>
      <c r="L197" s="70" t="s">
        <v>396</v>
      </c>
    </row>
    <row r="198" spans="1:12" ht="20.25" customHeight="1" x14ac:dyDescent="0.3">
      <c r="A198" s="101" t="s">
        <v>432</v>
      </c>
      <c r="B198" s="93"/>
      <c r="C198" s="7" t="s">
        <v>431</v>
      </c>
      <c r="D198" s="94" t="s">
        <v>194</v>
      </c>
      <c r="E198" s="95" t="s">
        <v>114</v>
      </c>
      <c r="F198" s="70">
        <v>6</v>
      </c>
      <c r="G198" s="161">
        <v>7</v>
      </c>
      <c r="H198" s="70" t="s">
        <v>919</v>
      </c>
      <c r="I198" s="70">
        <v>4</v>
      </c>
      <c r="J198" s="70" t="s">
        <v>920</v>
      </c>
      <c r="K198" s="70" t="s">
        <v>18</v>
      </c>
      <c r="L198" s="70" t="s">
        <v>396</v>
      </c>
    </row>
    <row r="199" spans="1:12" ht="20.25" customHeight="1" x14ac:dyDescent="0.3">
      <c r="A199" s="101" t="s">
        <v>809</v>
      </c>
      <c r="B199" s="93"/>
      <c r="C199" s="7" t="s">
        <v>808</v>
      </c>
      <c r="D199" s="94" t="s">
        <v>194</v>
      </c>
      <c r="E199" s="95" t="s">
        <v>114</v>
      </c>
      <c r="F199" s="70">
        <v>6</v>
      </c>
      <c r="G199" s="161">
        <v>7</v>
      </c>
      <c r="H199" s="70" t="s">
        <v>478</v>
      </c>
      <c r="I199" s="70">
        <v>4</v>
      </c>
      <c r="J199" s="70" t="s">
        <v>875</v>
      </c>
      <c r="K199" s="70" t="s">
        <v>18</v>
      </c>
      <c r="L199" s="70" t="s">
        <v>372</v>
      </c>
    </row>
    <row r="200" spans="1:12" ht="20.25" customHeight="1" x14ac:dyDescent="0.3">
      <c r="A200" s="101" t="s">
        <v>821</v>
      </c>
      <c r="B200" s="93"/>
      <c r="C200" s="7" t="s">
        <v>820</v>
      </c>
      <c r="D200" s="94" t="s">
        <v>194</v>
      </c>
      <c r="E200" s="95" t="s">
        <v>110</v>
      </c>
      <c r="F200" s="70">
        <v>6</v>
      </c>
      <c r="G200" s="161">
        <v>7</v>
      </c>
      <c r="H200" s="70" t="s">
        <v>906</v>
      </c>
      <c r="I200" s="70">
        <v>4</v>
      </c>
      <c r="J200" s="70" t="s">
        <v>911</v>
      </c>
      <c r="K200" s="70" t="s">
        <v>18</v>
      </c>
      <c r="L200" s="70" t="s">
        <v>396</v>
      </c>
    </row>
    <row r="201" spans="1:12" ht="20.25" customHeight="1" x14ac:dyDescent="0.3">
      <c r="A201" s="101" t="s">
        <v>873</v>
      </c>
      <c r="B201" s="93"/>
      <c r="C201" s="7" t="s">
        <v>872</v>
      </c>
      <c r="D201" s="94" t="s">
        <v>194</v>
      </c>
      <c r="E201" s="95" t="s">
        <v>114</v>
      </c>
      <c r="F201" s="70">
        <v>6</v>
      </c>
      <c r="G201" s="161">
        <v>7</v>
      </c>
      <c r="H201" s="70" t="s">
        <v>577</v>
      </c>
      <c r="I201" s="70">
        <v>4</v>
      </c>
      <c r="J201" s="70" t="s">
        <v>903</v>
      </c>
      <c r="K201" s="70" t="s">
        <v>18</v>
      </c>
      <c r="L201" s="70" t="s">
        <v>401</v>
      </c>
    </row>
    <row r="202" spans="1:12" ht="20.25" customHeight="1" x14ac:dyDescent="0.3">
      <c r="A202" s="101" t="s">
        <v>829</v>
      </c>
      <c r="B202" s="93"/>
      <c r="C202" s="7" t="s">
        <v>828</v>
      </c>
      <c r="D202" s="94" t="s">
        <v>194</v>
      </c>
      <c r="E202" s="95" t="s">
        <v>114</v>
      </c>
      <c r="F202" s="70">
        <v>6</v>
      </c>
      <c r="G202" s="161">
        <v>7</v>
      </c>
      <c r="H202" s="70" t="s">
        <v>477</v>
      </c>
      <c r="I202" s="70">
        <v>4</v>
      </c>
      <c r="J202" s="70" t="s">
        <v>879</v>
      </c>
      <c r="K202" s="70" t="s">
        <v>18</v>
      </c>
      <c r="L202" s="70" t="s">
        <v>372</v>
      </c>
    </row>
    <row r="203" spans="1:12" ht="20.25" customHeight="1" x14ac:dyDescent="0.3">
      <c r="A203" s="101" t="s">
        <v>489</v>
      </c>
      <c r="B203" s="93"/>
      <c r="C203" s="7" t="s">
        <v>488</v>
      </c>
      <c r="D203" s="94" t="s">
        <v>31</v>
      </c>
      <c r="E203" s="95" t="s">
        <v>110</v>
      </c>
      <c r="F203" s="70">
        <v>6</v>
      </c>
      <c r="G203" s="161">
        <v>7</v>
      </c>
      <c r="H203" s="70" t="s">
        <v>569</v>
      </c>
      <c r="I203" s="70">
        <v>4</v>
      </c>
      <c r="J203" s="70" t="s">
        <v>570</v>
      </c>
      <c r="K203" s="70" t="s">
        <v>18</v>
      </c>
      <c r="L203" s="70" t="s">
        <v>381</v>
      </c>
    </row>
    <row r="204" spans="1:12" ht="20.25" customHeight="1" x14ac:dyDescent="0.3">
      <c r="A204" s="101" t="s">
        <v>779</v>
      </c>
      <c r="B204" s="93"/>
      <c r="C204" s="7" t="s">
        <v>778</v>
      </c>
      <c r="D204" s="94" t="s">
        <v>106</v>
      </c>
      <c r="E204" s="95" t="s">
        <v>114</v>
      </c>
      <c r="F204" s="70">
        <v>6</v>
      </c>
      <c r="G204" s="161">
        <v>7</v>
      </c>
      <c r="H204" s="70" t="s">
        <v>380</v>
      </c>
      <c r="I204" s="70">
        <v>4</v>
      </c>
      <c r="J204" s="70" t="s">
        <v>565</v>
      </c>
      <c r="K204" s="70" t="s">
        <v>18</v>
      </c>
      <c r="L204" s="70" t="s">
        <v>886</v>
      </c>
    </row>
    <row r="205" spans="1:12" ht="20.25" customHeight="1" x14ac:dyDescent="0.3">
      <c r="A205" s="101" t="s">
        <v>777</v>
      </c>
      <c r="B205" s="93"/>
      <c r="C205" s="7" t="s">
        <v>776</v>
      </c>
      <c r="D205" s="94" t="s">
        <v>804</v>
      </c>
      <c r="E205" s="95" t="s">
        <v>114</v>
      </c>
      <c r="F205" s="70">
        <v>6</v>
      </c>
      <c r="G205" s="161">
        <v>7</v>
      </c>
      <c r="H205" s="70" t="s">
        <v>382</v>
      </c>
      <c r="I205" s="70">
        <v>4</v>
      </c>
      <c r="J205" s="70" t="s">
        <v>383</v>
      </c>
      <c r="K205" s="70" t="s">
        <v>18</v>
      </c>
      <c r="L205" s="70" t="s">
        <v>886</v>
      </c>
    </row>
    <row r="206" spans="1:12" ht="20.25" customHeight="1" x14ac:dyDescent="0.3">
      <c r="A206" s="101" t="s">
        <v>72</v>
      </c>
      <c r="B206" s="93"/>
      <c r="C206" s="7" t="s">
        <v>490</v>
      </c>
      <c r="D206" s="94" t="s">
        <v>31</v>
      </c>
      <c r="E206" s="95" t="s">
        <v>114</v>
      </c>
      <c r="F206" s="70">
        <v>6</v>
      </c>
      <c r="G206" s="161">
        <v>7</v>
      </c>
      <c r="H206" s="70" t="s">
        <v>387</v>
      </c>
      <c r="I206" s="70">
        <v>4</v>
      </c>
      <c r="J206" s="70" t="s">
        <v>394</v>
      </c>
      <c r="K206" s="70" t="s">
        <v>18</v>
      </c>
      <c r="L206" s="70" t="s">
        <v>386</v>
      </c>
    </row>
    <row r="207" spans="1:12" ht="20.25" customHeight="1" x14ac:dyDescent="0.3">
      <c r="A207" s="101" t="s">
        <v>487</v>
      </c>
      <c r="B207" s="93"/>
      <c r="C207" s="7" t="s">
        <v>486</v>
      </c>
      <c r="D207" s="94" t="s">
        <v>31</v>
      </c>
      <c r="E207" s="95" t="s">
        <v>110</v>
      </c>
      <c r="F207" s="70">
        <v>6</v>
      </c>
      <c r="G207" s="161">
        <v>7</v>
      </c>
      <c r="H207" s="70" t="s">
        <v>303</v>
      </c>
      <c r="I207" s="70">
        <v>4</v>
      </c>
      <c r="J207" s="70" t="s">
        <v>378</v>
      </c>
      <c r="K207" s="70" t="s">
        <v>18</v>
      </c>
      <c r="L207" s="70" t="s">
        <v>372</v>
      </c>
    </row>
    <row r="208" spans="1:12" ht="20.25" customHeight="1" x14ac:dyDescent="0.3">
      <c r="A208" s="101" t="s">
        <v>788</v>
      </c>
      <c r="B208" s="93"/>
      <c r="C208" s="7" t="s">
        <v>787</v>
      </c>
      <c r="D208" s="94" t="s">
        <v>107</v>
      </c>
      <c r="E208" s="95" t="s">
        <v>114</v>
      </c>
      <c r="F208" s="70">
        <v>12</v>
      </c>
      <c r="G208" s="161">
        <v>7</v>
      </c>
      <c r="H208" s="70" t="s">
        <v>369</v>
      </c>
      <c r="I208" s="70">
        <v>4</v>
      </c>
      <c r="J208" s="70" t="s">
        <v>692</v>
      </c>
      <c r="K208" s="70" t="s">
        <v>18</v>
      </c>
      <c r="L208" s="70" t="s">
        <v>887</v>
      </c>
    </row>
    <row r="209" spans="1:12" ht="20.25" customHeight="1" x14ac:dyDescent="0.3">
      <c r="A209" s="101" t="s">
        <v>831</v>
      </c>
      <c r="B209" s="93"/>
      <c r="C209" s="7" t="s">
        <v>830</v>
      </c>
      <c r="D209" s="94" t="s">
        <v>194</v>
      </c>
      <c r="E209" s="95" t="s">
        <v>114</v>
      </c>
      <c r="F209" s="70">
        <v>6</v>
      </c>
      <c r="G209" s="161">
        <v>7</v>
      </c>
      <c r="H209" s="70" t="s">
        <v>909</v>
      </c>
      <c r="I209" s="70">
        <v>4</v>
      </c>
      <c r="J209" s="70" t="s">
        <v>910</v>
      </c>
      <c r="K209" s="70" t="s">
        <v>18</v>
      </c>
      <c r="L209" s="70" t="s">
        <v>908</v>
      </c>
    </row>
    <row r="210" spans="1:12" ht="20.25" customHeight="1" x14ac:dyDescent="0.3">
      <c r="A210" s="101" t="s">
        <v>418</v>
      </c>
      <c r="B210" s="93"/>
      <c r="C210" s="7" t="s">
        <v>417</v>
      </c>
      <c r="D210" s="94" t="s">
        <v>194</v>
      </c>
      <c r="E210" s="95" t="s">
        <v>114</v>
      </c>
      <c r="F210" s="70">
        <v>6</v>
      </c>
      <c r="G210" s="161">
        <v>7</v>
      </c>
      <c r="H210" s="70" t="s">
        <v>906</v>
      </c>
      <c r="I210" s="70">
        <v>4</v>
      </c>
      <c r="J210" s="70" t="s">
        <v>906</v>
      </c>
      <c r="K210" s="70" t="s">
        <v>18</v>
      </c>
      <c r="L210" s="70" t="s">
        <v>396</v>
      </c>
    </row>
    <row r="211" spans="1:12" ht="20.25" customHeight="1" x14ac:dyDescent="0.3">
      <c r="A211" s="101" t="s">
        <v>745</v>
      </c>
      <c r="B211" s="93"/>
      <c r="C211" s="7" t="s">
        <v>744</v>
      </c>
      <c r="D211" s="94" t="s">
        <v>194</v>
      </c>
      <c r="E211" s="95" t="s">
        <v>114</v>
      </c>
      <c r="F211" s="70">
        <v>6</v>
      </c>
      <c r="G211" s="161">
        <v>7</v>
      </c>
      <c r="H211" s="70" t="s">
        <v>477</v>
      </c>
      <c r="I211" s="70">
        <v>4</v>
      </c>
      <c r="J211" s="70" t="s">
        <v>477</v>
      </c>
      <c r="K211" s="70" t="s">
        <v>18</v>
      </c>
      <c r="L211" s="70" t="s">
        <v>372</v>
      </c>
    </row>
    <row r="212" spans="1:12" ht="20.25" customHeight="1" x14ac:dyDescent="0.3">
      <c r="A212" s="101" t="s">
        <v>811</v>
      </c>
      <c r="B212" s="93"/>
      <c r="C212" s="7" t="s">
        <v>810</v>
      </c>
      <c r="D212" s="94" t="s">
        <v>194</v>
      </c>
      <c r="E212" s="95" t="s">
        <v>114</v>
      </c>
      <c r="F212" s="70">
        <v>6</v>
      </c>
      <c r="G212" s="161">
        <v>7</v>
      </c>
      <c r="H212" s="70" t="s">
        <v>906</v>
      </c>
      <c r="I212" s="70">
        <v>4</v>
      </c>
      <c r="J212" s="70" t="s">
        <v>907</v>
      </c>
      <c r="K212" s="70" t="s">
        <v>18</v>
      </c>
      <c r="L212" s="70" t="s">
        <v>396</v>
      </c>
    </row>
    <row r="213" spans="1:12" ht="20.25" customHeight="1" x14ac:dyDescent="0.3">
      <c r="A213" s="101" t="s">
        <v>711</v>
      </c>
      <c r="B213" s="93"/>
      <c r="C213" s="7" t="s">
        <v>816</v>
      </c>
      <c r="D213" s="94" t="s">
        <v>194</v>
      </c>
      <c r="E213" s="95" t="s">
        <v>114</v>
      </c>
      <c r="F213" s="70">
        <v>6</v>
      </c>
      <c r="G213" s="161">
        <v>7</v>
      </c>
      <c r="H213" s="70" t="s">
        <v>478</v>
      </c>
      <c r="I213" s="70">
        <v>4</v>
      </c>
      <c r="J213" s="70" t="s">
        <v>477</v>
      </c>
      <c r="K213" s="70" t="s">
        <v>18</v>
      </c>
      <c r="L213" s="70" t="s">
        <v>372</v>
      </c>
    </row>
    <row r="214" spans="1:12" ht="20.25" customHeight="1" x14ac:dyDescent="0.3">
      <c r="A214" s="101" t="s">
        <v>703</v>
      </c>
      <c r="B214" s="93"/>
      <c r="C214" s="7" t="s">
        <v>702</v>
      </c>
      <c r="D214" s="94" t="s">
        <v>103</v>
      </c>
      <c r="E214" s="95" t="s">
        <v>114</v>
      </c>
      <c r="F214" s="70">
        <v>6</v>
      </c>
      <c r="G214" s="161">
        <v>7</v>
      </c>
      <c r="H214" s="70" t="s">
        <v>379</v>
      </c>
      <c r="I214" s="70">
        <v>4</v>
      </c>
      <c r="J214" s="70" t="s">
        <v>565</v>
      </c>
      <c r="K214" s="70" t="s">
        <v>18</v>
      </c>
      <c r="L214" s="70" t="s">
        <v>885</v>
      </c>
    </row>
    <row r="215" spans="1:12" ht="20.25" customHeight="1" x14ac:dyDescent="0.3">
      <c r="A215" s="101" t="s">
        <v>841</v>
      </c>
      <c r="B215" s="93"/>
      <c r="C215" s="7" t="s">
        <v>840</v>
      </c>
      <c r="D215" s="94" t="s">
        <v>194</v>
      </c>
      <c r="E215" s="95" t="s">
        <v>109</v>
      </c>
      <c r="F215" s="70">
        <v>4</v>
      </c>
      <c r="G215" s="161">
        <v>7</v>
      </c>
      <c r="H215" s="70">
        <v>2</v>
      </c>
      <c r="I215" s="70">
        <v>4</v>
      </c>
      <c r="J215" s="70">
        <v>4</v>
      </c>
      <c r="K215" s="70" t="s">
        <v>18</v>
      </c>
      <c r="L215" s="70">
        <v>2009</v>
      </c>
    </row>
    <row r="216" spans="1:12" ht="20.25" customHeight="1" x14ac:dyDescent="0.3">
      <c r="A216" s="101" t="s">
        <v>436</v>
      </c>
      <c r="B216" s="93"/>
      <c r="C216" s="7" t="s">
        <v>435</v>
      </c>
      <c r="D216" s="94" t="s">
        <v>194</v>
      </c>
      <c r="E216" s="95" t="s">
        <v>110</v>
      </c>
      <c r="F216" s="70">
        <v>6</v>
      </c>
      <c r="G216" s="161">
        <v>7</v>
      </c>
      <c r="H216" s="70" t="s">
        <v>900</v>
      </c>
      <c r="I216" s="70">
        <v>4</v>
      </c>
      <c r="J216" s="70" t="s">
        <v>900</v>
      </c>
      <c r="K216" s="70" t="s">
        <v>18</v>
      </c>
      <c r="L216" s="70" t="s">
        <v>381</v>
      </c>
    </row>
    <row r="217" spans="1:12" ht="20.25" customHeight="1" x14ac:dyDescent="0.3">
      <c r="A217" s="101" t="s">
        <v>244</v>
      </c>
      <c r="B217" s="93"/>
      <c r="C217" s="7" t="s">
        <v>243</v>
      </c>
      <c r="D217" s="94" t="s">
        <v>31</v>
      </c>
      <c r="E217" s="95" t="s">
        <v>110</v>
      </c>
      <c r="F217" s="70">
        <v>6</v>
      </c>
      <c r="G217" s="161">
        <v>7</v>
      </c>
      <c r="H217" s="70" t="s">
        <v>387</v>
      </c>
      <c r="I217" s="70">
        <v>4</v>
      </c>
      <c r="J217" s="70" t="s">
        <v>387</v>
      </c>
      <c r="K217" s="70" t="s">
        <v>18</v>
      </c>
      <c r="L217" s="70" t="s">
        <v>386</v>
      </c>
    </row>
    <row r="218" spans="1:12" ht="20.25" customHeight="1" x14ac:dyDescent="0.3">
      <c r="A218" s="101" t="s">
        <v>492</v>
      </c>
      <c r="B218" s="93"/>
      <c r="C218" s="7" t="s">
        <v>491</v>
      </c>
      <c r="D218" s="94" t="s">
        <v>31</v>
      </c>
      <c r="E218" s="95" t="s">
        <v>110</v>
      </c>
      <c r="F218" s="70">
        <v>6</v>
      </c>
      <c r="G218" s="161">
        <v>7</v>
      </c>
      <c r="H218" s="70" t="s">
        <v>387</v>
      </c>
      <c r="I218" s="70">
        <v>4</v>
      </c>
      <c r="J218" s="70" t="s">
        <v>394</v>
      </c>
      <c r="K218" s="70" t="s">
        <v>18</v>
      </c>
      <c r="L218" s="70" t="s">
        <v>386</v>
      </c>
    </row>
    <row r="219" spans="1:12" ht="20.25" customHeight="1" x14ac:dyDescent="0.3">
      <c r="A219" s="101" t="s">
        <v>584</v>
      </c>
      <c r="B219" s="93"/>
      <c r="C219" s="7" t="s">
        <v>583</v>
      </c>
      <c r="D219" s="94" t="s">
        <v>31</v>
      </c>
      <c r="E219" s="95" t="s">
        <v>110</v>
      </c>
      <c r="F219" s="70">
        <v>6</v>
      </c>
      <c r="G219" s="161">
        <v>7</v>
      </c>
      <c r="H219" s="70" t="s">
        <v>366</v>
      </c>
      <c r="I219" s="70">
        <v>4</v>
      </c>
      <c r="J219" s="70" t="s">
        <v>367</v>
      </c>
      <c r="K219" s="70" t="s">
        <v>18</v>
      </c>
      <c r="L219" s="70">
        <v>2014</v>
      </c>
    </row>
    <row r="220" spans="1:12" ht="20.25" customHeight="1" x14ac:dyDescent="0.3">
      <c r="A220" s="101" t="s">
        <v>540</v>
      </c>
      <c r="B220" s="93"/>
      <c r="C220" s="7" t="s">
        <v>539</v>
      </c>
      <c r="D220" s="94" t="s">
        <v>31</v>
      </c>
      <c r="E220" s="95" t="s">
        <v>114</v>
      </c>
      <c r="F220" s="70">
        <v>12</v>
      </c>
      <c r="G220" s="161">
        <v>7</v>
      </c>
      <c r="H220" s="70" t="s">
        <v>383</v>
      </c>
      <c r="I220" s="70">
        <v>4</v>
      </c>
      <c r="J220" s="70" t="s">
        <v>382</v>
      </c>
      <c r="K220" s="70" t="s">
        <v>18</v>
      </c>
      <c r="L220" s="70" t="s">
        <v>389</v>
      </c>
    </row>
    <row r="221" spans="1:12" ht="20.25" customHeight="1" x14ac:dyDescent="0.3">
      <c r="A221" s="101" t="s">
        <v>588</v>
      </c>
      <c r="B221" s="93"/>
      <c r="C221" s="7" t="s">
        <v>587</v>
      </c>
      <c r="D221" s="94" t="s">
        <v>31</v>
      </c>
      <c r="E221" s="95" t="s">
        <v>110</v>
      </c>
      <c r="F221" s="70">
        <v>6</v>
      </c>
      <c r="G221" s="161">
        <v>7</v>
      </c>
      <c r="H221" s="70" t="s">
        <v>367</v>
      </c>
      <c r="I221" s="70">
        <v>4</v>
      </c>
      <c r="J221" s="70" t="s">
        <v>366</v>
      </c>
      <c r="K221" s="70" t="s">
        <v>18</v>
      </c>
      <c r="L221" s="70">
        <v>2014</v>
      </c>
    </row>
    <row r="222" spans="1:12" ht="20.25" customHeight="1" x14ac:dyDescent="0.3">
      <c r="A222" s="101" t="s">
        <v>815</v>
      </c>
      <c r="B222" s="93"/>
      <c r="C222" s="7" t="s">
        <v>814</v>
      </c>
      <c r="D222" s="94" t="s">
        <v>194</v>
      </c>
      <c r="E222" s="95" t="s">
        <v>109</v>
      </c>
      <c r="F222" s="70">
        <v>4</v>
      </c>
      <c r="G222" s="161">
        <v>7</v>
      </c>
      <c r="H222" s="70" t="s">
        <v>906</v>
      </c>
      <c r="I222" s="70">
        <v>4</v>
      </c>
      <c r="J222" s="70" t="s">
        <v>906</v>
      </c>
      <c r="K222" s="70" t="s">
        <v>18</v>
      </c>
      <c r="L222" s="70" t="s">
        <v>396</v>
      </c>
    </row>
    <row r="223" spans="1:12" ht="20.25" customHeight="1" x14ac:dyDescent="0.3">
      <c r="A223" s="101" t="s">
        <v>500</v>
      </c>
      <c r="B223" s="93"/>
      <c r="C223" s="7" t="s">
        <v>499</v>
      </c>
      <c r="D223" s="94" t="s">
        <v>694</v>
      </c>
      <c r="E223" s="95" t="s">
        <v>114</v>
      </c>
      <c r="F223" s="70">
        <v>6</v>
      </c>
      <c r="G223" s="161">
        <v>7</v>
      </c>
      <c r="H223" s="70" t="s">
        <v>400</v>
      </c>
      <c r="I223" s="70">
        <v>4</v>
      </c>
      <c r="J223" s="70" t="s">
        <v>399</v>
      </c>
      <c r="K223" s="70" t="s">
        <v>18</v>
      </c>
      <c r="L223" s="70" t="s">
        <v>697</v>
      </c>
    </row>
    <row r="224" spans="1:12" ht="20.25" customHeight="1" x14ac:dyDescent="0.3">
      <c r="A224" s="101" t="s">
        <v>544</v>
      </c>
      <c r="B224" s="93"/>
      <c r="C224" s="7" t="s">
        <v>543</v>
      </c>
      <c r="D224" s="94" t="s">
        <v>31</v>
      </c>
      <c r="E224" s="95" t="s">
        <v>114</v>
      </c>
      <c r="F224" s="70">
        <v>6</v>
      </c>
      <c r="G224" s="161">
        <v>8</v>
      </c>
      <c r="H224" s="70" t="s">
        <v>380</v>
      </c>
      <c r="I224" s="70">
        <v>4</v>
      </c>
      <c r="J224" s="70" t="s">
        <v>380</v>
      </c>
      <c r="K224" s="70" t="s">
        <v>18</v>
      </c>
      <c r="L224" s="70" t="s">
        <v>572</v>
      </c>
    </row>
    <row r="225" spans="1:12" ht="20.25" customHeight="1" x14ac:dyDescent="0.3">
      <c r="A225" s="101" t="s">
        <v>302</v>
      </c>
      <c r="B225" s="93"/>
      <c r="C225" s="7" t="s">
        <v>301</v>
      </c>
      <c r="D225" s="94" t="s">
        <v>194</v>
      </c>
      <c r="E225" s="95" t="s">
        <v>109</v>
      </c>
      <c r="F225" s="70">
        <v>4</v>
      </c>
      <c r="G225" s="161">
        <v>8</v>
      </c>
      <c r="H225" s="70">
        <v>2</v>
      </c>
      <c r="I225" s="70">
        <v>4</v>
      </c>
      <c r="J225" s="70">
        <v>2</v>
      </c>
      <c r="K225" s="70" t="s">
        <v>18</v>
      </c>
      <c r="L225" s="70">
        <v>2014</v>
      </c>
    </row>
    <row r="226" spans="1:12" ht="20.25" customHeight="1" x14ac:dyDescent="0.3">
      <c r="A226" s="101" t="s">
        <v>132</v>
      </c>
      <c r="B226" s="93"/>
      <c r="C226" s="7" t="s">
        <v>131</v>
      </c>
      <c r="D226" s="94" t="s">
        <v>23</v>
      </c>
      <c r="E226" s="95" t="s">
        <v>114</v>
      </c>
      <c r="F226" s="70">
        <v>6</v>
      </c>
      <c r="G226" s="161">
        <v>7</v>
      </c>
      <c r="H226" s="70" t="s">
        <v>399</v>
      </c>
      <c r="I226" s="70">
        <v>4</v>
      </c>
      <c r="J226" s="70" t="s">
        <v>400</v>
      </c>
      <c r="K226" s="70" t="s">
        <v>18</v>
      </c>
      <c r="L226" s="70" t="s">
        <v>396</v>
      </c>
    </row>
    <row r="227" spans="1:12" ht="20.25" customHeight="1" x14ac:dyDescent="0.3">
      <c r="A227" s="101" t="s">
        <v>783</v>
      </c>
      <c r="B227" s="93"/>
      <c r="C227" s="7" t="s">
        <v>782</v>
      </c>
      <c r="D227" s="94" t="s">
        <v>106</v>
      </c>
      <c r="E227" s="95" t="s">
        <v>114</v>
      </c>
      <c r="F227" s="70">
        <v>6</v>
      </c>
      <c r="G227" s="161">
        <v>8</v>
      </c>
      <c r="H227" s="70" t="s">
        <v>380</v>
      </c>
      <c r="I227" s="70">
        <v>4</v>
      </c>
      <c r="J227" s="70" t="s">
        <v>565</v>
      </c>
      <c r="K227" s="70" t="s">
        <v>18</v>
      </c>
      <c r="L227" s="70" t="s">
        <v>886</v>
      </c>
    </row>
    <row r="228" spans="1:12" ht="20.25" customHeight="1" x14ac:dyDescent="0.3">
      <c r="A228" s="101" t="s">
        <v>781</v>
      </c>
      <c r="B228" s="93"/>
      <c r="C228" s="7" t="s">
        <v>780</v>
      </c>
      <c r="D228" s="94" t="s">
        <v>106</v>
      </c>
      <c r="E228" s="95" t="s">
        <v>114</v>
      </c>
      <c r="F228" s="70">
        <v>6</v>
      </c>
      <c r="G228" s="161">
        <v>8</v>
      </c>
      <c r="H228" s="70" t="s">
        <v>379</v>
      </c>
      <c r="I228" s="70">
        <v>4</v>
      </c>
      <c r="J228" s="70" t="s">
        <v>786</v>
      </c>
      <c r="K228" s="70" t="s">
        <v>18</v>
      </c>
      <c r="L228" s="70" t="s">
        <v>886</v>
      </c>
    </row>
    <row r="229" spans="1:12" ht="20.25" customHeight="1" x14ac:dyDescent="0.3">
      <c r="A229" s="101" t="s">
        <v>590</v>
      </c>
      <c r="B229" s="93"/>
      <c r="C229" s="7" t="s">
        <v>589</v>
      </c>
      <c r="D229" s="94" t="s">
        <v>31</v>
      </c>
      <c r="E229" s="95" t="s">
        <v>110</v>
      </c>
      <c r="F229" s="70">
        <v>6</v>
      </c>
      <c r="G229" s="161">
        <v>8</v>
      </c>
      <c r="H229" s="70" t="s">
        <v>367</v>
      </c>
      <c r="I229" s="70">
        <v>4</v>
      </c>
      <c r="J229" s="70" t="s">
        <v>242</v>
      </c>
      <c r="K229" s="70" t="s">
        <v>18</v>
      </c>
      <c r="L229" s="70">
        <v>2014</v>
      </c>
    </row>
    <row r="230" spans="1:12" ht="20.25" customHeight="1" x14ac:dyDescent="0.3">
      <c r="A230" s="101" t="s">
        <v>516</v>
      </c>
      <c r="B230" s="93"/>
      <c r="C230" s="7" t="s">
        <v>515</v>
      </c>
      <c r="D230" s="94" t="s">
        <v>694</v>
      </c>
      <c r="E230" s="95" t="s">
        <v>114</v>
      </c>
      <c r="F230" s="70">
        <v>6</v>
      </c>
      <c r="G230" s="161">
        <v>8</v>
      </c>
      <c r="H230" s="70" t="s">
        <v>687</v>
      </c>
      <c r="I230" s="70">
        <v>4</v>
      </c>
      <c r="J230" s="70" t="s">
        <v>687</v>
      </c>
      <c r="K230" s="70" t="s">
        <v>18</v>
      </c>
      <c r="L230" s="70" t="s">
        <v>697</v>
      </c>
    </row>
    <row r="231" spans="1:12" ht="20.25" customHeight="1" x14ac:dyDescent="0.3">
      <c r="A231" s="101" t="s">
        <v>546</v>
      </c>
      <c r="B231" s="93"/>
      <c r="C231" s="7" t="s">
        <v>545</v>
      </c>
      <c r="D231" s="94" t="s">
        <v>694</v>
      </c>
      <c r="E231" s="95" t="s">
        <v>114</v>
      </c>
      <c r="F231" s="70">
        <v>6</v>
      </c>
      <c r="G231" s="161">
        <v>8</v>
      </c>
      <c r="H231" s="70" t="s">
        <v>479</v>
      </c>
      <c r="I231" s="70">
        <v>4</v>
      </c>
      <c r="J231" s="70" t="s">
        <v>701</v>
      </c>
      <c r="K231" s="70" t="s">
        <v>18</v>
      </c>
      <c r="L231" s="70" t="s">
        <v>699</v>
      </c>
    </row>
    <row r="232" spans="1:12" ht="20.25" customHeight="1" x14ac:dyDescent="0.3">
      <c r="A232" s="101" t="s">
        <v>458</v>
      </c>
      <c r="B232" s="93"/>
      <c r="C232" s="7" t="s">
        <v>457</v>
      </c>
      <c r="D232" s="94" t="s">
        <v>194</v>
      </c>
      <c r="E232" s="95" t="s">
        <v>114</v>
      </c>
      <c r="F232" s="70">
        <v>6</v>
      </c>
      <c r="G232" s="161">
        <v>8</v>
      </c>
      <c r="H232" s="70" t="s">
        <v>911</v>
      </c>
      <c r="I232" s="70">
        <v>4</v>
      </c>
      <c r="J232" s="70" t="s">
        <v>912</v>
      </c>
      <c r="K232" s="70" t="s">
        <v>18</v>
      </c>
      <c r="L232" s="70" t="s">
        <v>396</v>
      </c>
    </row>
    <row r="233" spans="1:12" ht="20.25" customHeight="1" x14ac:dyDescent="0.3">
      <c r="A233" s="101" t="s">
        <v>442</v>
      </c>
      <c r="B233" s="93"/>
      <c r="C233" s="7" t="s">
        <v>441</v>
      </c>
      <c r="D233" s="94" t="s">
        <v>194</v>
      </c>
      <c r="E233" s="95" t="s">
        <v>114</v>
      </c>
      <c r="F233" s="70">
        <v>6</v>
      </c>
      <c r="G233" s="161">
        <v>8</v>
      </c>
      <c r="H233" s="70" t="s">
        <v>906</v>
      </c>
      <c r="I233" s="70">
        <v>4</v>
      </c>
      <c r="J233" s="70" t="s">
        <v>921</v>
      </c>
      <c r="K233" s="70" t="s">
        <v>18</v>
      </c>
      <c r="L233" s="70" t="s">
        <v>396</v>
      </c>
    </row>
    <row r="234" spans="1:12" ht="20.25" customHeight="1" x14ac:dyDescent="0.3">
      <c r="A234" s="101" t="s">
        <v>646</v>
      </c>
      <c r="B234" s="93"/>
      <c r="C234" s="7" t="s">
        <v>645</v>
      </c>
      <c r="D234" s="94" t="s">
        <v>34</v>
      </c>
      <c r="E234" s="95" t="s">
        <v>114</v>
      </c>
      <c r="F234" s="70">
        <v>6</v>
      </c>
      <c r="G234" s="161">
        <v>8</v>
      </c>
      <c r="H234" s="70" t="s">
        <v>373</v>
      </c>
      <c r="I234" s="70">
        <v>4</v>
      </c>
      <c r="J234" s="70" t="s">
        <v>303</v>
      </c>
      <c r="K234" s="70" t="s">
        <v>18</v>
      </c>
      <c r="L234" s="70" t="s">
        <v>566</v>
      </c>
    </row>
    <row r="235" spans="1:12" ht="20.25" customHeight="1" x14ac:dyDescent="0.3">
      <c r="A235" s="101" t="s">
        <v>635</v>
      </c>
      <c r="B235" s="93"/>
      <c r="C235" s="7" t="s">
        <v>634</v>
      </c>
      <c r="D235" s="94" t="s">
        <v>34</v>
      </c>
      <c r="E235" s="95" t="s">
        <v>114</v>
      </c>
      <c r="F235" s="70">
        <v>6</v>
      </c>
      <c r="G235" s="161">
        <v>8</v>
      </c>
      <c r="H235" s="70" t="s">
        <v>387</v>
      </c>
      <c r="I235" s="70">
        <v>4</v>
      </c>
      <c r="J235" s="70" t="s">
        <v>388</v>
      </c>
      <c r="K235" s="70" t="s">
        <v>18</v>
      </c>
      <c r="L235" s="70" t="s">
        <v>386</v>
      </c>
    </row>
    <row r="236" spans="1:12" ht="20.25" customHeight="1" x14ac:dyDescent="0.3">
      <c r="A236" s="101" t="s">
        <v>639</v>
      </c>
      <c r="B236" s="93"/>
      <c r="C236" s="7" t="s">
        <v>638</v>
      </c>
      <c r="D236" s="94" t="s">
        <v>34</v>
      </c>
      <c r="E236" s="95" t="s">
        <v>114</v>
      </c>
      <c r="F236" s="70">
        <v>6</v>
      </c>
      <c r="G236" s="161">
        <v>8</v>
      </c>
      <c r="H236" s="70" t="s">
        <v>379</v>
      </c>
      <c r="I236" s="70">
        <v>4</v>
      </c>
      <c r="J236" s="70" t="s">
        <v>656</v>
      </c>
      <c r="K236" s="70" t="s">
        <v>18</v>
      </c>
      <c r="L236" s="70" t="s">
        <v>560</v>
      </c>
    </row>
    <row r="237" spans="1:12" ht="20.25" customHeight="1" x14ac:dyDescent="0.3">
      <c r="A237" s="101" t="s">
        <v>508</v>
      </c>
      <c r="B237" s="93"/>
      <c r="C237" s="7" t="s">
        <v>507</v>
      </c>
      <c r="D237" s="94" t="s">
        <v>694</v>
      </c>
      <c r="E237" s="95" t="s">
        <v>114</v>
      </c>
      <c r="F237" s="70">
        <v>6</v>
      </c>
      <c r="G237" s="161">
        <v>8</v>
      </c>
      <c r="H237" s="70" t="s">
        <v>399</v>
      </c>
      <c r="I237" s="70">
        <v>4</v>
      </c>
      <c r="J237" s="70" t="s">
        <v>410</v>
      </c>
      <c r="K237" s="70" t="s">
        <v>18</v>
      </c>
      <c r="L237" s="70" t="s">
        <v>697</v>
      </c>
    </row>
    <row r="238" spans="1:12" ht="20.25" customHeight="1" x14ac:dyDescent="0.3">
      <c r="A238" s="101" t="s">
        <v>637</v>
      </c>
      <c r="B238" s="93"/>
      <c r="C238" s="7" t="s">
        <v>636</v>
      </c>
      <c r="D238" s="94" t="s">
        <v>34</v>
      </c>
      <c r="E238" s="95" t="s">
        <v>114</v>
      </c>
      <c r="F238" s="70">
        <v>6</v>
      </c>
      <c r="G238" s="161">
        <v>8</v>
      </c>
      <c r="H238" s="70" t="s">
        <v>382</v>
      </c>
      <c r="I238" s="70">
        <v>4</v>
      </c>
      <c r="J238" s="70" t="s">
        <v>385</v>
      </c>
      <c r="K238" s="70" t="s">
        <v>18</v>
      </c>
      <c r="L238" s="70" t="s">
        <v>381</v>
      </c>
    </row>
    <row r="239" spans="1:12" ht="20.25" customHeight="1" x14ac:dyDescent="0.3">
      <c r="A239" s="101" t="s">
        <v>637</v>
      </c>
      <c r="B239" s="93"/>
      <c r="C239" s="7" t="s">
        <v>661</v>
      </c>
      <c r="D239" s="94" t="s">
        <v>34</v>
      </c>
      <c r="E239" s="95" t="s">
        <v>110</v>
      </c>
      <c r="F239" s="70">
        <v>6</v>
      </c>
      <c r="G239" s="161">
        <v>8</v>
      </c>
      <c r="H239" s="70" t="s">
        <v>303</v>
      </c>
      <c r="I239" s="70">
        <v>4</v>
      </c>
      <c r="J239" s="70" t="s">
        <v>684</v>
      </c>
      <c r="K239" s="70" t="s">
        <v>18</v>
      </c>
      <c r="L239" s="70" t="s">
        <v>395</v>
      </c>
    </row>
    <row r="240" spans="1:12" ht="20.25" customHeight="1" x14ac:dyDescent="0.3">
      <c r="A240" s="101" t="s">
        <v>849</v>
      </c>
      <c r="B240" s="93"/>
      <c r="C240" s="7" t="s">
        <v>848</v>
      </c>
      <c r="D240" s="94" t="s">
        <v>194</v>
      </c>
      <c r="E240" s="95" t="s">
        <v>109</v>
      </c>
      <c r="F240" s="70">
        <v>4</v>
      </c>
      <c r="G240" s="161">
        <v>8</v>
      </c>
      <c r="H240" s="70" t="s">
        <v>906</v>
      </c>
      <c r="I240" s="70">
        <v>4</v>
      </c>
      <c r="J240" s="70" t="s">
        <v>906</v>
      </c>
      <c r="K240" s="70" t="s">
        <v>18</v>
      </c>
      <c r="L240" s="70" t="s">
        <v>396</v>
      </c>
    </row>
    <row r="241" spans="1:12" ht="20.25" customHeight="1" x14ac:dyDescent="0.3">
      <c r="A241" s="101" t="s">
        <v>450</v>
      </c>
      <c r="B241" s="93"/>
      <c r="C241" s="7" t="s">
        <v>449</v>
      </c>
      <c r="D241" s="94" t="s">
        <v>194</v>
      </c>
      <c r="E241" s="95" t="s">
        <v>114</v>
      </c>
      <c r="F241" s="70">
        <v>6</v>
      </c>
      <c r="G241" s="161">
        <v>8</v>
      </c>
      <c r="H241" s="70" t="s">
        <v>906</v>
      </c>
      <c r="I241" s="70">
        <v>4</v>
      </c>
      <c r="J241" s="70" t="s">
        <v>906</v>
      </c>
      <c r="K241" s="70" t="s">
        <v>18</v>
      </c>
      <c r="L241" s="70" t="s">
        <v>396</v>
      </c>
    </row>
    <row r="242" spans="1:12" ht="20.25" customHeight="1" x14ac:dyDescent="0.3">
      <c r="A242" s="101" t="s">
        <v>448</v>
      </c>
      <c r="B242" s="93"/>
      <c r="C242" s="7" t="s">
        <v>447</v>
      </c>
      <c r="D242" s="94" t="s">
        <v>194</v>
      </c>
      <c r="E242" s="95" t="s">
        <v>114</v>
      </c>
      <c r="F242" s="70">
        <v>6</v>
      </c>
      <c r="G242" s="161">
        <v>8</v>
      </c>
      <c r="H242" s="70" t="s">
        <v>914</v>
      </c>
      <c r="I242" s="70">
        <v>4</v>
      </c>
      <c r="J242" s="70" t="s">
        <v>926</v>
      </c>
      <c r="K242" s="70" t="s">
        <v>18</v>
      </c>
      <c r="L242" s="70" t="s">
        <v>396</v>
      </c>
    </row>
    <row r="243" spans="1:12" ht="20.25" customHeight="1" x14ac:dyDescent="0.3">
      <c r="A243" s="101" t="s">
        <v>446</v>
      </c>
      <c r="B243" s="93"/>
      <c r="C243" s="7" t="s">
        <v>445</v>
      </c>
      <c r="D243" s="94" t="s">
        <v>194</v>
      </c>
      <c r="E243" s="95" t="s">
        <v>114</v>
      </c>
      <c r="F243" s="70">
        <v>6</v>
      </c>
      <c r="G243" s="161">
        <v>8</v>
      </c>
      <c r="H243" s="70" t="s">
        <v>478</v>
      </c>
      <c r="I243" s="70">
        <v>4</v>
      </c>
      <c r="J243" s="70" t="s">
        <v>879</v>
      </c>
      <c r="K243" s="70" t="s">
        <v>18</v>
      </c>
      <c r="L243" s="70" t="s">
        <v>372</v>
      </c>
    </row>
    <row r="244" spans="1:12" ht="20.25" customHeight="1" x14ac:dyDescent="0.3">
      <c r="A244" s="101" t="s">
        <v>464</v>
      </c>
      <c r="B244" s="93"/>
      <c r="C244" s="7" t="s">
        <v>463</v>
      </c>
      <c r="D244" s="94" t="s">
        <v>194</v>
      </c>
      <c r="E244" s="95" t="s">
        <v>114</v>
      </c>
      <c r="F244" s="70">
        <v>6</v>
      </c>
      <c r="G244" s="161">
        <v>8</v>
      </c>
      <c r="H244" s="70" t="s">
        <v>911</v>
      </c>
      <c r="I244" s="70">
        <v>4</v>
      </c>
      <c r="J244" s="70" t="s">
        <v>906</v>
      </c>
      <c r="K244" s="70" t="s">
        <v>18</v>
      </c>
      <c r="L244" s="70" t="s">
        <v>396</v>
      </c>
    </row>
    <row r="245" spans="1:12" ht="20.25" customHeight="1" x14ac:dyDescent="0.3">
      <c r="A245" s="101" t="s">
        <v>454</v>
      </c>
      <c r="B245" s="93"/>
      <c r="C245" s="7" t="s">
        <v>453</v>
      </c>
      <c r="D245" s="94" t="s">
        <v>194</v>
      </c>
      <c r="E245" s="95" t="s">
        <v>114</v>
      </c>
      <c r="F245" s="70">
        <v>6</v>
      </c>
      <c r="G245" s="161">
        <v>8</v>
      </c>
      <c r="H245" s="70" t="s">
        <v>906</v>
      </c>
      <c r="I245" s="70">
        <v>4</v>
      </c>
      <c r="J245" s="70" t="s">
        <v>912</v>
      </c>
      <c r="K245" s="70" t="s">
        <v>18</v>
      </c>
      <c r="L245" s="70" t="s">
        <v>396</v>
      </c>
    </row>
    <row r="246" spans="1:12" ht="20.25" customHeight="1" x14ac:dyDescent="0.3">
      <c r="A246" s="101" t="s">
        <v>462</v>
      </c>
      <c r="B246" s="93"/>
      <c r="C246" s="7" t="s">
        <v>461</v>
      </c>
      <c r="D246" s="94" t="s">
        <v>194</v>
      </c>
      <c r="E246" s="95" t="s">
        <v>110</v>
      </c>
      <c r="F246" s="70">
        <v>6</v>
      </c>
      <c r="G246" s="161">
        <v>8</v>
      </c>
      <c r="H246" s="70" t="s">
        <v>567</v>
      </c>
      <c r="I246" s="70">
        <v>4</v>
      </c>
      <c r="J246" s="70" t="s">
        <v>568</v>
      </c>
      <c r="K246" s="70" t="s">
        <v>18</v>
      </c>
      <c r="L246" s="70" t="s">
        <v>381</v>
      </c>
    </row>
    <row r="247" spans="1:12" ht="20.25" customHeight="1" x14ac:dyDescent="0.3">
      <c r="A247" s="101" t="s">
        <v>468</v>
      </c>
      <c r="B247" s="93"/>
      <c r="C247" s="7" t="s">
        <v>467</v>
      </c>
      <c r="D247" s="94" t="s">
        <v>194</v>
      </c>
      <c r="E247" s="95" t="s">
        <v>114</v>
      </c>
      <c r="F247" s="70">
        <v>6</v>
      </c>
      <c r="G247" s="161">
        <v>8</v>
      </c>
      <c r="H247" s="70" t="s">
        <v>911</v>
      </c>
      <c r="I247" s="70">
        <v>4</v>
      </c>
      <c r="J247" s="70" t="s">
        <v>921</v>
      </c>
      <c r="K247" s="70" t="s">
        <v>18</v>
      </c>
      <c r="L247" s="70" t="s">
        <v>396</v>
      </c>
    </row>
    <row r="248" spans="1:12" ht="20.25" customHeight="1" x14ac:dyDescent="0.3">
      <c r="A248" s="101" t="s">
        <v>705</v>
      </c>
      <c r="B248" s="93"/>
      <c r="C248" s="7" t="s">
        <v>704</v>
      </c>
      <c r="D248" s="94" t="s">
        <v>194</v>
      </c>
      <c r="E248" s="95" t="s">
        <v>114</v>
      </c>
      <c r="F248" s="70">
        <v>6</v>
      </c>
      <c r="G248" s="161">
        <v>8</v>
      </c>
      <c r="H248" s="70" t="s">
        <v>562</v>
      </c>
      <c r="I248" s="70">
        <v>4</v>
      </c>
      <c r="J248" s="70" t="s">
        <v>888</v>
      </c>
      <c r="K248" s="70" t="s">
        <v>18</v>
      </c>
      <c r="L248" s="70" t="s">
        <v>560</v>
      </c>
    </row>
    <row r="249" spans="1:12" ht="20.25" customHeight="1" x14ac:dyDescent="0.3">
      <c r="A249" s="101" t="s">
        <v>713</v>
      </c>
      <c r="B249" s="93"/>
      <c r="C249" s="7" t="s">
        <v>712</v>
      </c>
      <c r="D249" s="94" t="s">
        <v>103</v>
      </c>
      <c r="E249" s="95" t="s">
        <v>110</v>
      </c>
      <c r="F249" s="70">
        <v>6</v>
      </c>
      <c r="G249" s="161">
        <v>8</v>
      </c>
      <c r="H249" s="70" t="s">
        <v>366</v>
      </c>
      <c r="I249" s="70">
        <v>4</v>
      </c>
      <c r="J249" s="70" t="s">
        <v>214</v>
      </c>
      <c r="K249" s="70" t="s">
        <v>18</v>
      </c>
      <c r="L249" s="70">
        <v>2014</v>
      </c>
    </row>
    <row r="250" spans="1:12" ht="20.25" customHeight="1" x14ac:dyDescent="0.3">
      <c r="A250" s="101" t="s">
        <v>859</v>
      </c>
      <c r="B250" s="93"/>
      <c r="C250" s="7" t="s">
        <v>858</v>
      </c>
      <c r="D250" s="94" t="s">
        <v>194</v>
      </c>
      <c r="E250" s="95" t="s">
        <v>114</v>
      </c>
      <c r="F250" s="70">
        <v>12</v>
      </c>
      <c r="G250" s="161">
        <v>8</v>
      </c>
      <c r="H250" s="70" t="s">
        <v>213</v>
      </c>
      <c r="I250" s="70">
        <v>4</v>
      </c>
      <c r="J250" s="70" t="s">
        <v>536</v>
      </c>
      <c r="K250" s="70" t="s">
        <v>18</v>
      </c>
      <c r="L250" s="70">
        <v>2009</v>
      </c>
    </row>
    <row r="251" spans="1:12" ht="20.25" customHeight="1" x14ac:dyDescent="0.3">
      <c r="A251" s="101" t="s">
        <v>300</v>
      </c>
      <c r="B251" s="93"/>
      <c r="C251" s="7" t="s">
        <v>299</v>
      </c>
      <c r="D251" s="94" t="s">
        <v>194</v>
      </c>
      <c r="E251" s="95" t="s">
        <v>110</v>
      </c>
      <c r="F251" s="70">
        <v>6</v>
      </c>
      <c r="G251" s="161">
        <v>8</v>
      </c>
      <c r="H251" s="70" t="s">
        <v>213</v>
      </c>
      <c r="I251" s="70">
        <v>4</v>
      </c>
      <c r="J251" s="70" t="s">
        <v>214</v>
      </c>
      <c r="K251" s="70" t="s">
        <v>18</v>
      </c>
      <c r="L251" s="70">
        <v>2014</v>
      </c>
    </row>
    <row r="252" spans="1:12" ht="20.25" customHeight="1" x14ac:dyDescent="0.3">
      <c r="A252" s="101" t="s">
        <v>722</v>
      </c>
      <c r="B252" s="93"/>
      <c r="C252" s="7" t="s">
        <v>721</v>
      </c>
      <c r="D252" s="94" t="s">
        <v>67</v>
      </c>
      <c r="E252" s="95" t="s">
        <v>114</v>
      </c>
      <c r="F252" s="70">
        <v>6</v>
      </c>
      <c r="G252" s="161">
        <v>8</v>
      </c>
      <c r="H252" s="70" t="s">
        <v>379</v>
      </c>
      <c r="I252" s="70">
        <v>4</v>
      </c>
      <c r="J252" s="70" t="s">
        <v>380</v>
      </c>
      <c r="K252" s="70" t="s">
        <v>18</v>
      </c>
      <c r="L252" s="70" t="s">
        <v>893</v>
      </c>
    </row>
    <row r="253" spans="1:12" ht="20.25" customHeight="1" x14ac:dyDescent="0.3">
      <c r="A253" s="101" t="s">
        <v>724</v>
      </c>
      <c r="B253" s="93"/>
      <c r="C253" s="7" t="s">
        <v>723</v>
      </c>
      <c r="D253" s="94" t="s">
        <v>67</v>
      </c>
      <c r="E253" s="95" t="s">
        <v>114</v>
      </c>
      <c r="F253" s="70">
        <v>6</v>
      </c>
      <c r="G253" s="161">
        <v>8</v>
      </c>
      <c r="H253" s="70" t="s">
        <v>380</v>
      </c>
      <c r="I253" s="70">
        <v>4</v>
      </c>
      <c r="J253" s="70" t="s">
        <v>380</v>
      </c>
      <c r="K253" s="70" t="s">
        <v>18</v>
      </c>
      <c r="L253" s="70" t="s">
        <v>886</v>
      </c>
    </row>
    <row r="254" spans="1:12" ht="20.25" customHeight="1" x14ac:dyDescent="0.3">
      <c r="A254" s="101" t="s">
        <v>592</v>
      </c>
      <c r="B254" s="93"/>
      <c r="C254" s="7" t="s">
        <v>591</v>
      </c>
      <c r="D254" s="94" t="s">
        <v>31</v>
      </c>
      <c r="E254" s="95" t="s">
        <v>114</v>
      </c>
      <c r="F254" s="70">
        <v>6</v>
      </c>
      <c r="G254" s="161">
        <v>8</v>
      </c>
      <c r="H254" s="70" t="s">
        <v>367</v>
      </c>
      <c r="I254" s="70">
        <v>4</v>
      </c>
      <c r="J254" s="70" t="s">
        <v>366</v>
      </c>
      <c r="K254" s="70" t="s">
        <v>18</v>
      </c>
      <c r="L254" s="70">
        <v>2014</v>
      </c>
    </row>
    <row r="255" spans="1:12" ht="20.25" customHeight="1" x14ac:dyDescent="0.3">
      <c r="A255" s="101" t="s">
        <v>514</v>
      </c>
      <c r="B255" s="93"/>
      <c r="C255" s="7" t="s">
        <v>513</v>
      </c>
      <c r="D255" s="94" t="s">
        <v>31</v>
      </c>
      <c r="E255" s="95" t="s">
        <v>114</v>
      </c>
      <c r="F255" s="70">
        <v>6</v>
      </c>
      <c r="G255" s="161">
        <v>8</v>
      </c>
      <c r="H255" s="70" t="s">
        <v>399</v>
      </c>
      <c r="I255" s="70">
        <v>4</v>
      </c>
      <c r="J255" s="70" t="s">
        <v>402</v>
      </c>
      <c r="K255" s="70" t="s">
        <v>18</v>
      </c>
      <c r="L255" s="70" t="s">
        <v>396</v>
      </c>
    </row>
    <row r="256" spans="1:12" ht="20.25" customHeight="1" x14ac:dyDescent="0.3">
      <c r="A256" s="101" t="s">
        <v>512</v>
      </c>
      <c r="B256" s="93"/>
      <c r="C256" s="7" t="s">
        <v>511</v>
      </c>
      <c r="D256" s="94" t="s">
        <v>31</v>
      </c>
      <c r="E256" s="95" t="s">
        <v>110</v>
      </c>
      <c r="F256" s="70">
        <v>8</v>
      </c>
      <c r="G256" s="161">
        <v>8</v>
      </c>
      <c r="H256" s="70" t="s">
        <v>569</v>
      </c>
      <c r="I256" s="70">
        <v>4</v>
      </c>
      <c r="J256" s="70" t="s">
        <v>573</v>
      </c>
      <c r="K256" s="70" t="s">
        <v>18</v>
      </c>
      <c r="L256" s="70" t="s">
        <v>381</v>
      </c>
    </row>
    <row r="257" spans="1:12" ht="20.25" customHeight="1" x14ac:dyDescent="0.3">
      <c r="A257" s="101" t="s">
        <v>444</v>
      </c>
      <c r="B257" s="93"/>
      <c r="C257" s="7" t="s">
        <v>443</v>
      </c>
      <c r="D257" s="94" t="s">
        <v>194</v>
      </c>
      <c r="E257" s="95" t="s">
        <v>114</v>
      </c>
      <c r="F257" s="70">
        <v>6</v>
      </c>
      <c r="G257" s="161">
        <v>8</v>
      </c>
      <c r="H257" s="70" t="s">
        <v>906</v>
      </c>
      <c r="I257" s="70">
        <v>4</v>
      </c>
      <c r="J257" s="70" t="s">
        <v>906</v>
      </c>
      <c r="K257" s="70" t="s">
        <v>18</v>
      </c>
      <c r="L257" s="70" t="s">
        <v>396</v>
      </c>
    </row>
    <row r="258" spans="1:12" ht="20.25" customHeight="1" x14ac:dyDescent="0.3">
      <c r="A258" s="101" t="s">
        <v>730</v>
      </c>
      <c r="B258" s="93"/>
      <c r="C258" s="7" t="s">
        <v>729</v>
      </c>
      <c r="D258" s="94" t="s">
        <v>194</v>
      </c>
      <c r="E258" s="95" t="s">
        <v>114</v>
      </c>
      <c r="F258" s="70">
        <v>6</v>
      </c>
      <c r="G258" s="161">
        <v>8</v>
      </c>
      <c r="H258" s="70">
        <v>2</v>
      </c>
      <c r="I258" s="70">
        <v>4</v>
      </c>
      <c r="J258" s="70"/>
      <c r="K258" s="70" t="s">
        <v>18</v>
      </c>
      <c r="L258" s="70">
        <v>2011</v>
      </c>
    </row>
    <row r="259" spans="1:12" ht="20.25" customHeight="1" x14ac:dyDescent="0.3">
      <c r="A259" s="101" t="s">
        <v>765</v>
      </c>
      <c r="B259" s="93"/>
      <c r="C259" s="7" t="s">
        <v>764</v>
      </c>
      <c r="D259" s="94" t="s">
        <v>29</v>
      </c>
      <c r="E259" s="95" t="s">
        <v>114</v>
      </c>
      <c r="F259" s="70">
        <v>6</v>
      </c>
      <c r="G259" s="161">
        <v>8</v>
      </c>
      <c r="H259" s="70" t="s">
        <v>379</v>
      </c>
      <c r="I259" s="70">
        <v>4</v>
      </c>
      <c r="J259" s="70" t="s">
        <v>565</v>
      </c>
      <c r="K259" s="70" t="s">
        <v>18</v>
      </c>
      <c r="L259" s="70" t="s">
        <v>716</v>
      </c>
    </row>
    <row r="260" spans="1:12" ht="20.25" customHeight="1" x14ac:dyDescent="0.3">
      <c r="A260" s="101" t="s">
        <v>765</v>
      </c>
      <c r="B260" s="93"/>
      <c r="C260" s="7" t="s">
        <v>874</v>
      </c>
      <c r="D260" s="94" t="s">
        <v>194</v>
      </c>
      <c r="E260" s="95" t="s">
        <v>110</v>
      </c>
      <c r="F260" s="70">
        <v>6</v>
      </c>
      <c r="G260" s="161">
        <v>8</v>
      </c>
      <c r="H260" s="70" t="s">
        <v>478</v>
      </c>
      <c r="I260" s="70">
        <v>4</v>
      </c>
      <c r="J260" s="70" t="s">
        <v>877</v>
      </c>
      <c r="K260" s="70" t="s">
        <v>18</v>
      </c>
      <c r="L260" s="70" t="s">
        <v>566</v>
      </c>
    </row>
    <row r="261" spans="1:12" ht="20.25" customHeight="1" x14ac:dyDescent="0.3">
      <c r="A261" s="101" t="s">
        <v>553</v>
      </c>
      <c r="B261" s="93"/>
      <c r="C261" s="7" t="s">
        <v>552</v>
      </c>
      <c r="D261" s="94" t="s">
        <v>694</v>
      </c>
      <c r="E261" s="95" t="s">
        <v>114</v>
      </c>
      <c r="F261" s="70">
        <v>6</v>
      </c>
      <c r="G261" s="161">
        <v>8</v>
      </c>
      <c r="H261" s="70" t="s">
        <v>382</v>
      </c>
      <c r="I261" s="70">
        <v>4</v>
      </c>
      <c r="J261" s="70" t="s">
        <v>382</v>
      </c>
      <c r="K261" s="70" t="s">
        <v>18</v>
      </c>
      <c r="L261" s="70" t="s">
        <v>881</v>
      </c>
    </row>
    <row r="262" spans="1:12" ht="20.25" customHeight="1" x14ac:dyDescent="0.3">
      <c r="A262" s="101" t="s">
        <v>738</v>
      </c>
      <c r="B262" s="93"/>
      <c r="C262" s="7" t="s">
        <v>737</v>
      </c>
      <c r="D262" s="94" t="s">
        <v>104</v>
      </c>
      <c r="E262" s="95" t="s">
        <v>114</v>
      </c>
      <c r="F262" s="70">
        <v>6</v>
      </c>
      <c r="G262" s="161">
        <v>8</v>
      </c>
      <c r="H262" s="70" t="s">
        <v>379</v>
      </c>
      <c r="I262" s="70">
        <v>4</v>
      </c>
      <c r="J262" s="70" t="s">
        <v>565</v>
      </c>
      <c r="K262" s="70" t="s">
        <v>18</v>
      </c>
      <c r="L262" s="70" t="s">
        <v>886</v>
      </c>
    </row>
    <row r="263" spans="1:12" ht="20.25" customHeight="1" x14ac:dyDescent="0.3">
      <c r="A263" s="101" t="s">
        <v>416</v>
      </c>
      <c r="B263" s="93"/>
      <c r="C263" s="7" t="s">
        <v>415</v>
      </c>
      <c r="D263" s="94" t="s">
        <v>194</v>
      </c>
      <c r="E263" s="95" t="s">
        <v>114</v>
      </c>
      <c r="F263" s="70">
        <v>6</v>
      </c>
      <c r="G263" s="161">
        <v>8</v>
      </c>
      <c r="H263" s="70" t="s">
        <v>906</v>
      </c>
      <c r="I263" s="70">
        <v>4</v>
      </c>
      <c r="J263" s="70" t="s">
        <v>911</v>
      </c>
      <c r="K263" s="70" t="s">
        <v>18</v>
      </c>
      <c r="L263" s="70" t="s">
        <v>396</v>
      </c>
    </row>
    <row r="264" spans="1:12" ht="20.25" customHeight="1" x14ac:dyDescent="0.3">
      <c r="A264" s="101" t="s">
        <v>794</v>
      </c>
      <c r="B264" s="93"/>
      <c r="C264" s="7" t="s">
        <v>793</v>
      </c>
      <c r="D264" s="94" t="s">
        <v>107</v>
      </c>
      <c r="E264" s="95" t="s">
        <v>114</v>
      </c>
      <c r="F264" s="70">
        <v>6</v>
      </c>
      <c r="G264" s="161">
        <v>8</v>
      </c>
      <c r="H264" s="70" t="s">
        <v>564</v>
      </c>
      <c r="I264" s="70">
        <v>4</v>
      </c>
      <c r="J264" s="70" t="s">
        <v>693</v>
      </c>
      <c r="K264" s="70" t="s">
        <v>18</v>
      </c>
      <c r="L264" s="70" t="s">
        <v>886</v>
      </c>
    </row>
    <row r="265" spans="1:12" ht="20.25" customHeight="1" x14ac:dyDescent="0.3">
      <c r="A265" s="101" t="s">
        <v>851</v>
      </c>
      <c r="B265" s="93"/>
      <c r="C265" s="7" t="s">
        <v>850</v>
      </c>
      <c r="D265" s="94" t="s">
        <v>194</v>
      </c>
      <c r="E265" s="95" t="s">
        <v>114</v>
      </c>
      <c r="F265" s="70">
        <v>6</v>
      </c>
      <c r="G265" s="161">
        <v>8</v>
      </c>
      <c r="H265" s="70" t="s">
        <v>213</v>
      </c>
      <c r="I265" s="70">
        <v>4</v>
      </c>
      <c r="J265" s="70" t="s">
        <v>214</v>
      </c>
      <c r="K265" s="70" t="s">
        <v>18</v>
      </c>
      <c r="L265" s="70">
        <v>2009</v>
      </c>
    </row>
    <row r="266" spans="1:12" ht="20.25" customHeight="1" x14ac:dyDescent="0.3">
      <c r="A266" s="101" t="s">
        <v>863</v>
      </c>
      <c r="B266" s="93"/>
      <c r="C266" s="7" t="s">
        <v>862</v>
      </c>
      <c r="D266" s="94" t="s">
        <v>194</v>
      </c>
      <c r="E266" s="95" t="s">
        <v>114</v>
      </c>
      <c r="F266" s="70">
        <v>6</v>
      </c>
      <c r="G266" s="161">
        <v>8</v>
      </c>
      <c r="H266" s="70" t="s">
        <v>906</v>
      </c>
      <c r="I266" s="70">
        <v>4</v>
      </c>
      <c r="J266" s="70" t="s">
        <v>923</v>
      </c>
      <c r="K266" s="70" t="s">
        <v>18</v>
      </c>
      <c r="L266" s="70" t="s">
        <v>396</v>
      </c>
    </row>
    <row r="267" spans="1:12" ht="20.25" customHeight="1" x14ac:dyDescent="0.3">
      <c r="A267" s="101" t="s">
        <v>476</v>
      </c>
      <c r="B267" s="93"/>
      <c r="C267" s="7" t="s">
        <v>475</v>
      </c>
      <c r="D267" s="94" t="s">
        <v>194</v>
      </c>
      <c r="E267" s="95" t="s">
        <v>114</v>
      </c>
      <c r="F267" s="70">
        <v>6</v>
      </c>
      <c r="G267" s="161">
        <v>8</v>
      </c>
      <c r="H267" s="70" t="s">
        <v>911</v>
      </c>
      <c r="I267" s="70">
        <v>4</v>
      </c>
      <c r="J267" s="70" t="s">
        <v>906</v>
      </c>
      <c r="K267" s="70" t="s">
        <v>18</v>
      </c>
      <c r="L267" s="70" t="s">
        <v>396</v>
      </c>
    </row>
    <row r="268" spans="1:12" ht="20.25" customHeight="1" x14ac:dyDescent="0.3">
      <c r="A268" s="101" t="s">
        <v>218</v>
      </c>
      <c r="B268" s="93"/>
      <c r="C268" s="7" t="s">
        <v>217</v>
      </c>
      <c r="D268" s="94" t="s">
        <v>799</v>
      </c>
      <c r="E268" s="95" t="s">
        <v>114</v>
      </c>
      <c r="F268" s="70">
        <v>6</v>
      </c>
      <c r="G268" s="161">
        <v>8</v>
      </c>
      <c r="H268" s="70" t="s">
        <v>383</v>
      </c>
      <c r="I268" s="70">
        <v>4</v>
      </c>
      <c r="J268" s="70" t="s">
        <v>384</v>
      </c>
      <c r="K268" s="70" t="s">
        <v>18</v>
      </c>
      <c r="L268" s="70" t="s">
        <v>886</v>
      </c>
    </row>
    <row r="269" spans="1:12" ht="20.25" customHeight="1" x14ac:dyDescent="0.3">
      <c r="A269" s="101" t="s">
        <v>677</v>
      </c>
      <c r="B269" s="93"/>
      <c r="C269" s="7" t="s">
        <v>676</v>
      </c>
      <c r="D269" s="94" t="s">
        <v>34</v>
      </c>
      <c r="E269" s="95" t="s">
        <v>110</v>
      </c>
      <c r="F269" s="70">
        <v>6</v>
      </c>
      <c r="G269" s="161">
        <v>8</v>
      </c>
      <c r="H269" s="70" t="s">
        <v>366</v>
      </c>
      <c r="I269" s="70">
        <v>4</v>
      </c>
      <c r="J269" s="70" t="s">
        <v>214</v>
      </c>
      <c r="K269" s="70" t="s">
        <v>18</v>
      </c>
      <c r="L269" s="70">
        <v>2014</v>
      </c>
    </row>
    <row r="270" spans="1:12" ht="20.25" customHeight="1" x14ac:dyDescent="0.3">
      <c r="A270" s="101" t="s">
        <v>510</v>
      </c>
      <c r="B270" s="93"/>
      <c r="C270" s="7" t="s">
        <v>509</v>
      </c>
      <c r="D270" s="94" t="s">
        <v>31</v>
      </c>
      <c r="E270" s="95" t="s">
        <v>114</v>
      </c>
      <c r="F270" s="70">
        <v>6</v>
      </c>
      <c r="G270" s="161">
        <v>8</v>
      </c>
      <c r="H270" s="70" t="s">
        <v>399</v>
      </c>
      <c r="I270" s="70">
        <v>4</v>
      </c>
      <c r="J270" s="70" t="s">
        <v>410</v>
      </c>
      <c r="K270" s="70" t="s">
        <v>18</v>
      </c>
      <c r="L270" s="70" t="s">
        <v>396</v>
      </c>
    </row>
    <row r="271" spans="1:12" ht="20.25" customHeight="1" x14ac:dyDescent="0.3">
      <c r="A271" s="101" t="s">
        <v>528</v>
      </c>
      <c r="B271" s="93"/>
      <c r="C271" s="7" t="s">
        <v>527</v>
      </c>
      <c r="D271" s="94" t="s">
        <v>31</v>
      </c>
      <c r="E271" s="95" t="s">
        <v>114</v>
      </c>
      <c r="F271" s="70">
        <v>6</v>
      </c>
      <c r="G271" s="161">
        <v>8</v>
      </c>
      <c r="H271" s="70" t="s">
        <v>383</v>
      </c>
      <c r="I271" s="70">
        <v>4</v>
      </c>
      <c r="J271" s="70" t="s">
        <v>382</v>
      </c>
      <c r="K271" s="70" t="s">
        <v>18</v>
      </c>
      <c r="L271" s="70" t="s">
        <v>381</v>
      </c>
    </row>
    <row r="272" spans="1:12" ht="20.25" customHeight="1" x14ac:dyDescent="0.3">
      <c r="A272" s="101" t="s">
        <v>346</v>
      </c>
      <c r="B272" s="93"/>
      <c r="C272" s="7" t="s">
        <v>345</v>
      </c>
      <c r="D272" s="94" t="s">
        <v>23</v>
      </c>
      <c r="E272" s="95" t="s">
        <v>110</v>
      </c>
      <c r="F272" s="70">
        <v>6</v>
      </c>
      <c r="G272" s="161">
        <v>8</v>
      </c>
      <c r="H272" s="70" t="s">
        <v>387</v>
      </c>
      <c r="I272" s="70">
        <v>4</v>
      </c>
      <c r="J272" s="70" t="s">
        <v>394</v>
      </c>
      <c r="K272" s="70" t="s">
        <v>18</v>
      </c>
      <c r="L272" s="70" t="s">
        <v>386</v>
      </c>
    </row>
    <row r="273" spans="1:12" ht="20.25" customHeight="1" x14ac:dyDescent="0.3">
      <c r="A273" s="101" t="s">
        <v>272</v>
      </c>
      <c r="B273" s="93"/>
      <c r="C273" s="7" t="s">
        <v>271</v>
      </c>
      <c r="D273" s="94" t="s">
        <v>23</v>
      </c>
      <c r="E273" s="95" t="s">
        <v>114</v>
      </c>
      <c r="F273" s="70">
        <v>6</v>
      </c>
      <c r="G273" s="161">
        <v>8</v>
      </c>
      <c r="H273" s="70" t="s">
        <v>404</v>
      </c>
      <c r="I273" s="70">
        <v>4</v>
      </c>
      <c r="J273" s="70" t="s">
        <v>406</v>
      </c>
      <c r="K273" s="70" t="s">
        <v>18</v>
      </c>
      <c r="L273" s="70" t="s">
        <v>396</v>
      </c>
    </row>
    <row r="274" spans="1:12" ht="20.25" customHeight="1" x14ac:dyDescent="0.3">
      <c r="A274" s="101" t="s">
        <v>747</v>
      </c>
      <c r="B274" s="93"/>
      <c r="C274" s="7" t="s">
        <v>746</v>
      </c>
      <c r="D274" s="94" t="s">
        <v>105</v>
      </c>
      <c r="E274" s="95" t="s">
        <v>114</v>
      </c>
      <c r="F274" s="70">
        <v>6</v>
      </c>
      <c r="G274" s="161">
        <v>8</v>
      </c>
      <c r="H274" s="70" t="s">
        <v>367</v>
      </c>
      <c r="I274" s="70">
        <v>4</v>
      </c>
      <c r="J274" s="70" t="s">
        <v>367</v>
      </c>
      <c r="K274" s="70" t="s">
        <v>18</v>
      </c>
      <c r="L274" s="70" t="s">
        <v>887</v>
      </c>
    </row>
    <row r="275" spans="1:12" ht="20.25" customHeight="1" x14ac:dyDescent="0.3">
      <c r="A275" s="101" t="s">
        <v>847</v>
      </c>
      <c r="B275" s="93"/>
      <c r="C275" s="7" t="s">
        <v>846</v>
      </c>
      <c r="D275" s="94" t="s">
        <v>194</v>
      </c>
      <c r="E275" s="95" t="s">
        <v>110</v>
      </c>
      <c r="F275" s="70">
        <v>6</v>
      </c>
      <c r="G275" s="161">
        <v>8</v>
      </c>
      <c r="H275" s="70" t="s">
        <v>914</v>
      </c>
      <c r="I275" s="70">
        <v>4</v>
      </c>
      <c r="J275" s="70" t="s">
        <v>925</v>
      </c>
      <c r="K275" s="70" t="s">
        <v>18</v>
      </c>
      <c r="L275" s="70" t="s">
        <v>396</v>
      </c>
    </row>
    <row r="276" spans="1:12" ht="20.25" customHeight="1" x14ac:dyDescent="0.3">
      <c r="A276" s="101" t="s">
        <v>757</v>
      </c>
      <c r="B276" s="93"/>
      <c r="C276" s="7" t="s">
        <v>756</v>
      </c>
      <c r="D276" s="94" t="s">
        <v>772</v>
      </c>
      <c r="E276" s="95" t="s">
        <v>114</v>
      </c>
      <c r="F276" s="70">
        <v>6</v>
      </c>
      <c r="G276" s="161">
        <v>8</v>
      </c>
      <c r="H276" s="70" t="s">
        <v>773</v>
      </c>
      <c r="I276" s="70">
        <v>4</v>
      </c>
      <c r="J276" s="70" t="s">
        <v>774</v>
      </c>
      <c r="K276" s="70" t="s">
        <v>18</v>
      </c>
      <c r="L276" s="70" t="s">
        <v>395</v>
      </c>
    </row>
    <row r="277" spans="1:12" ht="20.25" customHeight="1" x14ac:dyDescent="0.3">
      <c r="A277" s="101" t="s">
        <v>767</v>
      </c>
      <c r="B277" s="93"/>
      <c r="C277" s="7" t="s">
        <v>766</v>
      </c>
      <c r="D277" s="94" t="s">
        <v>29</v>
      </c>
      <c r="E277" s="95" t="s">
        <v>114</v>
      </c>
      <c r="F277" s="70">
        <v>6</v>
      </c>
      <c r="G277" s="161">
        <v>8</v>
      </c>
      <c r="H277" s="70" t="s">
        <v>380</v>
      </c>
      <c r="I277" s="70">
        <v>4</v>
      </c>
      <c r="J277" s="70" t="s">
        <v>380</v>
      </c>
      <c r="K277" s="70" t="s">
        <v>18</v>
      </c>
      <c r="L277" s="70" t="s">
        <v>886</v>
      </c>
    </row>
    <row r="278" spans="1:12" ht="20.25" customHeight="1" x14ac:dyDescent="0.3">
      <c r="A278" s="101" t="s">
        <v>524</v>
      </c>
      <c r="B278" s="93"/>
      <c r="C278" s="7" t="s">
        <v>523</v>
      </c>
      <c r="D278" s="94" t="s">
        <v>31</v>
      </c>
      <c r="E278" s="95" t="s">
        <v>114</v>
      </c>
      <c r="F278" s="70">
        <v>6</v>
      </c>
      <c r="G278" s="161">
        <v>8</v>
      </c>
      <c r="H278" s="70" t="s">
        <v>400</v>
      </c>
      <c r="I278" s="70">
        <v>4</v>
      </c>
      <c r="J278" s="70" t="s">
        <v>399</v>
      </c>
      <c r="K278" s="70" t="s">
        <v>18</v>
      </c>
      <c r="L278" s="70" t="s">
        <v>396</v>
      </c>
    </row>
    <row r="279" spans="1:12" ht="20.25" customHeight="1" x14ac:dyDescent="0.3">
      <c r="A279" s="101" t="s">
        <v>641</v>
      </c>
      <c r="B279" s="93"/>
      <c r="C279" s="7" t="s">
        <v>640</v>
      </c>
      <c r="D279" s="94" t="s">
        <v>34</v>
      </c>
      <c r="E279" s="95" t="s">
        <v>114</v>
      </c>
      <c r="F279" s="70">
        <v>6</v>
      </c>
      <c r="G279" s="161">
        <v>8</v>
      </c>
      <c r="H279" s="70" t="s">
        <v>367</v>
      </c>
      <c r="I279" s="70">
        <v>4</v>
      </c>
      <c r="J279" s="70" t="s">
        <v>366</v>
      </c>
      <c r="K279" s="70" t="s">
        <v>18</v>
      </c>
      <c r="L279" s="70">
        <v>2009</v>
      </c>
    </row>
    <row r="280" spans="1:12" ht="20.25" customHeight="1" x14ac:dyDescent="0.3">
      <c r="A280" s="101" t="s">
        <v>526</v>
      </c>
      <c r="B280" s="93"/>
      <c r="C280" s="7" t="s">
        <v>525</v>
      </c>
      <c r="D280" s="94" t="s">
        <v>31</v>
      </c>
      <c r="E280" s="95" t="s">
        <v>114</v>
      </c>
      <c r="F280" s="70">
        <v>6</v>
      </c>
      <c r="G280" s="161">
        <v>8</v>
      </c>
      <c r="H280" s="70" t="s">
        <v>388</v>
      </c>
      <c r="I280" s="70">
        <v>4</v>
      </c>
      <c r="J280" s="70" t="s">
        <v>388</v>
      </c>
      <c r="K280" s="70" t="s">
        <v>18</v>
      </c>
      <c r="L280" s="70" t="s">
        <v>386</v>
      </c>
    </row>
    <row r="281" spans="1:12" ht="20.25" customHeight="1" x14ac:dyDescent="0.3">
      <c r="A281" s="101" t="s">
        <v>857</v>
      </c>
      <c r="B281" s="93"/>
      <c r="C281" s="7" t="s">
        <v>856</v>
      </c>
      <c r="D281" s="94" t="s">
        <v>194</v>
      </c>
      <c r="E281" s="95" t="s">
        <v>109</v>
      </c>
      <c r="F281" s="70">
        <v>6</v>
      </c>
      <c r="G281" s="161">
        <v>8</v>
      </c>
      <c r="H281" s="70" t="s">
        <v>906</v>
      </c>
      <c r="I281" s="70">
        <v>4</v>
      </c>
      <c r="J281" s="70" t="s">
        <v>912</v>
      </c>
      <c r="K281" s="70" t="s">
        <v>18</v>
      </c>
      <c r="L281" s="70" t="s">
        <v>396</v>
      </c>
    </row>
    <row r="282" spans="1:12" ht="20.25" customHeight="1" x14ac:dyDescent="0.3">
      <c r="A282" s="101" t="s">
        <v>518</v>
      </c>
      <c r="B282" s="93"/>
      <c r="C282" s="7" t="s">
        <v>517</v>
      </c>
      <c r="D282" s="94" t="s">
        <v>31</v>
      </c>
      <c r="E282" s="95" t="s">
        <v>114</v>
      </c>
      <c r="F282" s="70">
        <v>6</v>
      </c>
      <c r="G282" s="161">
        <v>8</v>
      </c>
      <c r="H282" s="70" t="s">
        <v>399</v>
      </c>
      <c r="I282" s="70">
        <v>4</v>
      </c>
      <c r="J282" s="70" t="s">
        <v>399</v>
      </c>
      <c r="K282" s="70" t="s">
        <v>18</v>
      </c>
      <c r="L282" s="70" t="s">
        <v>396</v>
      </c>
    </row>
    <row r="283" spans="1:12" ht="20.25" customHeight="1" x14ac:dyDescent="0.3">
      <c r="A283" s="101" t="s">
        <v>520</v>
      </c>
      <c r="B283" s="93"/>
      <c r="C283" s="7" t="s">
        <v>519</v>
      </c>
      <c r="D283" s="94" t="s">
        <v>31</v>
      </c>
      <c r="E283" s="95" t="s">
        <v>114</v>
      </c>
      <c r="F283" s="70">
        <v>6</v>
      </c>
      <c r="G283" s="161">
        <v>8</v>
      </c>
      <c r="H283" s="70" t="s">
        <v>399</v>
      </c>
      <c r="I283" s="70">
        <v>4</v>
      </c>
      <c r="J283" s="70" t="s">
        <v>399</v>
      </c>
      <c r="K283" s="70" t="s">
        <v>18</v>
      </c>
      <c r="L283" s="70" t="s">
        <v>396</v>
      </c>
    </row>
    <row r="284" spans="1:12" ht="20.25" customHeight="1" x14ac:dyDescent="0.3">
      <c r="A284" s="101" t="s">
        <v>440</v>
      </c>
      <c r="B284" s="93"/>
      <c r="C284" s="7" t="s">
        <v>439</v>
      </c>
      <c r="D284" s="94" t="s">
        <v>194</v>
      </c>
      <c r="E284" s="95" t="s">
        <v>114</v>
      </c>
      <c r="F284" s="70">
        <v>6</v>
      </c>
      <c r="G284" s="161">
        <v>8</v>
      </c>
      <c r="H284" s="70" t="s">
        <v>906</v>
      </c>
      <c r="I284" s="70">
        <v>4</v>
      </c>
      <c r="J284" s="70" t="s">
        <v>911</v>
      </c>
      <c r="K284" s="70" t="s">
        <v>18</v>
      </c>
      <c r="L284" s="70" t="s">
        <v>396</v>
      </c>
    </row>
    <row r="285" spans="1:12" ht="20.25" customHeight="1" x14ac:dyDescent="0.3">
      <c r="A285" s="101" t="s">
        <v>845</v>
      </c>
      <c r="B285" s="93"/>
      <c r="C285" s="7" t="s">
        <v>844</v>
      </c>
      <c r="D285" s="94" t="s">
        <v>194</v>
      </c>
      <c r="E285" s="95" t="s">
        <v>114</v>
      </c>
      <c r="F285" s="70">
        <v>6</v>
      </c>
      <c r="G285" s="161">
        <v>8</v>
      </c>
      <c r="H285" s="70" t="s">
        <v>562</v>
      </c>
      <c r="I285" s="70">
        <v>4</v>
      </c>
      <c r="J285" s="70" t="s">
        <v>562</v>
      </c>
      <c r="K285" s="70" t="s">
        <v>18</v>
      </c>
      <c r="L285" s="70" t="s">
        <v>560</v>
      </c>
    </row>
    <row r="286" spans="1:12" ht="20.25" customHeight="1" x14ac:dyDescent="0.3">
      <c r="A286" s="101" t="s">
        <v>288</v>
      </c>
      <c r="B286" s="93"/>
      <c r="C286" s="7" t="s">
        <v>287</v>
      </c>
      <c r="D286" s="94" t="s">
        <v>23</v>
      </c>
      <c r="E286" s="95" t="s">
        <v>114</v>
      </c>
      <c r="F286" s="70">
        <v>6</v>
      </c>
      <c r="G286" s="161">
        <v>8</v>
      </c>
      <c r="H286" s="70" t="s">
        <v>400</v>
      </c>
      <c r="I286" s="70">
        <v>4</v>
      </c>
      <c r="J286" s="70" t="s">
        <v>410</v>
      </c>
      <c r="K286" s="70" t="s">
        <v>18</v>
      </c>
      <c r="L286" s="70" t="s">
        <v>396</v>
      </c>
    </row>
    <row r="287" spans="1:12" ht="20.25" customHeight="1" x14ac:dyDescent="0.3">
      <c r="A287" s="101" t="s">
        <v>282</v>
      </c>
      <c r="B287" s="93"/>
      <c r="C287" s="7" t="s">
        <v>281</v>
      </c>
      <c r="D287" s="94" t="s">
        <v>23</v>
      </c>
      <c r="E287" s="95" t="s">
        <v>110</v>
      </c>
      <c r="F287" s="70">
        <v>8</v>
      </c>
      <c r="G287" s="161">
        <v>8</v>
      </c>
      <c r="H287" s="70" t="s">
        <v>399</v>
      </c>
      <c r="I287" s="70">
        <v>4</v>
      </c>
      <c r="J287" s="70" t="s">
        <v>400</v>
      </c>
      <c r="K287" s="70" t="s">
        <v>18</v>
      </c>
      <c r="L287" s="70" t="s">
        <v>396</v>
      </c>
    </row>
    <row r="288" spans="1:12" ht="20.25" customHeight="1" x14ac:dyDescent="0.3">
      <c r="A288" s="101" t="s">
        <v>506</v>
      </c>
      <c r="B288" s="93"/>
      <c r="C288" s="7" t="s">
        <v>505</v>
      </c>
      <c r="D288" s="94" t="s">
        <v>31</v>
      </c>
      <c r="E288" s="95" t="s">
        <v>114</v>
      </c>
      <c r="F288" s="70">
        <v>6</v>
      </c>
      <c r="G288" s="161">
        <v>8</v>
      </c>
      <c r="H288" s="70" t="s">
        <v>303</v>
      </c>
      <c r="I288" s="70">
        <v>4</v>
      </c>
      <c r="J288" s="70" t="s">
        <v>378</v>
      </c>
      <c r="K288" s="70" t="s">
        <v>18</v>
      </c>
      <c r="L288" s="70" t="s">
        <v>372</v>
      </c>
    </row>
    <row r="289" spans="1:12" ht="20.25" customHeight="1" x14ac:dyDescent="0.3">
      <c r="A289" s="101" t="s">
        <v>530</v>
      </c>
      <c r="B289" s="93"/>
      <c r="C289" s="7" t="s">
        <v>529</v>
      </c>
      <c r="D289" s="94" t="s">
        <v>31</v>
      </c>
      <c r="E289" s="95" t="s">
        <v>114</v>
      </c>
      <c r="F289" s="70">
        <v>6</v>
      </c>
      <c r="G289" s="161">
        <v>8</v>
      </c>
      <c r="H289" s="70" t="s">
        <v>400</v>
      </c>
      <c r="I289" s="70">
        <v>4</v>
      </c>
      <c r="J289" s="70" t="s">
        <v>410</v>
      </c>
      <c r="K289" s="70" t="s">
        <v>18</v>
      </c>
      <c r="L289" s="70" t="s">
        <v>396</v>
      </c>
    </row>
    <row r="290" spans="1:12" ht="20.25" customHeight="1" x14ac:dyDescent="0.3">
      <c r="A290" s="101" t="s">
        <v>522</v>
      </c>
      <c r="B290" s="93"/>
      <c r="C290" s="7" t="s">
        <v>521</v>
      </c>
      <c r="D290" s="94" t="s">
        <v>31</v>
      </c>
      <c r="E290" s="95" t="s">
        <v>114</v>
      </c>
      <c r="F290" s="70">
        <v>6</v>
      </c>
      <c r="G290" s="161">
        <v>8</v>
      </c>
      <c r="H290" s="70" t="s">
        <v>400</v>
      </c>
      <c r="I290" s="70">
        <v>4</v>
      </c>
      <c r="J290" s="70" t="s">
        <v>410</v>
      </c>
      <c r="K290" s="70" t="s">
        <v>18</v>
      </c>
      <c r="L290" s="70" t="s">
        <v>396</v>
      </c>
    </row>
    <row r="291" spans="1:12" ht="20.25" customHeight="1" x14ac:dyDescent="0.3">
      <c r="A291" s="101" t="s">
        <v>280</v>
      </c>
      <c r="B291" s="93"/>
      <c r="C291" s="7" t="s">
        <v>279</v>
      </c>
      <c r="D291" s="94" t="s">
        <v>23</v>
      </c>
      <c r="E291" s="95" t="s">
        <v>110</v>
      </c>
      <c r="F291" s="70">
        <v>6</v>
      </c>
      <c r="G291" s="161">
        <v>8</v>
      </c>
      <c r="H291" s="70" t="s">
        <v>366</v>
      </c>
      <c r="I291" s="70">
        <v>4</v>
      </c>
      <c r="J291" s="70" t="s">
        <v>242</v>
      </c>
      <c r="K291" s="70" t="s">
        <v>18</v>
      </c>
      <c r="L291" s="70">
        <v>2014</v>
      </c>
    </row>
    <row r="292" spans="1:12" ht="20.25" customHeight="1" x14ac:dyDescent="0.3">
      <c r="A292" s="101" t="s">
        <v>284</v>
      </c>
      <c r="B292" s="93"/>
      <c r="C292" s="7" t="s">
        <v>283</v>
      </c>
      <c r="D292" s="94" t="s">
        <v>23</v>
      </c>
      <c r="E292" s="95" t="s">
        <v>110</v>
      </c>
      <c r="F292" s="70">
        <v>6</v>
      </c>
      <c r="G292" s="161">
        <v>8</v>
      </c>
      <c r="H292" s="70" t="s">
        <v>373</v>
      </c>
      <c r="I292" s="70">
        <v>4</v>
      </c>
      <c r="J292" s="70" t="s">
        <v>373</v>
      </c>
      <c r="K292" s="70" t="s">
        <v>18</v>
      </c>
      <c r="L292" s="70" t="s">
        <v>408</v>
      </c>
    </row>
    <row r="293" spans="1:12" ht="20.25" customHeight="1" x14ac:dyDescent="0.3">
      <c r="A293" s="101" t="s">
        <v>276</v>
      </c>
      <c r="B293" s="93"/>
      <c r="C293" s="7" t="s">
        <v>275</v>
      </c>
      <c r="D293" s="94" t="s">
        <v>23</v>
      </c>
      <c r="E293" s="95" t="s">
        <v>114</v>
      </c>
      <c r="F293" s="70">
        <v>6</v>
      </c>
      <c r="G293" s="161">
        <v>8</v>
      </c>
      <c r="H293" s="70" t="s">
        <v>404</v>
      </c>
      <c r="I293" s="70">
        <v>4</v>
      </c>
      <c r="J293" s="70" t="s">
        <v>409</v>
      </c>
      <c r="K293" s="70" t="s">
        <v>18</v>
      </c>
      <c r="L293" s="70" t="s">
        <v>396</v>
      </c>
    </row>
    <row r="294" spans="1:12" ht="20.25" customHeight="1" x14ac:dyDescent="0.3">
      <c r="A294" s="101" t="s">
        <v>633</v>
      </c>
      <c r="B294" s="93"/>
      <c r="C294" s="7" t="s">
        <v>632</v>
      </c>
      <c r="D294" s="94" t="s">
        <v>34</v>
      </c>
      <c r="E294" s="95" t="s">
        <v>114</v>
      </c>
      <c r="F294" s="70">
        <v>6</v>
      </c>
      <c r="G294" s="161">
        <v>8</v>
      </c>
      <c r="H294" s="70" t="s">
        <v>404</v>
      </c>
      <c r="I294" s="70">
        <v>4</v>
      </c>
      <c r="J294" s="70" t="s">
        <v>607</v>
      </c>
      <c r="K294" s="70" t="s">
        <v>18</v>
      </c>
      <c r="L294" s="70" t="s">
        <v>396</v>
      </c>
    </row>
    <row r="295" spans="1:12" ht="20.25" customHeight="1" x14ac:dyDescent="0.3">
      <c r="A295" s="101" t="s">
        <v>460</v>
      </c>
      <c r="B295" s="93"/>
      <c r="C295" s="7" t="s">
        <v>459</v>
      </c>
      <c r="D295" s="94" t="s">
        <v>194</v>
      </c>
      <c r="E295" s="95" t="s">
        <v>114</v>
      </c>
      <c r="F295" s="70">
        <v>6</v>
      </c>
      <c r="G295" s="161">
        <v>8</v>
      </c>
      <c r="H295" s="70" t="s">
        <v>911</v>
      </c>
      <c r="I295" s="70">
        <v>4</v>
      </c>
      <c r="J295" s="70" t="s">
        <v>921</v>
      </c>
      <c r="K295" s="70" t="s">
        <v>18</v>
      </c>
      <c r="L295" s="70" t="s">
        <v>396</v>
      </c>
    </row>
    <row r="296" spans="1:12" ht="20.25" customHeight="1" x14ac:dyDescent="0.3">
      <c r="A296" s="101" t="s">
        <v>286</v>
      </c>
      <c r="B296" s="93"/>
      <c r="C296" s="7" t="s">
        <v>285</v>
      </c>
      <c r="D296" s="94" t="s">
        <v>23</v>
      </c>
      <c r="E296" s="95" t="s">
        <v>114</v>
      </c>
      <c r="F296" s="70">
        <v>6</v>
      </c>
      <c r="G296" s="161">
        <v>8</v>
      </c>
      <c r="H296" s="70" t="s">
        <v>400</v>
      </c>
      <c r="I296" s="70">
        <v>4</v>
      </c>
      <c r="J296" s="70" t="s">
        <v>400</v>
      </c>
      <c r="K296" s="70" t="s">
        <v>18</v>
      </c>
      <c r="L296" s="70" t="s">
        <v>396</v>
      </c>
    </row>
    <row r="297" spans="1:12" ht="20.25" customHeight="1" x14ac:dyDescent="0.3">
      <c r="A297" s="101" t="s">
        <v>456</v>
      </c>
      <c r="B297" s="93"/>
      <c r="C297" s="7" t="s">
        <v>455</v>
      </c>
      <c r="D297" s="94" t="s">
        <v>194</v>
      </c>
      <c r="E297" s="95" t="s">
        <v>114</v>
      </c>
      <c r="F297" s="70">
        <v>6</v>
      </c>
      <c r="G297" s="161">
        <v>8</v>
      </c>
      <c r="H297" s="70" t="s">
        <v>906</v>
      </c>
      <c r="I297" s="70">
        <v>4</v>
      </c>
      <c r="J297" s="70" t="s">
        <v>921</v>
      </c>
      <c r="K297" s="70" t="s">
        <v>18</v>
      </c>
      <c r="L297" s="70" t="s">
        <v>396</v>
      </c>
    </row>
    <row r="298" spans="1:12" ht="20.25" customHeight="1" x14ac:dyDescent="0.3">
      <c r="A298" s="101" t="s">
        <v>555</v>
      </c>
      <c r="B298" s="93"/>
      <c r="C298" s="7" t="s">
        <v>554</v>
      </c>
      <c r="D298" s="94" t="s">
        <v>31</v>
      </c>
      <c r="E298" s="95" t="s">
        <v>114</v>
      </c>
      <c r="F298" s="70">
        <v>6</v>
      </c>
      <c r="G298" s="161">
        <v>8</v>
      </c>
      <c r="H298" s="70" t="s">
        <v>380</v>
      </c>
      <c r="I298" s="70">
        <v>4</v>
      </c>
      <c r="J298" s="70" t="s">
        <v>379</v>
      </c>
      <c r="K298" s="70" t="s">
        <v>18</v>
      </c>
      <c r="L298" s="70" t="s">
        <v>390</v>
      </c>
    </row>
    <row r="299" spans="1:12" ht="20.25" customHeight="1" x14ac:dyDescent="0.3">
      <c r="A299" s="101" t="s">
        <v>884</v>
      </c>
      <c r="B299" s="93"/>
      <c r="C299" s="7" t="s">
        <v>883</v>
      </c>
      <c r="D299" s="94" t="s">
        <v>194</v>
      </c>
      <c r="E299" s="95" t="s">
        <v>109</v>
      </c>
      <c r="F299" s="70">
        <v>6</v>
      </c>
      <c r="G299" s="161">
        <v>8</v>
      </c>
      <c r="H299" s="70" t="s">
        <v>568</v>
      </c>
      <c r="I299" s="70">
        <v>4</v>
      </c>
      <c r="J299" s="70" t="s">
        <v>567</v>
      </c>
      <c r="K299" s="70" t="s">
        <v>18</v>
      </c>
      <c r="L299" s="70" t="s">
        <v>403</v>
      </c>
    </row>
    <row r="300" spans="1:12" ht="20.25" customHeight="1" x14ac:dyDescent="0.3">
      <c r="A300" s="101" t="s">
        <v>466</v>
      </c>
      <c r="B300" s="93"/>
      <c r="C300" s="7" t="s">
        <v>465</v>
      </c>
      <c r="D300" s="94" t="s">
        <v>194</v>
      </c>
      <c r="E300" s="95" t="s">
        <v>114</v>
      </c>
      <c r="F300" s="70">
        <v>6</v>
      </c>
      <c r="G300" s="161">
        <v>8</v>
      </c>
      <c r="H300" s="70" t="s">
        <v>567</v>
      </c>
      <c r="I300" s="70">
        <v>4</v>
      </c>
      <c r="J300" s="70" t="s">
        <v>567</v>
      </c>
      <c r="K300" s="70" t="s">
        <v>18</v>
      </c>
      <c r="L300" s="70" t="s">
        <v>403</v>
      </c>
    </row>
    <row r="301" spans="1:12" ht="20.25" customHeight="1" x14ac:dyDescent="0.3">
      <c r="A301" s="101" t="s">
        <v>745</v>
      </c>
      <c r="B301" s="93"/>
      <c r="C301" s="7" t="s">
        <v>744</v>
      </c>
      <c r="D301" s="94" t="s">
        <v>105</v>
      </c>
      <c r="E301" s="95" t="s">
        <v>114</v>
      </c>
      <c r="F301" s="70">
        <v>6</v>
      </c>
      <c r="G301" s="161">
        <v>8</v>
      </c>
      <c r="H301" s="70" t="s">
        <v>718</v>
      </c>
      <c r="I301" s="70">
        <v>4</v>
      </c>
      <c r="J301" s="70" t="s">
        <v>380</v>
      </c>
      <c r="K301" s="70" t="s">
        <v>18</v>
      </c>
      <c r="L301" s="70" t="s">
        <v>716</v>
      </c>
    </row>
    <row r="302" spans="1:12" ht="20.25" customHeight="1" x14ac:dyDescent="0.3">
      <c r="A302" s="101" t="s">
        <v>855</v>
      </c>
      <c r="B302" s="93"/>
      <c r="C302" s="7" t="s">
        <v>854</v>
      </c>
      <c r="D302" s="94" t="s">
        <v>194</v>
      </c>
      <c r="E302" s="95" t="s">
        <v>109</v>
      </c>
      <c r="F302" s="70">
        <v>6</v>
      </c>
      <c r="G302" s="161">
        <v>8</v>
      </c>
      <c r="H302" s="70" t="s">
        <v>478</v>
      </c>
      <c r="I302" s="70">
        <v>4</v>
      </c>
      <c r="J302" s="70" t="s">
        <v>477</v>
      </c>
      <c r="K302" s="70" t="s">
        <v>18</v>
      </c>
      <c r="L302" s="70" t="s">
        <v>372</v>
      </c>
    </row>
    <row r="303" spans="1:12" ht="20.25" customHeight="1" x14ac:dyDescent="0.3">
      <c r="A303" s="101" t="s">
        <v>755</v>
      </c>
      <c r="B303" s="93"/>
      <c r="C303" s="7" t="s">
        <v>754</v>
      </c>
      <c r="D303" s="94" t="s">
        <v>105</v>
      </c>
      <c r="E303" s="95" t="s">
        <v>114</v>
      </c>
      <c r="F303" s="70">
        <v>6</v>
      </c>
      <c r="G303" s="161">
        <v>8</v>
      </c>
      <c r="H303" s="70" t="s">
        <v>303</v>
      </c>
      <c r="I303" s="70">
        <v>4</v>
      </c>
      <c r="J303" s="70" t="s">
        <v>373</v>
      </c>
      <c r="K303" s="70" t="s">
        <v>18</v>
      </c>
      <c r="L303" s="70" t="s">
        <v>395</v>
      </c>
    </row>
    <row r="304" spans="1:12" ht="20.25" customHeight="1" x14ac:dyDescent="0.3">
      <c r="A304" s="101" t="s">
        <v>843</v>
      </c>
      <c r="B304" s="93"/>
      <c r="C304" s="7" t="s">
        <v>842</v>
      </c>
      <c r="D304" s="94" t="s">
        <v>194</v>
      </c>
      <c r="E304" s="95" t="s">
        <v>114</v>
      </c>
      <c r="F304" s="70">
        <v>6</v>
      </c>
      <c r="G304" s="161">
        <v>8</v>
      </c>
      <c r="H304" s="70" t="s">
        <v>906</v>
      </c>
      <c r="I304" s="70">
        <v>4</v>
      </c>
      <c r="J304" s="70" t="s">
        <v>921</v>
      </c>
      <c r="K304" s="70" t="s">
        <v>18</v>
      </c>
      <c r="L304" s="70" t="s">
        <v>396</v>
      </c>
    </row>
    <row r="305" spans="1:12" ht="20.25" customHeight="1" x14ac:dyDescent="0.3">
      <c r="A305" s="101" t="s">
        <v>711</v>
      </c>
      <c r="B305" s="93"/>
      <c r="C305" s="7" t="s">
        <v>710</v>
      </c>
      <c r="D305" s="94" t="s">
        <v>800</v>
      </c>
      <c r="E305" s="95" t="s">
        <v>114</v>
      </c>
      <c r="F305" s="70">
        <v>6</v>
      </c>
      <c r="G305" s="161">
        <v>8</v>
      </c>
      <c r="H305" s="70" t="s">
        <v>383</v>
      </c>
      <c r="I305" s="70">
        <v>4</v>
      </c>
      <c r="J305" s="70" t="s">
        <v>383</v>
      </c>
      <c r="K305" s="70" t="s">
        <v>18</v>
      </c>
      <c r="L305" s="70" t="s">
        <v>716</v>
      </c>
    </row>
    <row r="306" spans="1:12" ht="20.25" customHeight="1" x14ac:dyDescent="0.3">
      <c r="A306" s="101" t="s">
        <v>861</v>
      </c>
      <c r="B306" s="93"/>
      <c r="C306" s="7" t="s">
        <v>860</v>
      </c>
      <c r="D306" s="94" t="s">
        <v>194</v>
      </c>
      <c r="E306" s="95" t="s">
        <v>114</v>
      </c>
      <c r="F306" s="70">
        <v>6</v>
      </c>
      <c r="G306" s="161">
        <v>8</v>
      </c>
      <c r="H306" s="70" t="s">
        <v>562</v>
      </c>
      <c r="I306" s="70">
        <v>4</v>
      </c>
      <c r="J306" s="70" t="s">
        <v>561</v>
      </c>
      <c r="K306" s="70" t="s">
        <v>18</v>
      </c>
      <c r="L306" s="70" t="s">
        <v>560</v>
      </c>
    </row>
    <row r="307" spans="1:12" ht="20.25" customHeight="1" x14ac:dyDescent="0.3">
      <c r="A307" s="101" t="s">
        <v>709</v>
      </c>
      <c r="B307" s="93"/>
      <c r="C307" s="7" t="s">
        <v>708</v>
      </c>
      <c r="D307" s="94" t="s">
        <v>103</v>
      </c>
      <c r="E307" s="95" t="s">
        <v>114</v>
      </c>
      <c r="F307" s="70">
        <v>6</v>
      </c>
      <c r="G307" s="161">
        <v>8</v>
      </c>
      <c r="H307" s="70" t="s">
        <v>380</v>
      </c>
      <c r="I307" s="70">
        <v>4</v>
      </c>
      <c r="J307" s="70" t="s">
        <v>565</v>
      </c>
      <c r="K307" s="70" t="s">
        <v>18</v>
      </c>
      <c r="L307" s="70" t="s">
        <v>876</v>
      </c>
    </row>
    <row r="308" spans="1:12" ht="20.25" customHeight="1" x14ac:dyDescent="0.3">
      <c r="A308" s="101" t="s">
        <v>542</v>
      </c>
      <c r="B308" s="93"/>
      <c r="C308" s="7" t="s">
        <v>541</v>
      </c>
      <c r="D308" s="94" t="s">
        <v>694</v>
      </c>
      <c r="E308" s="95" t="s">
        <v>114</v>
      </c>
      <c r="F308" s="70">
        <v>6</v>
      </c>
      <c r="G308" s="161">
        <v>8</v>
      </c>
      <c r="H308" s="70" t="s">
        <v>479</v>
      </c>
      <c r="I308" s="70">
        <v>4</v>
      </c>
      <c r="J308" s="70" t="s">
        <v>686</v>
      </c>
      <c r="K308" s="70" t="s">
        <v>18</v>
      </c>
      <c r="L308" s="70" t="s">
        <v>699</v>
      </c>
    </row>
    <row r="309" spans="1:12" ht="20.25" customHeight="1" x14ac:dyDescent="0.3">
      <c r="A309" s="101" t="s">
        <v>763</v>
      </c>
      <c r="B309" s="93"/>
      <c r="C309" s="7" t="s">
        <v>762</v>
      </c>
      <c r="D309" s="94" t="s">
        <v>29</v>
      </c>
      <c r="E309" s="95" t="s">
        <v>114</v>
      </c>
      <c r="F309" s="70">
        <v>6</v>
      </c>
      <c r="G309" s="161">
        <v>8</v>
      </c>
      <c r="H309" s="70" t="s">
        <v>379</v>
      </c>
      <c r="I309" s="70">
        <v>4</v>
      </c>
      <c r="J309" s="70" t="s">
        <v>380</v>
      </c>
      <c r="K309" s="70" t="s">
        <v>18</v>
      </c>
      <c r="L309" s="70" t="s">
        <v>886</v>
      </c>
    </row>
    <row r="310" spans="1:12" ht="20.25" customHeight="1" x14ac:dyDescent="0.3">
      <c r="A310" s="101" t="s">
        <v>853</v>
      </c>
      <c r="B310" s="93"/>
      <c r="C310" s="7" t="s">
        <v>852</v>
      </c>
      <c r="D310" s="94" t="s">
        <v>194</v>
      </c>
      <c r="E310" s="95" t="s">
        <v>109</v>
      </c>
      <c r="F310" s="70">
        <v>6</v>
      </c>
      <c r="G310" s="161">
        <v>8</v>
      </c>
      <c r="H310" s="70" t="s">
        <v>906</v>
      </c>
      <c r="I310" s="70">
        <v>4</v>
      </c>
      <c r="J310" s="70" t="s">
        <v>922</v>
      </c>
      <c r="K310" s="70" t="s">
        <v>18</v>
      </c>
      <c r="L310" s="70" t="s">
        <v>396</v>
      </c>
    </row>
    <row r="311" spans="1:12" ht="20.25" customHeight="1" x14ac:dyDescent="0.3">
      <c r="A311" s="101" t="s">
        <v>452</v>
      </c>
      <c r="B311" s="93"/>
      <c r="C311" s="7" t="s">
        <v>451</v>
      </c>
      <c r="D311" s="94" t="s">
        <v>194</v>
      </c>
      <c r="E311" s="95" t="s">
        <v>114</v>
      </c>
      <c r="F311" s="70">
        <v>6</v>
      </c>
      <c r="G311" s="161">
        <v>8</v>
      </c>
      <c r="H311" s="70" t="s">
        <v>889</v>
      </c>
      <c r="I311" s="70">
        <v>4</v>
      </c>
      <c r="J311" s="70" t="s">
        <v>927</v>
      </c>
      <c r="K311" s="70" t="s">
        <v>18</v>
      </c>
      <c r="L311" s="70" t="s">
        <v>716</v>
      </c>
    </row>
    <row r="312" spans="1:12" ht="20.25" customHeight="1" x14ac:dyDescent="0.3">
      <c r="A312" s="101" t="s">
        <v>278</v>
      </c>
      <c r="B312" s="93"/>
      <c r="C312" s="7" t="s">
        <v>277</v>
      </c>
      <c r="D312" s="94" t="s">
        <v>23</v>
      </c>
      <c r="E312" s="95" t="s">
        <v>110</v>
      </c>
      <c r="F312" s="70">
        <v>4</v>
      </c>
      <c r="G312" s="161">
        <v>8</v>
      </c>
      <c r="H312" s="70" t="s">
        <v>399</v>
      </c>
      <c r="I312" s="70">
        <v>4</v>
      </c>
      <c r="J312" s="70" t="s">
        <v>407</v>
      </c>
      <c r="K312" s="70" t="s">
        <v>18</v>
      </c>
      <c r="L312" s="70" t="s">
        <v>396</v>
      </c>
    </row>
    <row r="313" spans="1:12" ht="20.25" customHeight="1" x14ac:dyDescent="0.3">
      <c r="A313" s="101" t="s">
        <v>865</v>
      </c>
      <c r="B313" s="93"/>
      <c r="C313" s="7" t="s">
        <v>864</v>
      </c>
      <c r="D313" s="94" t="s">
        <v>194</v>
      </c>
      <c r="E313" s="95" t="s">
        <v>109</v>
      </c>
      <c r="F313" s="70">
        <v>6</v>
      </c>
      <c r="G313" s="161">
        <v>8</v>
      </c>
      <c r="H313" s="70" t="s">
        <v>911</v>
      </c>
      <c r="I313" s="70">
        <v>4</v>
      </c>
      <c r="J313" s="70" t="s">
        <v>912</v>
      </c>
      <c r="K313" s="70" t="s">
        <v>18</v>
      </c>
      <c r="L313" s="70" t="s">
        <v>396</v>
      </c>
    </row>
    <row r="314" spans="1:12" ht="20.25" customHeight="1" x14ac:dyDescent="0.3">
      <c r="A314" s="101" t="s">
        <v>897</v>
      </c>
      <c r="B314" s="93"/>
      <c r="C314" s="7" t="s">
        <v>896</v>
      </c>
      <c r="D314" s="94" t="s">
        <v>194</v>
      </c>
      <c r="E314" s="95" t="s">
        <v>110</v>
      </c>
      <c r="F314" s="70">
        <v>6</v>
      </c>
      <c r="G314" s="161">
        <v>8</v>
      </c>
      <c r="H314" s="70">
        <v>2</v>
      </c>
      <c r="I314" s="70">
        <v>4</v>
      </c>
      <c r="J314" s="70">
        <v>4</v>
      </c>
      <c r="K314" s="70" t="s">
        <v>18</v>
      </c>
      <c r="L314" s="70">
        <v>2012</v>
      </c>
    </row>
    <row r="315" spans="1:12" ht="20.25" customHeight="1" x14ac:dyDescent="0.3">
      <c r="A315" s="101" t="s">
        <v>544</v>
      </c>
      <c r="B315" s="93"/>
      <c r="C315" s="7" t="s">
        <v>543</v>
      </c>
      <c r="D315" s="94" t="s">
        <v>31</v>
      </c>
      <c r="E315" s="95" t="s">
        <v>114</v>
      </c>
      <c r="F315" s="70">
        <v>6</v>
      </c>
      <c r="G315" s="161">
        <v>9</v>
      </c>
      <c r="H315" s="70" t="s">
        <v>303</v>
      </c>
      <c r="I315" s="70">
        <v>5</v>
      </c>
      <c r="J315" s="70" t="s">
        <v>373</v>
      </c>
      <c r="K315" s="70" t="s">
        <v>18</v>
      </c>
      <c r="L315" s="70" t="s">
        <v>395</v>
      </c>
    </row>
    <row r="316" spans="1:12" ht="20.25" customHeight="1" x14ac:dyDescent="0.3">
      <c r="A316" s="101" t="s">
        <v>790</v>
      </c>
      <c r="B316" s="93"/>
      <c r="C316" s="7" t="s">
        <v>789</v>
      </c>
      <c r="D316" s="94" t="s">
        <v>108</v>
      </c>
      <c r="E316" s="95" t="s">
        <v>114</v>
      </c>
      <c r="F316" s="70">
        <v>6</v>
      </c>
      <c r="G316" s="161">
        <v>9</v>
      </c>
      <c r="H316" s="70" t="s">
        <v>366</v>
      </c>
      <c r="I316" s="70">
        <v>5</v>
      </c>
      <c r="J316" s="70" t="s">
        <v>214</v>
      </c>
      <c r="K316" s="70" t="s">
        <v>18</v>
      </c>
      <c r="L316" s="70">
        <v>2014</v>
      </c>
    </row>
    <row r="317" spans="1:12" ht="20.25" customHeight="1" x14ac:dyDescent="0.3">
      <c r="A317" s="101" t="s">
        <v>802</v>
      </c>
      <c r="B317" s="93"/>
      <c r="C317" s="7" t="s">
        <v>801</v>
      </c>
      <c r="D317" s="94" t="s">
        <v>108</v>
      </c>
      <c r="E317" s="95" t="s">
        <v>114</v>
      </c>
      <c r="F317" s="70">
        <v>6</v>
      </c>
      <c r="G317" s="161">
        <v>9</v>
      </c>
      <c r="H317" s="70" t="s">
        <v>367</v>
      </c>
      <c r="I317" s="70">
        <v>5</v>
      </c>
      <c r="J317" s="70" t="s">
        <v>214</v>
      </c>
      <c r="K317" s="70" t="s">
        <v>18</v>
      </c>
      <c r="L317" s="70">
        <v>2014</v>
      </c>
    </row>
    <row r="318" spans="1:12" ht="20.25" customHeight="1" x14ac:dyDescent="0.3">
      <c r="A318" s="101" t="s">
        <v>557</v>
      </c>
      <c r="B318" s="93"/>
      <c r="C318" s="7" t="s">
        <v>556</v>
      </c>
      <c r="D318" s="94" t="s">
        <v>694</v>
      </c>
      <c r="E318" s="95" t="s">
        <v>114</v>
      </c>
      <c r="F318" s="70">
        <v>6</v>
      </c>
      <c r="G318" s="161">
        <v>9</v>
      </c>
      <c r="H318" s="70" t="s">
        <v>382</v>
      </c>
      <c r="I318" s="70">
        <v>5</v>
      </c>
      <c r="J318" s="70" t="s">
        <v>382</v>
      </c>
      <c r="K318" s="70" t="s">
        <v>18</v>
      </c>
      <c r="L318" s="70" t="s">
        <v>698</v>
      </c>
    </row>
    <row r="319" spans="1:12" ht="20.25" customHeight="1" x14ac:dyDescent="0.3">
      <c r="A319" s="101" t="s">
        <v>627</v>
      </c>
      <c r="B319" s="93"/>
      <c r="C319" s="7" t="s">
        <v>626</v>
      </c>
      <c r="D319" s="94" t="s">
        <v>34</v>
      </c>
      <c r="E319" s="95" t="s">
        <v>114</v>
      </c>
      <c r="F319" s="70">
        <v>6</v>
      </c>
      <c r="G319" s="161">
        <v>9</v>
      </c>
      <c r="H319" s="70" t="s">
        <v>373</v>
      </c>
      <c r="I319" s="70">
        <v>5</v>
      </c>
      <c r="J319" s="70" t="s">
        <v>480</v>
      </c>
      <c r="K319" s="70" t="s">
        <v>18</v>
      </c>
      <c r="L319" s="70" t="s">
        <v>372</v>
      </c>
    </row>
    <row r="320" spans="1:12" ht="20.25" customHeight="1" x14ac:dyDescent="0.3">
      <c r="A320" s="101" t="s">
        <v>631</v>
      </c>
      <c r="B320" s="93"/>
      <c r="C320" s="7" t="s">
        <v>630</v>
      </c>
      <c r="D320" s="94" t="s">
        <v>34</v>
      </c>
      <c r="E320" s="95" t="s">
        <v>114</v>
      </c>
      <c r="F320" s="70">
        <v>6</v>
      </c>
      <c r="G320" s="161">
        <v>9</v>
      </c>
      <c r="H320" s="70" t="s">
        <v>373</v>
      </c>
      <c r="I320" s="70">
        <v>5</v>
      </c>
      <c r="J320" s="70" t="s">
        <v>480</v>
      </c>
      <c r="K320" s="70" t="s">
        <v>18</v>
      </c>
      <c r="L320" s="70" t="s">
        <v>395</v>
      </c>
    </row>
    <row r="321" spans="1:12" ht="20.25" customHeight="1" x14ac:dyDescent="0.3">
      <c r="A321" s="101" t="s">
        <v>534</v>
      </c>
      <c r="B321" s="93"/>
      <c r="C321" s="7" t="s">
        <v>533</v>
      </c>
      <c r="D321" s="94" t="s">
        <v>31</v>
      </c>
      <c r="E321" s="95" t="s">
        <v>114</v>
      </c>
      <c r="F321" s="70">
        <v>6</v>
      </c>
      <c r="G321" s="161">
        <v>9</v>
      </c>
      <c r="H321" s="70" t="s">
        <v>399</v>
      </c>
      <c r="I321" s="70">
        <v>5</v>
      </c>
      <c r="J321" s="70" t="s">
        <v>410</v>
      </c>
      <c r="K321" s="70" t="s">
        <v>18</v>
      </c>
      <c r="L321" s="70" t="s">
        <v>396</v>
      </c>
    </row>
    <row r="322" spans="1:12" ht="20.25" customHeight="1" x14ac:dyDescent="0.3">
      <c r="A322" s="101" t="s">
        <v>470</v>
      </c>
      <c r="B322" s="93"/>
      <c r="C322" s="7" t="s">
        <v>469</v>
      </c>
      <c r="D322" s="94" t="s">
        <v>194</v>
      </c>
      <c r="E322" s="95" t="s">
        <v>114</v>
      </c>
      <c r="F322" s="70">
        <v>6</v>
      </c>
      <c r="G322" s="161">
        <v>9</v>
      </c>
      <c r="H322" s="70" t="s">
        <v>577</v>
      </c>
      <c r="I322" s="70">
        <v>5</v>
      </c>
      <c r="J322" s="70" t="s">
        <v>577</v>
      </c>
      <c r="K322" s="70" t="s">
        <v>18</v>
      </c>
      <c r="L322" s="70" t="s">
        <v>928</v>
      </c>
    </row>
    <row r="323" spans="1:12" ht="20.25" customHeight="1" x14ac:dyDescent="0.3">
      <c r="A323" s="101" t="s">
        <v>728</v>
      </c>
      <c r="B323" s="93"/>
      <c r="C323" s="7" t="s">
        <v>727</v>
      </c>
      <c r="D323" s="94" t="s">
        <v>67</v>
      </c>
      <c r="E323" s="95" t="s">
        <v>114</v>
      </c>
      <c r="F323" s="70">
        <v>6</v>
      </c>
      <c r="G323" s="161">
        <v>9</v>
      </c>
      <c r="H323" s="70" t="s">
        <v>380</v>
      </c>
      <c r="I323" s="70">
        <v>5</v>
      </c>
      <c r="J323" s="70" t="s">
        <v>380</v>
      </c>
      <c r="K323" s="70" t="s">
        <v>18</v>
      </c>
      <c r="L323" s="70" t="s">
        <v>886</v>
      </c>
    </row>
    <row r="324" spans="1:12" ht="20.25" customHeight="1" x14ac:dyDescent="0.3">
      <c r="A324" s="101" t="s">
        <v>730</v>
      </c>
      <c r="B324" s="93"/>
      <c r="C324" s="7" t="s">
        <v>729</v>
      </c>
      <c r="D324" s="94" t="s">
        <v>67</v>
      </c>
      <c r="E324" s="95" t="s">
        <v>114</v>
      </c>
      <c r="F324" s="70">
        <v>6</v>
      </c>
      <c r="G324" s="161">
        <v>9</v>
      </c>
      <c r="H324" s="70" t="s">
        <v>380</v>
      </c>
      <c r="I324" s="70">
        <v>5</v>
      </c>
      <c r="J324" s="70" t="s">
        <v>565</v>
      </c>
      <c r="K324" s="70" t="s">
        <v>18</v>
      </c>
      <c r="L324" s="70" t="s">
        <v>716</v>
      </c>
    </row>
    <row r="325" spans="1:12" ht="20.25" customHeight="1" x14ac:dyDescent="0.3">
      <c r="A325" s="101" t="s">
        <v>575</v>
      </c>
      <c r="B325" s="93"/>
      <c r="C325" s="7" t="s">
        <v>574</v>
      </c>
      <c r="D325" s="94" t="s">
        <v>31</v>
      </c>
      <c r="E325" s="95" t="s">
        <v>110</v>
      </c>
      <c r="F325" s="70">
        <v>6</v>
      </c>
      <c r="G325" s="161">
        <v>9</v>
      </c>
      <c r="H325" s="70" t="s">
        <v>367</v>
      </c>
      <c r="I325" s="70">
        <v>5</v>
      </c>
      <c r="J325" s="70" t="s">
        <v>366</v>
      </c>
      <c r="K325" s="70" t="s">
        <v>18</v>
      </c>
      <c r="L325" s="70">
        <v>2014</v>
      </c>
    </row>
    <row r="326" spans="1:12" ht="20.25" customHeight="1" x14ac:dyDescent="0.3">
      <c r="A326" s="101" t="s">
        <v>736</v>
      </c>
      <c r="B326" s="93"/>
      <c r="C326" s="7" t="s">
        <v>735</v>
      </c>
      <c r="D326" s="94" t="s">
        <v>108</v>
      </c>
      <c r="E326" s="95" t="s">
        <v>114</v>
      </c>
      <c r="F326" s="70">
        <v>6</v>
      </c>
      <c r="G326" s="161">
        <v>9</v>
      </c>
      <c r="H326" s="70" t="s">
        <v>367</v>
      </c>
      <c r="I326" s="70">
        <v>5</v>
      </c>
      <c r="J326" s="70" t="s">
        <v>367</v>
      </c>
      <c r="K326" s="70" t="s">
        <v>18</v>
      </c>
      <c r="L326" s="70">
        <v>2014</v>
      </c>
    </row>
    <row r="327" spans="1:12" ht="20.25" customHeight="1" x14ac:dyDescent="0.3">
      <c r="A327" s="101" t="s">
        <v>740</v>
      </c>
      <c r="B327" s="93"/>
      <c r="C327" s="7" t="s">
        <v>739</v>
      </c>
      <c r="D327" s="94" t="s">
        <v>104</v>
      </c>
      <c r="E327" s="95" t="s">
        <v>114</v>
      </c>
      <c r="F327" s="70">
        <v>12</v>
      </c>
      <c r="G327" s="161">
        <v>9</v>
      </c>
      <c r="H327" s="70" t="s">
        <v>564</v>
      </c>
      <c r="I327" s="70">
        <v>5</v>
      </c>
      <c r="J327" s="70" t="s">
        <v>741</v>
      </c>
      <c r="K327" s="70" t="s">
        <v>18</v>
      </c>
      <c r="L327" s="70" t="s">
        <v>886</v>
      </c>
    </row>
    <row r="328" spans="1:12" ht="20.25" customHeight="1" x14ac:dyDescent="0.3">
      <c r="A328" s="101" t="s">
        <v>472</v>
      </c>
      <c r="B328" s="93"/>
      <c r="C328" s="7" t="s">
        <v>471</v>
      </c>
      <c r="D328" s="94" t="s">
        <v>194</v>
      </c>
      <c r="E328" s="95" t="s">
        <v>114</v>
      </c>
      <c r="F328" s="70">
        <v>6</v>
      </c>
      <c r="G328" s="161">
        <v>9</v>
      </c>
      <c r="H328" s="70" t="s">
        <v>906</v>
      </c>
      <c r="I328" s="70">
        <v>5</v>
      </c>
      <c r="J328" s="70" t="s">
        <v>921</v>
      </c>
      <c r="K328" s="70" t="s">
        <v>18</v>
      </c>
      <c r="L328" s="70" t="s">
        <v>396</v>
      </c>
    </row>
    <row r="329" spans="1:12" ht="20.25" customHeight="1" x14ac:dyDescent="0.3">
      <c r="A329" s="101" t="s">
        <v>761</v>
      </c>
      <c r="B329" s="93"/>
      <c r="C329" s="7" t="s">
        <v>760</v>
      </c>
      <c r="D329" s="94" t="s">
        <v>194</v>
      </c>
      <c r="E329" s="95" t="s">
        <v>114</v>
      </c>
      <c r="F329" s="70">
        <v>6</v>
      </c>
      <c r="G329" s="161">
        <v>9</v>
      </c>
      <c r="H329" s="70" t="s">
        <v>568</v>
      </c>
      <c r="I329" s="70">
        <v>5</v>
      </c>
      <c r="J329" s="70" t="s">
        <v>567</v>
      </c>
      <c r="K329" s="70" t="s">
        <v>18</v>
      </c>
      <c r="L329" s="70" t="s">
        <v>381</v>
      </c>
    </row>
    <row r="330" spans="1:12" ht="20.25" customHeight="1" x14ac:dyDescent="0.3">
      <c r="A330" s="101" t="s">
        <v>798</v>
      </c>
      <c r="B330" s="93"/>
      <c r="C330" s="7" t="s">
        <v>797</v>
      </c>
      <c r="D330" s="94" t="s">
        <v>107</v>
      </c>
      <c r="E330" s="95" t="s">
        <v>114</v>
      </c>
      <c r="F330" s="70">
        <v>12</v>
      </c>
      <c r="G330" s="161">
        <v>9</v>
      </c>
      <c r="H330" s="70" t="s">
        <v>374</v>
      </c>
      <c r="I330" s="70">
        <v>5</v>
      </c>
      <c r="J330" s="70" t="s">
        <v>483</v>
      </c>
      <c r="K330" s="70" t="s">
        <v>18</v>
      </c>
      <c r="L330" s="70" t="s">
        <v>395</v>
      </c>
    </row>
    <row r="331" spans="1:12" ht="20.25" customHeight="1" x14ac:dyDescent="0.3">
      <c r="A331" s="101" t="s">
        <v>559</v>
      </c>
      <c r="B331" s="93"/>
      <c r="C331" s="7" t="s">
        <v>558</v>
      </c>
      <c r="D331" s="94" t="s">
        <v>694</v>
      </c>
      <c r="E331" s="95" t="s">
        <v>114</v>
      </c>
      <c r="F331" s="70">
        <v>6</v>
      </c>
      <c r="G331" s="161">
        <v>9</v>
      </c>
      <c r="H331" s="70" t="s">
        <v>688</v>
      </c>
      <c r="I331" s="70">
        <v>5</v>
      </c>
      <c r="J331" s="70" t="s">
        <v>689</v>
      </c>
      <c r="K331" s="70" t="s">
        <v>18</v>
      </c>
      <c r="L331" s="70" t="s">
        <v>698</v>
      </c>
    </row>
    <row r="332" spans="1:12" ht="20.25" customHeight="1" x14ac:dyDescent="0.3">
      <c r="A332" s="101" t="s">
        <v>548</v>
      </c>
      <c r="B332" s="93"/>
      <c r="C332" s="7" t="s">
        <v>547</v>
      </c>
      <c r="D332" s="94" t="s">
        <v>694</v>
      </c>
      <c r="E332" s="95" t="s">
        <v>114</v>
      </c>
      <c r="F332" s="70">
        <v>6</v>
      </c>
      <c r="G332" s="161">
        <v>9</v>
      </c>
      <c r="H332" s="70" t="s">
        <v>388</v>
      </c>
      <c r="I332" s="70">
        <v>5</v>
      </c>
      <c r="J332" s="70" t="s">
        <v>387</v>
      </c>
      <c r="K332" s="70" t="s">
        <v>18</v>
      </c>
      <c r="L332" s="70" t="s">
        <v>699</v>
      </c>
    </row>
    <row r="333" spans="1:12" ht="20.25" customHeight="1" x14ac:dyDescent="0.3">
      <c r="A333" s="101" t="s">
        <v>837</v>
      </c>
      <c r="B333" s="93"/>
      <c r="C333" s="7" t="s">
        <v>836</v>
      </c>
      <c r="D333" s="94" t="s">
        <v>194</v>
      </c>
      <c r="E333" s="95" t="s">
        <v>114</v>
      </c>
      <c r="F333" s="70">
        <v>6</v>
      </c>
      <c r="G333" s="161">
        <v>9</v>
      </c>
      <c r="H333" s="70">
        <v>2</v>
      </c>
      <c r="I333" s="70">
        <v>5</v>
      </c>
      <c r="J333" s="70">
        <v>4</v>
      </c>
      <c r="K333" s="70" t="s">
        <v>18</v>
      </c>
      <c r="L333" s="70">
        <v>2009</v>
      </c>
    </row>
    <row r="334" spans="1:12" ht="20.25" customHeight="1" x14ac:dyDescent="0.3">
      <c r="A334" s="101" t="s">
        <v>594</v>
      </c>
      <c r="B334" s="93"/>
      <c r="C334" s="7" t="s">
        <v>593</v>
      </c>
      <c r="D334" s="94" t="s">
        <v>31</v>
      </c>
      <c r="E334" s="95" t="s">
        <v>114</v>
      </c>
      <c r="F334" s="70">
        <v>6</v>
      </c>
      <c r="G334" s="161">
        <v>9</v>
      </c>
      <c r="H334" s="70" t="s">
        <v>366</v>
      </c>
      <c r="I334" s="70">
        <v>5</v>
      </c>
      <c r="J334" s="70" t="s">
        <v>214</v>
      </c>
      <c r="K334" s="70" t="s">
        <v>18</v>
      </c>
      <c r="L334" s="70">
        <v>2014</v>
      </c>
    </row>
    <row r="335" spans="1:12" ht="20.25" customHeight="1" x14ac:dyDescent="0.3">
      <c r="A335" s="101" t="s">
        <v>867</v>
      </c>
      <c r="B335" s="93"/>
      <c r="C335" s="7" t="s">
        <v>866</v>
      </c>
      <c r="D335" s="94" t="s">
        <v>194</v>
      </c>
      <c r="E335" s="95" t="s">
        <v>114</v>
      </c>
      <c r="F335" s="70">
        <v>6</v>
      </c>
      <c r="G335" s="161">
        <v>9</v>
      </c>
      <c r="H335" s="70" t="s">
        <v>478</v>
      </c>
      <c r="I335" s="70">
        <v>5</v>
      </c>
      <c r="J335" s="70" t="s">
        <v>877</v>
      </c>
      <c r="K335" s="70" t="s">
        <v>18</v>
      </c>
      <c r="L335" s="70" t="s">
        <v>372</v>
      </c>
    </row>
    <row r="336" spans="1:12" ht="20.25" customHeight="1" x14ac:dyDescent="0.3">
      <c r="A336" s="101" t="s">
        <v>753</v>
      </c>
      <c r="B336" s="93"/>
      <c r="C336" s="7" t="s">
        <v>752</v>
      </c>
      <c r="D336" s="94" t="s">
        <v>105</v>
      </c>
      <c r="E336" s="95" t="s">
        <v>114</v>
      </c>
      <c r="F336" s="70">
        <v>6</v>
      </c>
      <c r="G336" s="161">
        <v>9</v>
      </c>
      <c r="H336" s="70" t="s">
        <v>379</v>
      </c>
      <c r="I336" s="70">
        <v>5</v>
      </c>
      <c r="J336" s="70" t="s">
        <v>565</v>
      </c>
      <c r="K336" s="70" t="s">
        <v>18</v>
      </c>
      <c r="L336" s="70" t="s">
        <v>894</v>
      </c>
    </row>
    <row r="337" spans="1:12" ht="20.25" customHeight="1" x14ac:dyDescent="0.3">
      <c r="A337" s="101" t="s">
        <v>751</v>
      </c>
      <c r="B337" s="93"/>
      <c r="C337" s="7" t="s">
        <v>750</v>
      </c>
      <c r="D337" s="94" t="s">
        <v>105</v>
      </c>
      <c r="E337" s="95" t="s">
        <v>114</v>
      </c>
      <c r="F337" s="70">
        <v>12</v>
      </c>
      <c r="G337" s="161">
        <v>9</v>
      </c>
      <c r="H337" s="70" t="s">
        <v>564</v>
      </c>
      <c r="I337" s="70">
        <v>5</v>
      </c>
      <c r="J337" s="70" t="s">
        <v>759</v>
      </c>
      <c r="K337" s="70" t="s">
        <v>18</v>
      </c>
      <c r="L337" s="70" t="s">
        <v>716</v>
      </c>
    </row>
    <row r="338" spans="1:12" ht="20.25" customHeight="1" x14ac:dyDescent="0.3">
      <c r="A338" s="101" t="s">
        <v>827</v>
      </c>
      <c r="B338" s="93"/>
      <c r="C338" s="7" t="s">
        <v>826</v>
      </c>
      <c r="D338" s="94" t="s">
        <v>194</v>
      </c>
      <c r="E338" s="95" t="s">
        <v>114</v>
      </c>
      <c r="F338" s="70">
        <v>6</v>
      </c>
      <c r="G338" s="161">
        <v>9</v>
      </c>
      <c r="H338" s="70">
        <v>2</v>
      </c>
      <c r="I338" s="70">
        <v>5</v>
      </c>
      <c r="J338" s="70">
        <v>1</v>
      </c>
      <c r="K338" s="70" t="s">
        <v>18</v>
      </c>
      <c r="L338" s="70">
        <v>2009</v>
      </c>
    </row>
    <row r="339" spans="1:12" ht="20.25" customHeight="1" x14ac:dyDescent="0.3">
      <c r="A339" s="101" t="s">
        <v>743</v>
      </c>
      <c r="B339" s="93"/>
      <c r="C339" s="7" t="s">
        <v>742</v>
      </c>
      <c r="D339" s="94" t="s">
        <v>194</v>
      </c>
      <c r="E339" s="95" t="s">
        <v>114</v>
      </c>
      <c r="F339" s="70">
        <v>6</v>
      </c>
      <c r="G339" s="161">
        <v>9</v>
      </c>
      <c r="H339" s="70">
        <v>2</v>
      </c>
      <c r="I339" s="70">
        <v>5</v>
      </c>
      <c r="J339" s="70">
        <v>2</v>
      </c>
      <c r="K339" s="70" t="s">
        <v>18</v>
      </c>
      <c r="L339" s="70">
        <v>2011</v>
      </c>
    </row>
    <row r="340" spans="1:12" ht="20.25" customHeight="1" x14ac:dyDescent="0.3">
      <c r="A340" s="101" t="s">
        <v>769</v>
      </c>
      <c r="B340" s="93"/>
      <c r="C340" s="7" t="s">
        <v>768</v>
      </c>
      <c r="D340" s="94" t="s">
        <v>29</v>
      </c>
      <c r="E340" s="95" t="s">
        <v>114</v>
      </c>
      <c r="F340" s="70">
        <v>12</v>
      </c>
      <c r="G340" s="161">
        <v>9</v>
      </c>
      <c r="H340" s="70" t="s">
        <v>564</v>
      </c>
      <c r="I340" s="70">
        <v>5</v>
      </c>
      <c r="J340" s="70" t="s">
        <v>775</v>
      </c>
      <c r="K340" s="70" t="s">
        <v>18</v>
      </c>
      <c r="L340" s="70" t="s">
        <v>716</v>
      </c>
    </row>
    <row r="341" spans="1:12" ht="20.25" customHeight="1" x14ac:dyDescent="0.3">
      <c r="A341" s="101" t="s">
        <v>769</v>
      </c>
      <c r="B341" s="93"/>
      <c r="C341" s="7" t="s">
        <v>819</v>
      </c>
      <c r="D341" s="94" t="s">
        <v>194</v>
      </c>
      <c r="E341" s="95" t="s">
        <v>114</v>
      </c>
      <c r="F341" s="70">
        <v>12</v>
      </c>
      <c r="G341" s="161">
        <v>9</v>
      </c>
      <c r="H341" s="70" t="s">
        <v>889</v>
      </c>
      <c r="I341" s="70">
        <v>5</v>
      </c>
      <c r="J341" s="70" t="s">
        <v>891</v>
      </c>
      <c r="K341" s="70" t="s">
        <v>18</v>
      </c>
      <c r="L341" s="70" t="s">
        <v>560</v>
      </c>
    </row>
    <row r="342" spans="1:12" ht="20.25" customHeight="1" x14ac:dyDescent="0.3">
      <c r="A342" s="101" t="s">
        <v>771</v>
      </c>
      <c r="B342" s="93"/>
      <c r="C342" s="7" t="s">
        <v>770</v>
      </c>
      <c r="D342" s="94" t="s">
        <v>29</v>
      </c>
      <c r="E342" s="95" t="s">
        <v>114</v>
      </c>
      <c r="F342" s="70">
        <v>6</v>
      </c>
      <c r="G342" s="161">
        <v>9</v>
      </c>
      <c r="H342" s="70" t="s">
        <v>380</v>
      </c>
      <c r="I342" s="70">
        <v>5</v>
      </c>
      <c r="J342" s="70" t="s">
        <v>565</v>
      </c>
      <c r="K342" s="70" t="s">
        <v>18</v>
      </c>
      <c r="L342" s="70" t="s">
        <v>886</v>
      </c>
    </row>
    <row r="343" spans="1:12" ht="20.25" customHeight="1" x14ac:dyDescent="0.3">
      <c r="A343" s="101" t="s">
        <v>600</v>
      </c>
      <c r="B343" s="93"/>
      <c r="C343" s="7" t="s">
        <v>599</v>
      </c>
      <c r="D343" s="94" t="s">
        <v>31</v>
      </c>
      <c r="E343" s="95" t="s">
        <v>114</v>
      </c>
      <c r="F343" s="70">
        <v>6</v>
      </c>
      <c r="G343" s="161">
        <v>9</v>
      </c>
      <c r="H343" s="70" t="s">
        <v>367</v>
      </c>
      <c r="I343" s="70">
        <v>5</v>
      </c>
      <c r="J343" s="70" t="s">
        <v>367</v>
      </c>
      <c r="K343" s="70" t="s">
        <v>18</v>
      </c>
      <c r="L343" s="70">
        <v>2014</v>
      </c>
    </row>
    <row r="344" spans="1:12" ht="20.25" customHeight="1" x14ac:dyDescent="0.3">
      <c r="A344" s="101" t="s">
        <v>598</v>
      </c>
      <c r="B344" s="93"/>
      <c r="C344" s="7" t="s">
        <v>597</v>
      </c>
      <c r="D344" s="94" t="s">
        <v>31</v>
      </c>
      <c r="E344" s="95" t="s">
        <v>114</v>
      </c>
      <c r="F344" s="70">
        <v>6</v>
      </c>
      <c r="G344" s="161">
        <v>9</v>
      </c>
      <c r="H344" s="70" t="s">
        <v>366</v>
      </c>
      <c r="I344" s="70">
        <v>5</v>
      </c>
      <c r="J344" s="70" t="s">
        <v>214</v>
      </c>
      <c r="K344" s="70" t="s">
        <v>18</v>
      </c>
      <c r="L344" s="70">
        <v>2014</v>
      </c>
    </row>
    <row r="345" spans="1:12" ht="20.25" customHeight="1" x14ac:dyDescent="0.3">
      <c r="A345" s="101" t="s">
        <v>50</v>
      </c>
      <c r="B345" s="93"/>
      <c r="C345" s="7" t="s">
        <v>258</v>
      </c>
      <c r="D345" s="94" t="s">
        <v>31</v>
      </c>
      <c r="E345" s="95" t="s">
        <v>109</v>
      </c>
      <c r="F345" s="70">
        <v>6</v>
      </c>
      <c r="G345" s="161">
        <v>9</v>
      </c>
      <c r="H345" s="70" t="s">
        <v>367</v>
      </c>
      <c r="I345" s="70">
        <v>5</v>
      </c>
      <c r="J345" s="70" t="s">
        <v>242</v>
      </c>
      <c r="K345" s="70" t="s">
        <v>18</v>
      </c>
      <c r="L345" s="70">
        <v>2011</v>
      </c>
    </row>
    <row r="346" spans="1:12" ht="20.25" customHeight="1" x14ac:dyDescent="0.3">
      <c r="A346" s="101" t="s">
        <v>551</v>
      </c>
      <c r="B346" s="93"/>
      <c r="C346" s="7" t="s">
        <v>550</v>
      </c>
      <c r="D346" s="94" t="s">
        <v>694</v>
      </c>
      <c r="E346" s="95" t="s">
        <v>114</v>
      </c>
      <c r="F346" s="70">
        <v>6</v>
      </c>
      <c r="G346" s="161">
        <v>9</v>
      </c>
      <c r="H346" s="70" t="s">
        <v>303</v>
      </c>
      <c r="I346" s="70">
        <v>5</v>
      </c>
      <c r="J346" s="70" t="s">
        <v>378</v>
      </c>
      <c r="K346" s="70" t="s">
        <v>18</v>
      </c>
      <c r="L346" s="70" t="s">
        <v>700</v>
      </c>
    </row>
    <row r="347" spans="1:12" ht="20.25" customHeight="1" x14ac:dyDescent="0.3">
      <c r="A347" s="101" t="s">
        <v>809</v>
      </c>
      <c r="B347" s="93"/>
      <c r="C347" s="7" t="s">
        <v>808</v>
      </c>
      <c r="D347" s="94" t="s">
        <v>194</v>
      </c>
      <c r="E347" s="95" t="s">
        <v>114</v>
      </c>
      <c r="F347" s="70">
        <v>6</v>
      </c>
      <c r="G347" s="161">
        <v>9</v>
      </c>
      <c r="H347" s="70" t="s">
        <v>568</v>
      </c>
      <c r="I347" s="70">
        <v>5</v>
      </c>
      <c r="J347" s="70" t="s">
        <v>905</v>
      </c>
      <c r="K347" s="70" t="s">
        <v>18</v>
      </c>
      <c r="L347" s="70" t="s">
        <v>904</v>
      </c>
    </row>
    <row r="348" spans="1:12" ht="20.25" customHeight="1" x14ac:dyDescent="0.3">
      <c r="A348" s="101" t="s">
        <v>474</v>
      </c>
      <c r="B348" s="93"/>
      <c r="C348" s="7" t="s">
        <v>473</v>
      </c>
      <c r="D348" s="94" t="s">
        <v>194</v>
      </c>
      <c r="E348" s="95" t="s">
        <v>114</v>
      </c>
      <c r="F348" s="70">
        <v>6</v>
      </c>
      <c r="G348" s="161">
        <v>9</v>
      </c>
      <c r="H348" s="70" t="s">
        <v>567</v>
      </c>
      <c r="I348" s="70">
        <v>5</v>
      </c>
      <c r="J348" s="70" t="s">
        <v>901</v>
      </c>
      <c r="K348" s="70" t="s">
        <v>18</v>
      </c>
      <c r="L348" s="70" t="s">
        <v>403</v>
      </c>
    </row>
    <row r="349" spans="1:12" ht="20.25" customHeight="1" x14ac:dyDescent="0.3">
      <c r="A349" s="101" t="s">
        <v>871</v>
      </c>
      <c r="B349" s="93"/>
      <c r="C349" s="7" t="s">
        <v>870</v>
      </c>
      <c r="D349" s="94" t="s">
        <v>194</v>
      </c>
      <c r="E349" s="95" t="s">
        <v>114</v>
      </c>
      <c r="F349" s="70">
        <v>6</v>
      </c>
      <c r="G349" s="161">
        <v>9</v>
      </c>
      <c r="H349" s="70" t="s">
        <v>911</v>
      </c>
      <c r="I349" s="70">
        <v>5</v>
      </c>
      <c r="J349" s="70" t="s">
        <v>922</v>
      </c>
      <c r="K349" s="70" t="s">
        <v>18</v>
      </c>
      <c r="L349" s="70" t="s">
        <v>396</v>
      </c>
    </row>
    <row r="350" spans="1:12" ht="20.25" customHeight="1" x14ac:dyDescent="0.3">
      <c r="A350" s="101" t="s">
        <v>829</v>
      </c>
      <c r="B350" s="93"/>
      <c r="C350" s="7" t="s">
        <v>828</v>
      </c>
      <c r="D350" s="94" t="s">
        <v>194</v>
      </c>
      <c r="E350" s="95" t="s">
        <v>114</v>
      </c>
      <c r="F350" s="70">
        <v>6</v>
      </c>
      <c r="G350" s="161">
        <v>9</v>
      </c>
      <c r="H350" s="70" t="s">
        <v>477</v>
      </c>
      <c r="I350" s="70">
        <v>5</v>
      </c>
      <c r="J350" s="70" t="s">
        <v>879</v>
      </c>
      <c r="K350" s="70" t="s">
        <v>18</v>
      </c>
      <c r="L350" s="70" t="s">
        <v>372</v>
      </c>
    </row>
    <row r="351" spans="1:12" ht="20.25" customHeight="1" x14ac:dyDescent="0.3">
      <c r="A351" s="101" t="s">
        <v>726</v>
      </c>
      <c r="B351" s="93"/>
      <c r="C351" s="7" t="s">
        <v>725</v>
      </c>
      <c r="D351" s="94" t="s">
        <v>67</v>
      </c>
      <c r="E351" s="95" t="s">
        <v>114</v>
      </c>
      <c r="F351" s="70">
        <v>6</v>
      </c>
      <c r="G351" s="161">
        <v>9</v>
      </c>
      <c r="H351" s="70" t="s">
        <v>379</v>
      </c>
      <c r="I351" s="70">
        <v>5</v>
      </c>
      <c r="J351" s="70" t="s">
        <v>380</v>
      </c>
      <c r="K351" s="70" t="s">
        <v>18</v>
      </c>
      <c r="L351" s="70" t="s">
        <v>886</v>
      </c>
    </row>
    <row r="352" spans="1:12" ht="20.25" customHeight="1" x14ac:dyDescent="0.3">
      <c r="A352" s="101" t="s">
        <v>785</v>
      </c>
      <c r="B352" s="93"/>
      <c r="C352" s="7" t="s">
        <v>784</v>
      </c>
      <c r="D352" s="94" t="s">
        <v>106</v>
      </c>
      <c r="E352" s="95" t="s">
        <v>114</v>
      </c>
      <c r="F352" s="70">
        <v>12</v>
      </c>
      <c r="G352" s="161">
        <v>9</v>
      </c>
      <c r="H352" s="70" t="s">
        <v>374</v>
      </c>
      <c r="I352" s="70">
        <v>5</v>
      </c>
      <c r="J352" s="70" t="s">
        <v>483</v>
      </c>
      <c r="K352" s="70" t="s">
        <v>18</v>
      </c>
      <c r="L352" s="70" t="s">
        <v>395</v>
      </c>
    </row>
    <row r="353" spans="1:12" ht="20.25" customHeight="1" x14ac:dyDescent="0.3">
      <c r="A353" s="101" t="s">
        <v>788</v>
      </c>
      <c r="B353" s="93"/>
      <c r="C353" s="7" t="s">
        <v>787</v>
      </c>
      <c r="D353" s="94" t="s">
        <v>194</v>
      </c>
      <c r="E353" s="95" t="s">
        <v>114</v>
      </c>
      <c r="F353" s="70">
        <v>12</v>
      </c>
      <c r="G353" s="161">
        <v>9</v>
      </c>
      <c r="H353" s="70" t="s">
        <v>889</v>
      </c>
      <c r="I353" s="70">
        <v>5</v>
      </c>
      <c r="J353" s="70" t="s">
        <v>380</v>
      </c>
      <c r="K353" s="70" t="s">
        <v>18</v>
      </c>
      <c r="L353" s="70" t="s">
        <v>560</v>
      </c>
    </row>
    <row r="354" spans="1:12" ht="20.25" customHeight="1" x14ac:dyDescent="0.3">
      <c r="A354" s="101" t="s">
        <v>749</v>
      </c>
      <c r="B354" s="93"/>
      <c r="C354" s="7" t="s">
        <v>748</v>
      </c>
      <c r="D354" s="94" t="s">
        <v>105</v>
      </c>
      <c r="E354" s="95" t="s">
        <v>114</v>
      </c>
      <c r="F354" s="70">
        <v>12</v>
      </c>
      <c r="G354" s="161">
        <v>9</v>
      </c>
      <c r="H354" s="70" t="s">
        <v>564</v>
      </c>
      <c r="I354" s="70">
        <v>5</v>
      </c>
      <c r="J354" s="70" t="s">
        <v>758</v>
      </c>
      <c r="K354" s="70" t="s">
        <v>18</v>
      </c>
      <c r="L354" s="70" t="s">
        <v>894</v>
      </c>
    </row>
    <row r="355" spans="1:12" ht="20.25" customHeight="1" x14ac:dyDescent="0.3">
      <c r="A355" s="101" t="s">
        <v>532</v>
      </c>
      <c r="B355" s="93"/>
      <c r="C355" s="7" t="s">
        <v>531</v>
      </c>
      <c r="D355" s="94" t="s">
        <v>31</v>
      </c>
      <c r="E355" s="95" t="s">
        <v>114</v>
      </c>
      <c r="F355" s="70">
        <v>12</v>
      </c>
      <c r="G355" s="161">
        <v>9</v>
      </c>
      <c r="H355" s="70" t="s">
        <v>404</v>
      </c>
      <c r="I355" s="70">
        <v>5</v>
      </c>
      <c r="J355" s="70" t="s">
        <v>607</v>
      </c>
      <c r="K355" s="70" t="s">
        <v>18</v>
      </c>
      <c r="L355" s="70" t="s">
        <v>396</v>
      </c>
    </row>
    <row r="356" spans="1:12" ht="20.25" customHeight="1" x14ac:dyDescent="0.3">
      <c r="A356" s="101" t="s">
        <v>831</v>
      </c>
      <c r="B356" s="93"/>
      <c r="C356" s="7" t="s">
        <v>830</v>
      </c>
      <c r="D356" s="94" t="s">
        <v>194</v>
      </c>
      <c r="E356" s="95" t="s">
        <v>114</v>
      </c>
      <c r="F356" s="70">
        <v>6</v>
      </c>
      <c r="G356" s="161">
        <v>9</v>
      </c>
      <c r="H356" s="70" t="s">
        <v>909</v>
      </c>
      <c r="I356" s="70">
        <v>5</v>
      </c>
      <c r="J356" s="70" t="s">
        <v>910</v>
      </c>
      <c r="K356" s="70" t="s">
        <v>18</v>
      </c>
      <c r="L356" s="70" t="s">
        <v>908</v>
      </c>
    </row>
    <row r="357" spans="1:12" ht="20.25" customHeight="1" x14ac:dyDescent="0.3">
      <c r="A357" s="101" t="s">
        <v>745</v>
      </c>
      <c r="B357" s="93"/>
      <c r="C357" s="7" t="s">
        <v>744</v>
      </c>
      <c r="D357" s="94" t="s">
        <v>194</v>
      </c>
      <c r="E357" s="95" t="s">
        <v>114</v>
      </c>
      <c r="F357" s="70">
        <v>6</v>
      </c>
      <c r="G357" s="161">
        <v>9</v>
      </c>
      <c r="H357" s="70" t="s">
        <v>477</v>
      </c>
      <c r="I357" s="70">
        <v>5</v>
      </c>
      <c r="J357" s="70" t="s">
        <v>477</v>
      </c>
      <c r="K357" s="70" t="s">
        <v>18</v>
      </c>
      <c r="L357" s="70" t="s">
        <v>372</v>
      </c>
    </row>
    <row r="358" spans="1:12" ht="20.25" customHeight="1" x14ac:dyDescent="0.3">
      <c r="A358" s="101" t="s">
        <v>711</v>
      </c>
      <c r="B358" s="93"/>
      <c r="C358" s="7" t="s">
        <v>816</v>
      </c>
      <c r="D358" s="94" t="s">
        <v>194</v>
      </c>
      <c r="E358" s="95" t="s">
        <v>114</v>
      </c>
      <c r="F358" s="70">
        <v>6</v>
      </c>
      <c r="G358" s="161">
        <v>9</v>
      </c>
      <c r="H358" s="70" t="s">
        <v>478</v>
      </c>
      <c r="I358" s="70">
        <v>5</v>
      </c>
      <c r="J358" s="70" t="s">
        <v>477</v>
      </c>
      <c r="K358" s="70" t="s">
        <v>18</v>
      </c>
      <c r="L358" s="70" t="s">
        <v>372</v>
      </c>
    </row>
    <row r="359" spans="1:12" ht="20.25" customHeight="1" x14ac:dyDescent="0.3">
      <c r="A359" s="101" t="s">
        <v>711</v>
      </c>
      <c r="B359" s="93"/>
      <c r="C359" s="7" t="s">
        <v>710</v>
      </c>
      <c r="D359" s="94" t="s">
        <v>194</v>
      </c>
      <c r="E359" s="95" t="s">
        <v>114</v>
      </c>
      <c r="F359" s="70">
        <v>6</v>
      </c>
      <c r="G359" s="161">
        <v>9</v>
      </c>
      <c r="H359" s="70">
        <v>1</v>
      </c>
      <c r="I359" s="70">
        <v>5</v>
      </c>
      <c r="J359" s="70">
        <v>2</v>
      </c>
      <c r="K359" s="70" t="s">
        <v>18</v>
      </c>
      <c r="L359" s="70">
        <v>2011</v>
      </c>
    </row>
    <row r="360" spans="1:12" ht="20.25" customHeight="1" x14ac:dyDescent="0.3">
      <c r="A360" s="101" t="s">
        <v>703</v>
      </c>
      <c r="B360" s="93"/>
      <c r="C360" s="7" t="s">
        <v>702</v>
      </c>
      <c r="D360" s="94" t="s">
        <v>108</v>
      </c>
      <c r="E360" s="95" t="s">
        <v>114</v>
      </c>
      <c r="F360" s="70">
        <v>6</v>
      </c>
      <c r="G360" s="161">
        <v>9</v>
      </c>
      <c r="H360" s="70" t="s">
        <v>366</v>
      </c>
      <c r="I360" s="70">
        <v>5</v>
      </c>
      <c r="J360" s="70" t="s">
        <v>214</v>
      </c>
      <c r="K360" s="70" t="s">
        <v>18</v>
      </c>
      <c r="L360" s="70">
        <v>2014</v>
      </c>
    </row>
    <row r="361" spans="1:12" ht="20.25" customHeight="1" x14ac:dyDescent="0.3">
      <c r="A361" s="101" t="s">
        <v>596</v>
      </c>
      <c r="B361" s="93"/>
      <c r="C361" s="7" t="s">
        <v>595</v>
      </c>
      <c r="D361" s="94" t="s">
        <v>31</v>
      </c>
      <c r="E361" s="95" t="s">
        <v>114</v>
      </c>
      <c r="F361" s="70">
        <v>6</v>
      </c>
      <c r="G361" s="161">
        <v>9</v>
      </c>
      <c r="H361" s="70" t="s">
        <v>366</v>
      </c>
      <c r="I361" s="70">
        <v>5</v>
      </c>
      <c r="J361" s="70" t="s">
        <v>242</v>
      </c>
      <c r="K361" s="70" t="s">
        <v>18</v>
      </c>
      <c r="L361" s="70">
        <v>2014</v>
      </c>
    </row>
    <row r="362" spans="1:12" ht="20.25" customHeight="1" x14ac:dyDescent="0.3">
      <c r="A362" s="101" t="s">
        <v>602</v>
      </c>
      <c r="B362" s="93"/>
      <c r="C362" s="7" t="s">
        <v>601</v>
      </c>
      <c r="D362" s="94" t="s">
        <v>31</v>
      </c>
      <c r="E362" s="95" t="s">
        <v>114</v>
      </c>
      <c r="F362" s="70">
        <v>6</v>
      </c>
      <c r="G362" s="161">
        <v>9</v>
      </c>
      <c r="H362" s="70" t="s">
        <v>367</v>
      </c>
      <c r="I362" s="70">
        <v>5</v>
      </c>
      <c r="J362" s="70" t="s">
        <v>366</v>
      </c>
      <c r="K362" s="70" t="s">
        <v>18</v>
      </c>
      <c r="L362" s="70">
        <v>2014</v>
      </c>
    </row>
    <row r="363" spans="1:12" ht="20.25" customHeight="1" x14ac:dyDescent="0.3">
      <c r="A363" s="101" t="s">
        <v>869</v>
      </c>
      <c r="B363" s="93"/>
      <c r="C363" s="7" t="s">
        <v>868</v>
      </c>
      <c r="D363" s="94" t="s">
        <v>194</v>
      </c>
      <c r="E363" s="95" t="s">
        <v>114</v>
      </c>
      <c r="F363" s="70">
        <v>12</v>
      </c>
      <c r="G363" s="161">
        <v>9</v>
      </c>
      <c r="H363" s="70" t="s">
        <v>914</v>
      </c>
      <c r="I363" s="70">
        <v>5</v>
      </c>
      <c r="J363" s="70" t="s">
        <v>402</v>
      </c>
      <c r="K363" s="70" t="s">
        <v>18</v>
      </c>
      <c r="L363" s="70" t="s">
        <v>396</v>
      </c>
    </row>
    <row r="364" spans="1:12" ht="20.25" customHeight="1" x14ac:dyDescent="0.3">
      <c r="A364" s="101" t="s">
        <v>715</v>
      </c>
      <c r="B364" s="93"/>
      <c r="C364" s="7" t="s">
        <v>714</v>
      </c>
      <c r="D364" s="94" t="s">
        <v>103</v>
      </c>
      <c r="E364" s="95" t="s">
        <v>114</v>
      </c>
      <c r="F364" s="70">
        <v>6</v>
      </c>
      <c r="G364" s="161">
        <v>9</v>
      </c>
      <c r="H364" s="70" t="s">
        <v>366</v>
      </c>
      <c r="I364" s="70">
        <v>5</v>
      </c>
      <c r="J364" s="70" t="s">
        <v>242</v>
      </c>
      <c r="K364" s="70" t="s">
        <v>18</v>
      </c>
      <c r="L364" s="70">
        <v>2014</v>
      </c>
    </row>
    <row r="365" spans="1:12" ht="20.25" customHeight="1" x14ac:dyDescent="0.3">
      <c r="A365" s="101" t="s">
        <v>648</v>
      </c>
      <c r="B365" s="93"/>
      <c r="C365" s="7" t="s">
        <v>647</v>
      </c>
      <c r="D365" s="94" t="s">
        <v>34</v>
      </c>
      <c r="E365" s="95" t="s">
        <v>114</v>
      </c>
      <c r="F365" s="70">
        <v>6</v>
      </c>
      <c r="G365" s="161">
        <v>9</v>
      </c>
      <c r="H365" s="70" t="s">
        <v>388</v>
      </c>
      <c r="I365" s="70">
        <v>5</v>
      </c>
      <c r="J365" s="70" t="s">
        <v>685</v>
      </c>
      <c r="K365" s="70" t="s">
        <v>18</v>
      </c>
      <c r="L365" s="70" t="s">
        <v>401</v>
      </c>
    </row>
    <row r="366" spans="1:12" ht="20.25" customHeight="1" x14ac:dyDescent="0.3">
      <c r="A366" s="101" t="s">
        <v>643</v>
      </c>
      <c r="B366" s="93"/>
      <c r="C366" s="7" t="s">
        <v>642</v>
      </c>
      <c r="D366" s="94" t="s">
        <v>34</v>
      </c>
      <c r="E366" s="95" t="s">
        <v>114</v>
      </c>
      <c r="F366" s="70">
        <v>6</v>
      </c>
      <c r="G366" s="161">
        <v>9</v>
      </c>
      <c r="H366" s="70" t="s">
        <v>367</v>
      </c>
      <c r="I366" s="70">
        <v>5</v>
      </c>
      <c r="J366" s="70" t="s">
        <v>644</v>
      </c>
      <c r="K366" s="70" t="s">
        <v>18</v>
      </c>
      <c r="L366" s="70">
        <v>2009</v>
      </c>
    </row>
    <row r="367" spans="1:12" ht="20.25" customHeight="1" x14ac:dyDescent="0.3">
      <c r="A367" s="101" t="s">
        <v>290</v>
      </c>
      <c r="B367" s="93"/>
      <c r="C367" s="7" t="s">
        <v>289</v>
      </c>
      <c r="D367" s="94" t="s">
        <v>23</v>
      </c>
      <c r="E367" s="95" t="s">
        <v>114</v>
      </c>
      <c r="F367" s="70">
        <v>6</v>
      </c>
      <c r="G367" s="161">
        <v>9</v>
      </c>
      <c r="H367" s="70" t="s">
        <v>366</v>
      </c>
      <c r="I367" s="70">
        <v>5</v>
      </c>
      <c r="J367" s="70" t="s">
        <v>214</v>
      </c>
      <c r="K367" s="70" t="s">
        <v>18</v>
      </c>
      <c r="L367" s="70">
        <v>2014</v>
      </c>
    </row>
    <row r="368" spans="1:12" ht="20.25" customHeight="1" x14ac:dyDescent="0.3">
      <c r="A368" s="101" t="s">
        <v>241</v>
      </c>
      <c r="B368" s="93"/>
      <c r="C368" s="7" t="s">
        <v>240</v>
      </c>
      <c r="D368" s="94" t="s">
        <v>23</v>
      </c>
      <c r="E368" s="95" t="s">
        <v>114</v>
      </c>
      <c r="F368" s="70">
        <v>6</v>
      </c>
      <c r="G368" s="161">
        <v>9</v>
      </c>
      <c r="H368" s="70" t="s">
        <v>399</v>
      </c>
      <c r="I368" s="70">
        <v>5</v>
      </c>
      <c r="J368" s="70" t="s">
        <v>400</v>
      </c>
      <c r="K368" s="70" t="s">
        <v>18</v>
      </c>
      <c r="L368" s="70" t="s">
        <v>396</v>
      </c>
    </row>
    <row r="369" spans="1:12" ht="20.25" customHeight="1" x14ac:dyDescent="0.3">
      <c r="A369" s="101"/>
      <c r="B369" s="93"/>
      <c r="C369" s="7"/>
      <c r="D369" s="94"/>
      <c r="E369" s="95"/>
      <c r="F369" s="70"/>
      <c r="G369" s="161"/>
      <c r="H369" s="70"/>
      <c r="I369" s="70"/>
      <c r="J369" s="70"/>
      <c r="K369" s="70"/>
      <c r="L369" s="70"/>
    </row>
    <row r="370" spans="1:12" ht="20.25" customHeight="1" x14ac:dyDescent="0.3">
      <c r="A370" s="101"/>
      <c r="B370" s="93"/>
      <c r="C370" s="7"/>
      <c r="D370" s="94"/>
      <c r="E370" s="95"/>
      <c r="F370" s="70"/>
      <c r="G370" s="161"/>
      <c r="H370" s="70"/>
      <c r="I370" s="70"/>
      <c r="J370" s="70"/>
      <c r="K370" s="70"/>
      <c r="L370" s="70"/>
    </row>
    <row r="371" spans="1:12" ht="21" customHeight="1" x14ac:dyDescent="0.3">
      <c r="A371" s="101"/>
      <c r="B371" s="93"/>
      <c r="C371" s="7"/>
      <c r="D371" s="94"/>
      <c r="E371" s="95"/>
      <c r="F371" s="70"/>
      <c r="G371" s="145"/>
      <c r="H371" s="70"/>
      <c r="I371" s="70"/>
      <c r="J371" s="70"/>
      <c r="K371" s="70"/>
      <c r="L371" s="70"/>
    </row>
    <row r="372" spans="1:12" ht="21" customHeight="1" x14ac:dyDescent="0.3">
      <c r="A372" s="101"/>
      <c r="B372" s="93"/>
      <c r="C372" s="7"/>
      <c r="D372" s="94"/>
      <c r="E372" s="95"/>
      <c r="F372" s="70"/>
      <c r="G372" s="145"/>
      <c r="H372" s="70"/>
      <c r="I372" s="70"/>
      <c r="J372" s="70"/>
      <c r="K372" s="70"/>
      <c r="L372" s="70"/>
    </row>
    <row r="373" spans="1:12" ht="20.25" customHeight="1" x14ac:dyDescent="0.3">
      <c r="A373" s="101"/>
      <c r="B373" s="93"/>
      <c r="C373" s="7"/>
      <c r="D373" s="94"/>
      <c r="E373" s="95"/>
      <c r="F373" s="70"/>
      <c r="G373" s="145"/>
      <c r="H373" s="70"/>
      <c r="I373" s="70"/>
      <c r="J373" s="70"/>
      <c r="K373" s="70"/>
      <c r="L373" s="70"/>
    </row>
    <row r="374" spans="1:12" ht="20.25" customHeight="1" x14ac:dyDescent="0.3">
      <c r="A374" s="101"/>
      <c r="B374" s="93"/>
      <c r="C374" s="7"/>
      <c r="D374" s="94"/>
      <c r="E374" s="95"/>
      <c r="F374" s="70"/>
      <c r="G374" s="144"/>
      <c r="H374" s="70"/>
      <c r="I374" s="70"/>
      <c r="J374" s="70"/>
      <c r="K374" s="70"/>
      <c r="L374" s="70"/>
    </row>
    <row r="375" spans="1:12" ht="20.25" customHeight="1" x14ac:dyDescent="0.3">
      <c r="A375" s="101"/>
      <c r="B375" s="93"/>
      <c r="C375" s="7"/>
      <c r="D375" s="94"/>
      <c r="E375" s="95"/>
      <c r="F375" s="70"/>
      <c r="G375" s="144"/>
      <c r="H375" s="70"/>
      <c r="I375" s="70"/>
      <c r="J375" s="70"/>
      <c r="K375" s="70"/>
      <c r="L375" s="70"/>
    </row>
    <row r="376" spans="1:12" ht="20.25" customHeight="1" x14ac:dyDescent="0.3">
      <c r="A376" s="101"/>
      <c r="B376" s="93"/>
      <c r="C376" s="7"/>
      <c r="D376" s="94"/>
      <c r="E376" s="95"/>
      <c r="F376" s="70"/>
      <c r="G376" s="144"/>
      <c r="H376" s="70"/>
      <c r="I376" s="70"/>
      <c r="J376" s="70"/>
      <c r="K376" s="70"/>
      <c r="L376" s="70"/>
    </row>
    <row r="377" spans="1:12" ht="20.25" customHeight="1" x14ac:dyDescent="0.3"/>
    <row r="378" spans="1:12" ht="20.25" customHeight="1" x14ac:dyDescent="0.3">
      <c r="A378" s="101"/>
      <c r="B378" s="93"/>
      <c r="C378" s="7"/>
      <c r="D378" s="94"/>
      <c r="E378" s="95"/>
      <c r="F378" s="70"/>
      <c r="G378" s="144"/>
      <c r="H378" s="70"/>
      <c r="I378" s="70"/>
      <c r="J378" s="70"/>
      <c r="K378" s="70"/>
      <c r="L378" s="70"/>
    </row>
    <row r="379" spans="1:12" ht="20.25" customHeight="1" x14ac:dyDescent="0.3">
      <c r="A379" s="101"/>
      <c r="B379" s="93"/>
      <c r="C379" s="7"/>
      <c r="D379" s="94"/>
      <c r="E379" s="95"/>
      <c r="F379" s="70"/>
      <c r="G379" s="144"/>
      <c r="H379" s="70"/>
      <c r="I379" s="70"/>
      <c r="J379" s="70"/>
      <c r="K379" s="70"/>
      <c r="L379" s="70"/>
    </row>
    <row r="380" spans="1:12" ht="20.25" customHeight="1" x14ac:dyDescent="0.3">
      <c r="A380" s="101"/>
      <c r="B380" s="93"/>
      <c r="C380" s="7"/>
      <c r="D380" s="94"/>
      <c r="E380" s="95"/>
      <c r="F380" s="70"/>
      <c r="G380" s="144"/>
      <c r="H380" s="70"/>
      <c r="I380" s="70"/>
      <c r="J380" s="70"/>
      <c r="K380" s="70"/>
      <c r="L380" s="70"/>
    </row>
    <row r="381" spans="1:12" ht="20.25" customHeight="1" x14ac:dyDescent="0.3">
      <c r="A381" s="101"/>
      <c r="B381" s="93"/>
      <c r="C381" s="7"/>
      <c r="D381" s="94"/>
      <c r="E381" s="95"/>
      <c r="F381" s="70"/>
      <c r="G381" s="144"/>
      <c r="H381" s="70"/>
      <c r="I381" s="70"/>
      <c r="J381" s="70"/>
      <c r="K381" s="70"/>
      <c r="L381" s="70"/>
    </row>
    <row r="382" spans="1:12" ht="20.25" customHeight="1" x14ac:dyDescent="0.3">
      <c r="A382" s="101"/>
      <c r="B382" s="93"/>
      <c r="C382" s="7"/>
      <c r="D382" s="94"/>
      <c r="E382" s="95"/>
      <c r="F382" s="70"/>
      <c r="G382" s="144"/>
      <c r="H382" s="70"/>
      <c r="I382" s="70"/>
      <c r="J382" s="70"/>
      <c r="K382" s="70"/>
      <c r="L382" s="70"/>
    </row>
    <row r="383" spans="1:12" ht="20.25" customHeight="1" x14ac:dyDescent="0.3">
      <c r="A383" s="101"/>
      <c r="B383" s="93"/>
      <c r="C383" s="7"/>
      <c r="D383" s="94"/>
      <c r="E383" s="95"/>
      <c r="F383" s="70"/>
      <c r="G383" s="144"/>
      <c r="H383" s="70"/>
      <c r="I383" s="70"/>
      <c r="J383" s="70"/>
      <c r="K383" s="70"/>
      <c r="L383" s="70"/>
    </row>
    <row r="384" spans="1:12" ht="20.25" customHeight="1" x14ac:dyDescent="0.3">
      <c r="A384" s="101"/>
      <c r="B384" s="93"/>
      <c r="C384" s="7"/>
      <c r="D384" s="94"/>
      <c r="E384" s="95"/>
      <c r="F384" s="70"/>
      <c r="G384" s="144"/>
      <c r="H384" s="70"/>
      <c r="I384" s="70"/>
      <c r="J384" s="70"/>
      <c r="K384" s="70"/>
      <c r="L384" s="70"/>
    </row>
    <row r="385" spans="1:12" ht="20.25" customHeight="1" x14ac:dyDescent="0.3">
      <c r="A385" s="101"/>
      <c r="B385" s="93"/>
      <c r="C385" s="7"/>
      <c r="D385" s="94"/>
      <c r="E385" s="95"/>
      <c r="F385" s="70"/>
      <c r="G385" s="144"/>
      <c r="H385" s="70"/>
      <c r="I385" s="70"/>
      <c r="J385" s="70"/>
      <c r="K385" s="70"/>
      <c r="L385" s="70"/>
    </row>
    <row r="386" spans="1:12" ht="20.25" customHeight="1" x14ac:dyDescent="0.3">
      <c r="A386" s="101"/>
      <c r="B386" s="93"/>
      <c r="C386" s="7"/>
      <c r="D386" s="94"/>
      <c r="E386" s="95"/>
      <c r="F386" s="70"/>
      <c r="G386" s="144"/>
      <c r="H386" s="70"/>
      <c r="I386" s="70"/>
      <c r="J386" s="70"/>
      <c r="K386" s="70"/>
      <c r="L386" s="70"/>
    </row>
    <row r="387" spans="1:12" ht="20.25" customHeight="1" x14ac:dyDescent="0.3">
      <c r="A387" s="101"/>
      <c r="B387" s="93"/>
      <c r="C387" s="7"/>
      <c r="D387" s="94"/>
      <c r="E387" s="95"/>
      <c r="F387" s="70"/>
      <c r="G387" s="144"/>
      <c r="H387" s="70"/>
      <c r="I387" s="70"/>
      <c r="J387" s="70"/>
      <c r="K387" s="70"/>
      <c r="L387" s="70"/>
    </row>
    <row r="388" spans="1:12" ht="20.25" customHeight="1" x14ac:dyDescent="0.3">
      <c r="A388" s="101"/>
      <c r="B388" s="93"/>
      <c r="C388" s="7"/>
      <c r="D388" s="94"/>
      <c r="E388" s="95"/>
      <c r="F388" s="70"/>
      <c r="G388" s="144"/>
      <c r="H388" s="70"/>
      <c r="I388" s="70"/>
      <c r="J388" s="70"/>
      <c r="K388" s="70"/>
      <c r="L388" s="70"/>
    </row>
    <row r="389" spans="1:12" ht="20.25" customHeight="1" x14ac:dyDescent="0.3">
      <c r="A389" s="101"/>
      <c r="B389" s="93"/>
      <c r="C389" s="7"/>
      <c r="D389" s="94"/>
      <c r="E389" s="95"/>
      <c r="F389" s="70"/>
      <c r="G389" s="144"/>
      <c r="H389" s="70"/>
      <c r="I389" s="70"/>
      <c r="J389" s="70"/>
      <c r="K389" s="70"/>
      <c r="L389" s="70"/>
    </row>
    <row r="390" spans="1:12" ht="20.25" customHeight="1" x14ac:dyDescent="0.3">
      <c r="A390" s="101"/>
      <c r="B390" s="93"/>
      <c r="C390" s="7"/>
      <c r="D390" s="94"/>
      <c r="E390" s="95"/>
      <c r="F390" s="70"/>
      <c r="G390" s="144"/>
      <c r="H390" s="70"/>
      <c r="I390" s="70"/>
      <c r="J390" s="70"/>
      <c r="K390" s="70"/>
      <c r="L390" s="70"/>
    </row>
    <row r="391" spans="1:12" ht="20.25" customHeight="1" x14ac:dyDescent="0.3">
      <c r="A391" s="101"/>
      <c r="B391" s="93"/>
      <c r="C391" s="7"/>
      <c r="D391" s="94"/>
      <c r="E391" s="95"/>
      <c r="F391" s="70"/>
      <c r="G391" s="144"/>
      <c r="H391" s="70"/>
      <c r="I391" s="70"/>
      <c r="J391" s="70"/>
      <c r="K391" s="70"/>
      <c r="L391" s="70"/>
    </row>
    <row r="392" spans="1:12" ht="20.25" customHeight="1" x14ac:dyDescent="0.3">
      <c r="A392" s="101"/>
      <c r="B392" s="93"/>
      <c r="C392" s="7"/>
      <c r="D392" s="94"/>
      <c r="E392" s="95"/>
      <c r="F392" s="70"/>
      <c r="G392" s="144"/>
      <c r="H392" s="70"/>
      <c r="I392" s="70"/>
      <c r="J392" s="70"/>
      <c r="K392" s="70"/>
      <c r="L392" s="70"/>
    </row>
    <row r="393" spans="1:12" ht="20.25" customHeight="1" x14ac:dyDescent="0.3">
      <c r="A393" s="101"/>
      <c r="B393" s="93"/>
      <c r="C393" s="7"/>
      <c r="D393" s="94"/>
      <c r="E393" s="95"/>
      <c r="F393" s="70"/>
      <c r="G393" s="144"/>
      <c r="H393" s="70"/>
      <c r="I393" s="70"/>
      <c r="J393" s="70"/>
      <c r="K393" s="70"/>
      <c r="L393" s="70"/>
    </row>
    <row r="394" spans="1:12" ht="20.25" customHeight="1" x14ac:dyDescent="0.3">
      <c r="A394" s="101"/>
      <c r="B394" s="93"/>
      <c r="C394" s="7"/>
      <c r="D394" s="94"/>
      <c r="E394" s="95"/>
      <c r="F394" s="70"/>
      <c r="G394" s="144"/>
      <c r="H394" s="70"/>
      <c r="I394" s="70"/>
      <c r="J394" s="70"/>
      <c r="K394" s="70"/>
      <c r="L394" s="70"/>
    </row>
    <row r="395" spans="1:12" ht="20.25" customHeight="1" x14ac:dyDescent="0.3">
      <c r="A395" s="101"/>
      <c r="B395" s="93"/>
      <c r="C395" s="7"/>
      <c r="D395" s="94"/>
      <c r="E395" s="95"/>
      <c r="F395" s="70"/>
      <c r="G395" s="144"/>
      <c r="H395" s="70"/>
      <c r="I395" s="70"/>
      <c r="J395" s="70"/>
      <c r="K395" s="70"/>
      <c r="L395" s="70"/>
    </row>
    <row r="396" spans="1:12" ht="20.25" customHeight="1" x14ac:dyDescent="0.3">
      <c r="A396" s="101"/>
      <c r="B396" s="93"/>
      <c r="C396" s="7"/>
      <c r="D396" s="94"/>
      <c r="E396" s="95"/>
      <c r="F396" s="70"/>
      <c r="G396" s="144"/>
      <c r="H396" s="70"/>
      <c r="I396" s="70"/>
      <c r="J396" s="70"/>
      <c r="K396" s="70"/>
      <c r="L396" s="70"/>
    </row>
    <row r="397" spans="1:12" ht="20.25" customHeight="1" x14ac:dyDescent="0.3">
      <c r="A397" s="101"/>
      <c r="B397" s="93"/>
      <c r="C397" s="7"/>
      <c r="D397" s="94"/>
      <c r="E397" s="95"/>
      <c r="F397" s="70"/>
      <c r="G397" s="144"/>
      <c r="H397" s="70"/>
      <c r="I397" s="70"/>
      <c r="J397" s="70"/>
      <c r="K397" s="70"/>
      <c r="L397" s="70"/>
    </row>
    <row r="398" spans="1:12" ht="20.25" customHeight="1" x14ac:dyDescent="0.3">
      <c r="A398" s="101"/>
      <c r="B398" s="93"/>
      <c r="C398" s="7"/>
      <c r="D398" s="94"/>
      <c r="E398" s="95"/>
      <c r="F398" s="70"/>
      <c r="G398" s="144"/>
      <c r="H398" s="70"/>
      <c r="I398" s="70"/>
      <c r="J398" s="70"/>
      <c r="K398" s="70"/>
      <c r="L398" s="70"/>
    </row>
    <row r="399" spans="1:12" ht="20.25" customHeight="1" x14ac:dyDescent="0.3">
      <c r="A399" s="101"/>
      <c r="B399" s="93"/>
      <c r="C399" s="7"/>
      <c r="D399" s="94"/>
      <c r="E399" s="95"/>
      <c r="F399" s="70"/>
      <c r="G399" s="144"/>
      <c r="H399" s="70"/>
      <c r="I399" s="70"/>
      <c r="J399" s="70"/>
      <c r="K399" s="70"/>
      <c r="L399" s="70"/>
    </row>
    <row r="400" spans="1:12" ht="20.25" customHeight="1" x14ac:dyDescent="0.3">
      <c r="A400" s="101"/>
      <c r="B400" s="93"/>
      <c r="C400" s="7"/>
      <c r="D400" s="94"/>
      <c r="E400" s="95"/>
      <c r="F400" s="70"/>
      <c r="G400" s="144"/>
      <c r="H400" s="70"/>
      <c r="I400" s="70"/>
      <c r="J400" s="70"/>
      <c r="K400" s="70"/>
      <c r="L400" s="70"/>
    </row>
    <row r="401" spans="1:12" ht="20.25" customHeight="1" x14ac:dyDescent="0.3">
      <c r="A401" s="101"/>
      <c r="B401" s="93"/>
      <c r="C401" s="7"/>
      <c r="D401" s="94"/>
      <c r="E401" s="95"/>
      <c r="F401" s="70"/>
      <c r="G401" s="144"/>
      <c r="H401" s="70"/>
      <c r="I401" s="70"/>
      <c r="J401" s="70"/>
      <c r="K401" s="70"/>
      <c r="L401" s="70"/>
    </row>
    <row r="402" spans="1:12" ht="20.25" customHeight="1" x14ac:dyDescent="0.3">
      <c r="A402" s="101"/>
      <c r="B402" s="93"/>
      <c r="C402" s="7"/>
      <c r="D402" s="94"/>
      <c r="E402" s="95"/>
      <c r="F402" s="70"/>
      <c r="G402" s="144"/>
      <c r="H402" s="70"/>
      <c r="I402" s="70"/>
      <c r="J402" s="70"/>
      <c r="K402" s="70"/>
      <c r="L402" s="70"/>
    </row>
    <row r="403" spans="1:12" ht="20.25" customHeight="1" x14ac:dyDescent="0.3">
      <c r="A403" s="101"/>
      <c r="B403" s="93"/>
      <c r="C403" s="7"/>
      <c r="D403" s="94"/>
      <c r="E403" s="95"/>
      <c r="F403" s="70"/>
      <c r="G403" s="144"/>
      <c r="H403" s="70"/>
      <c r="I403" s="70"/>
      <c r="J403" s="70"/>
      <c r="K403" s="70"/>
      <c r="L403" s="70"/>
    </row>
    <row r="404" spans="1:12" ht="20.25" customHeight="1" x14ac:dyDescent="0.3">
      <c r="A404" s="101"/>
      <c r="B404" s="93"/>
      <c r="C404" s="7"/>
      <c r="D404" s="94"/>
      <c r="E404" s="95"/>
      <c r="F404" s="70"/>
      <c r="G404" s="144"/>
      <c r="H404" s="70"/>
      <c r="I404" s="70"/>
      <c r="J404" s="70"/>
      <c r="K404" s="70"/>
      <c r="L404" s="70"/>
    </row>
    <row r="405" spans="1:12" ht="20.25" customHeight="1" x14ac:dyDescent="0.3">
      <c r="A405" s="101"/>
      <c r="B405" s="93"/>
      <c r="C405" s="7"/>
      <c r="D405" s="94"/>
      <c r="E405" s="95"/>
      <c r="F405" s="70"/>
      <c r="G405" s="144"/>
      <c r="H405" s="70"/>
      <c r="I405" s="70"/>
      <c r="J405" s="70"/>
      <c r="K405" s="70"/>
      <c r="L405" s="70"/>
    </row>
    <row r="406" spans="1:12" ht="20.25" customHeight="1" x14ac:dyDescent="0.3">
      <c r="A406" s="101"/>
      <c r="B406" s="93"/>
      <c r="C406" s="7"/>
      <c r="D406" s="94"/>
      <c r="E406" s="95"/>
      <c r="F406" s="70"/>
      <c r="G406" s="144"/>
      <c r="H406" s="70"/>
      <c r="I406" s="70"/>
      <c r="J406" s="70"/>
      <c r="K406" s="70"/>
      <c r="L406" s="70"/>
    </row>
    <row r="407" spans="1:12" ht="20.25" customHeight="1" x14ac:dyDescent="0.3">
      <c r="A407" s="101"/>
      <c r="B407" s="93"/>
      <c r="C407" s="7"/>
      <c r="D407" s="94"/>
      <c r="E407" s="95"/>
      <c r="F407" s="70"/>
      <c r="G407" s="144"/>
      <c r="H407" s="70"/>
      <c r="I407" s="70"/>
      <c r="J407" s="70"/>
      <c r="K407" s="70"/>
      <c r="L407" s="70"/>
    </row>
    <row r="408" spans="1:12" ht="20.25" customHeight="1" x14ac:dyDescent="0.3">
      <c r="A408" s="101"/>
      <c r="B408" s="93"/>
      <c r="C408" s="7"/>
      <c r="D408" s="94"/>
      <c r="E408" s="95"/>
      <c r="F408" s="70"/>
      <c r="G408" s="144"/>
      <c r="H408" s="70"/>
      <c r="I408" s="70"/>
      <c r="J408" s="70"/>
      <c r="K408" s="70"/>
      <c r="L408" s="70"/>
    </row>
    <row r="409" spans="1:12" ht="20.25" customHeight="1" x14ac:dyDescent="0.3">
      <c r="A409" s="101"/>
      <c r="B409" s="93"/>
      <c r="C409" s="7"/>
      <c r="D409" s="94"/>
      <c r="E409" s="95"/>
      <c r="F409" s="70"/>
      <c r="G409" s="144"/>
      <c r="H409" s="70"/>
      <c r="I409" s="70"/>
      <c r="J409" s="70"/>
      <c r="K409" s="70"/>
      <c r="L409" s="70"/>
    </row>
    <row r="410" spans="1:12" ht="20.25" customHeight="1" x14ac:dyDescent="0.3">
      <c r="A410" s="101"/>
      <c r="B410" s="93"/>
      <c r="C410" s="7"/>
      <c r="D410" s="94"/>
      <c r="E410" s="95"/>
      <c r="F410" s="70"/>
      <c r="G410" s="144"/>
      <c r="H410" s="70"/>
      <c r="I410" s="70"/>
      <c r="J410" s="70"/>
      <c r="K410" s="70"/>
      <c r="L410" s="70"/>
    </row>
    <row r="411" spans="1:12" ht="20.25" customHeight="1" x14ac:dyDescent="0.3">
      <c r="A411" s="101"/>
      <c r="B411" s="93"/>
      <c r="C411" s="7"/>
      <c r="D411" s="94"/>
      <c r="E411" s="95"/>
      <c r="F411" s="70"/>
      <c r="G411" s="144"/>
      <c r="H411" s="70"/>
      <c r="I411" s="70"/>
      <c r="J411" s="70"/>
      <c r="K411" s="70"/>
      <c r="L411" s="70"/>
    </row>
    <row r="412" spans="1:12" ht="20.25" customHeight="1" x14ac:dyDescent="0.3">
      <c r="A412" s="101"/>
      <c r="B412" s="93"/>
      <c r="C412" s="7"/>
      <c r="D412" s="94"/>
      <c r="E412" s="95"/>
      <c r="F412" s="70"/>
      <c r="G412" s="144"/>
      <c r="H412" s="70"/>
      <c r="I412" s="70"/>
      <c r="J412" s="70"/>
      <c r="K412" s="70"/>
      <c r="L412" s="70"/>
    </row>
    <row r="413" spans="1:12" ht="20.25" customHeight="1" x14ac:dyDescent="0.3">
      <c r="A413" s="101"/>
      <c r="B413" s="93"/>
      <c r="C413" s="7"/>
      <c r="D413" s="94"/>
      <c r="E413" s="95"/>
      <c r="F413" s="70"/>
      <c r="G413" s="144"/>
      <c r="H413" s="70"/>
      <c r="I413" s="70"/>
      <c r="J413" s="70"/>
      <c r="K413" s="70"/>
      <c r="L413" s="70"/>
    </row>
    <row r="414" spans="1:12" ht="20.25" customHeight="1" x14ac:dyDescent="0.3">
      <c r="A414" s="101"/>
      <c r="B414" s="93"/>
      <c r="C414" s="7"/>
      <c r="D414" s="94"/>
      <c r="E414" s="95"/>
      <c r="F414" s="70"/>
      <c r="G414" s="144"/>
      <c r="H414" s="70"/>
      <c r="I414" s="70"/>
      <c r="J414" s="70"/>
      <c r="K414" s="70"/>
      <c r="L414" s="70"/>
    </row>
    <row r="415" spans="1:12" ht="20.25" customHeight="1" x14ac:dyDescent="0.3">
      <c r="A415" s="101"/>
      <c r="B415" s="93"/>
      <c r="C415" s="7"/>
      <c r="D415" s="94"/>
      <c r="E415" s="95"/>
      <c r="F415" s="70"/>
      <c r="G415" s="144"/>
      <c r="H415" s="70"/>
      <c r="I415" s="70"/>
      <c r="J415" s="70"/>
      <c r="K415" s="70"/>
      <c r="L415" s="70"/>
    </row>
    <row r="416" spans="1:12" ht="20.25" customHeight="1" x14ac:dyDescent="0.3">
      <c r="A416" s="101"/>
      <c r="B416" s="93"/>
      <c r="C416" s="7"/>
      <c r="D416" s="94"/>
      <c r="E416" s="95"/>
      <c r="F416" s="70"/>
      <c r="G416" s="144"/>
      <c r="H416" s="70"/>
      <c r="I416" s="70"/>
      <c r="J416" s="70"/>
      <c r="K416" s="70"/>
      <c r="L416" s="70"/>
    </row>
    <row r="417" spans="1:12" ht="20.25" customHeight="1" x14ac:dyDescent="0.3">
      <c r="A417" s="101"/>
      <c r="B417" s="93"/>
      <c r="C417" s="7"/>
      <c r="D417" s="94"/>
      <c r="E417" s="95"/>
      <c r="F417" s="70"/>
      <c r="G417" s="144"/>
      <c r="H417" s="70"/>
      <c r="I417" s="70"/>
      <c r="J417" s="70"/>
      <c r="K417" s="70"/>
      <c r="L417" s="70"/>
    </row>
    <row r="418" spans="1:12" ht="20.25" customHeight="1" x14ac:dyDescent="0.3">
      <c r="A418" s="101"/>
      <c r="B418" s="93"/>
      <c r="C418" s="7"/>
      <c r="D418" s="94"/>
      <c r="E418" s="95"/>
      <c r="F418" s="70"/>
      <c r="G418" s="144"/>
      <c r="H418" s="70"/>
      <c r="I418" s="70"/>
      <c r="J418" s="70"/>
      <c r="K418" s="70"/>
      <c r="L418" s="70"/>
    </row>
    <row r="419" spans="1:12" ht="20.25" customHeight="1" x14ac:dyDescent="0.3">
      <c r="A419" s="101"/>
      <c r="B419" s="93"/>
      <c r="C419" s="7"/>
      <c r="D419" s="94"/>
      <c r="E419" s="95"/>
      <c r="F419" s="70"/>
      <c r="G419" s="144"/>
      <c r="H419" s="70"/>
      <c r="I419" s="70"/>
      <c r="J419" s="70"/>
      <c r="K419" s="70"/>
      <c r="L419" s="70"/>
    </row>
    <row r="420" spans="1:12" ht="20.25" customHeight="1" x14ac:dyDescent="0.3">
      <c r="A420" s="101"/>
      <c r="B420" s="93"/>
      <c r="C420" s="7"/>
      <c r="D420" s="94"/>
      <c r="E420" s="95"/>
      <c r="F420" s="70"/>
      <c r="G420" s="144"/>
      <c r="H420" s="70"/>
      <c r="I420" s="70"/>
      <c r="J420" s="70"/>
      <c r="K420" s="70"/>
      <c r="L420" s="70"/>
    </row>
    <row r="421" spans="1:12" ht="20.25" customHeight="1" x14ac:dyDescent="0.3">
      <c r="A421" s="101"/>
      <c r="B421" s="93"/>
      <c r="C421" s="7"/>
      <c r="D421" s="94"/>
      <c r="E421" s="95"/>
      <c r="F421" s="70"/>
      <c r="G421" s="144"/>
      <c r="H421" s="70"/>
      <c r="I421" s="70"/>
      <c r="J421" s="70"/>
      <c r="K421" s="70"/>
      <c r="L421" s="70"/>
    </row>
    <row r="422" spans="1:12" ht="20.25" customHeight="1" x14ac:dyDescent="0.3">
      <c r="A422" s="101"/>
      <c r="B422" s="93"/>
      <c r="C422" s="7"/>
      <c r="D422" s="94"/>
      <c r="E422" s="95"/>
      <c r="F422" s="70"/>
      <c r="G422" s="144"/>
      <c r="H422" s="70"/>
      <c r="I422" s="70"/>
      <c r="J422" s="70"/>
      <c r="K422" s="70"/>
      <c r="L422" s="70"/>
    </row>
    <row r="423" spans="1:12" ht="20.25" customHeight="1" x14ac:dyDescent="0.3">
      <c r="A423" s="101"/>
      <c r="B423" s="93"/>
      <c r="C423" s="7"/>
      <c r="D423" s="94"/>
      <c r="E423" s="95"/>
      <c r="F423" s="70"/>
      <c r="G423" s="144"/>
      <c r="H423" s="70"/>
      <c r="I423" s="70"/>
      <c r="J423" s="70"/>
      <c r="K423" s="70"/>
      <c r="L423" s="70"/>
    </row>
    <row r="424" spans="1:12" ht="20.25" customHeight="1" x14ac:dyDescent="0.3">
      <c r="A424" s="101"/>
      <c r="B424" s="93"/>
      <c r="C424" s="7"/>
      <c r="D424" s="94"/>
      <c r="E424" s="95"/>
      <c r="F424" s="70"/>
      <c r="G424" s="144"/>
      <c r="H424" s="70"/>
      <c r="I424" s="70"/>
      <c r="J424" s="70"/>
      <c r="K424" s="70"/>
      <c r="L424" s="70"/>
    </row>
    <row r="425" spans="1:12" ht="20.25" customHeight="1" x14ac:dyDescent="0.3">
      <c r="A425" s="101"/>
      <c r="B425" s="93"/>
      <c r="C425" s="7"/>
      <c r="D425" s="94"/>
      <c r="E425" s="95"/>
      <c r="F425" s="70"/>
      <c r="G425" s="144"/>
      <c r="H425" s="70"/>
      <c r="I425" s="70"/>
      <c r="J425" s="70"/>
      <c r="K425" s="70"/>
      <c r="L425" s="70"/>
    </row>
    <row r="426" spans="1:12" ht="20.25" customHeight="1" x14ac:dyDescent="0.3">
      <c r="A426" s="101"/>
      <c r="B426" s="93"/>
      <c r="C426" s="7"/>
      <c r="D426" s="94"/>
      <c r="E426" s="95"/>
      <c r="F426" s="70"/>
      <c r="G426" s="144"/>
      <c r="H426" s="70"/>
      <c r="I426" s="70"/>
      <c r="J426" s="70"/>
      <c r="K426" s="70"/>
      <c r="L426" s="70"/>
    </row>
    <row r="427" spans="1:12" ht="20.25" customHeight="1" x14ac:dyDescent="0.3">
      <c r="A427" s="101"/>
      <c r="B427" s="93"/>
      <c r="C427" s="7"/>
      <c r="D427" s="94"/>
      <c r="E427" s="95"/>
      <c r="F427" s="70"/>
      <c r="G427" s="144"/>
      <c r="H427" s="70"/>
      <c r="I427" s="70"/>
      <c r="J427" s="70"/>
      <c r="K427" s="70"/>
      <c r="L427" s="70"/>
    </row>
    <row r="428" spans="1:12" ht="20.25" customHeight="1" x14ac:dyDescent="0.3">
      <c r="A428" s="101"/>
      <c r="B428" s="93"/>
      <c r="C428" s="7"/>
      <c r="D428" s="94"/>
      <c r="E428" s="95"/>
      <c r="F428" s="70"/>
      <c r="G428" s="144"/>
      <c r="H428" s="70"/>
      <c r="I428" s="70"/>
      <c r="J428" s="70"/>
      <c r="K428" s="70"/>
      <c r="L428" s="70"/>
    </row>
    <row r="429" spans="1:12" ht="20.25" customHeight="1" x14ac:dyDescent="0.3">
      <c r="A429" s="101"/>
      <c r="B429" s="93"/>
      <c r="C429" s="7"/>
      <c r="D429" s="94"/>
      <c r="E429" s="95"/>
      <c r="F429" s="70"/>
      <c r="G429" s="144"/>
      <c r="H429" s="70"/>
      <c r="I429" s="70"/>
      <c r="J429" s="70"/>
      <c r="K429" s="70"/>
      <c r="L429" s="70"/>
    </row>
    <row r="430" spans="1:12" ht="20.25" customHeight="1" x14ac:dyDescent="0.3">
      <c r="A430" s="101"/>
      <c r="B430" s="93"/>
      <c r="C430" s="7"/>
      <c r="D430" s="94"/>
      <c r="E430" s="95"/>
      <c r="F430" s="70"/>
      <c r="G430" s="144"/>
      <c r="H430" s="70"/>
      <c r="I430" s="70"/>
      <c r="J430" s="70"/>
      <c r="K430" s="70"/>
      <c r="L430" s="70"/>
    </row>
    <row r="431" spans="1:12" ht="20.25" customHeight="1" x14ac:dyDescent="0.3">
      <c r="A431" s="101"/>
      <c r="B431" s="93"/>
      <c r="C431" s="7"/>
      <c r="D431" s="94"/>
      <c r="E431" s="95"/>
      <c r="F431" s="70"/>
      <c r="G431" s="144"/>
      <c r="H431" s="70"/>
      <c r="I431" s="70"/>
      <c r="J431" s="70"/>
      <c r="K431" s="70"/>
      <c r="L431" s="70"/>
    </row>
    <row r="432" spans="1:12" ht="20.25" customHeight="1" x14ac:dyDescent="0.3">
      <c r="A432" s="101"/>
      <c r="B432" s="93"/>
      <c r="C432" s="7"/>
      <c r="D432" s="94"/>
      <c r="E432" s="95"/>
      <c r="F432" s="70"/>
      <c r="G432" s="144"/>
      <c r="H432" s="70"/>
      <c r="I432" s="70"/>
      <c r="J432" s="70"/>
      <c r="K432" s="70"/>
      <c r="L432" s="70"/>
    </row>
    <row r="433" spans="1:12" ht="20.25" customHeight="1" x14ac:dyDescent="0.3">
      <c r="A433" s="101"/>
      <c r="B433" s="93"/>
      <c r="C433" s="7"/>
      <c r="D433" s="94"/>
      <c r="E433" s="95"/>
      <c r="F433" s="70"/>
      <c r="G433" s="144"/>
      <c r="H433" s="70"/>
      <c r="I433" s="70"/>
      <c r="J433" s="70"/>
      <c r="K433" s="70"/>
      <c r="L433" s="70"/>
    </row>
    <row r="434" spans="1:12" ht="20.25" customHeight="1" x14ac:dyDescent="0.3">
      <c r="A434" s="101"/>
      <c r="B434" s="93"/>
      <c r="C434" s="7"/>
      <c r="D434" s="94"/>
      <c r="E434" s="95"/>
      <c r="F434" s="70"/>
      <c r="G434" s="144"/>
      <c r="H434" s="70"/>
      <c r="I434" s="70"/>
      <c r="J434" s="70"/>
      <c r="K434" s="70"/>
      <c r="L434" s="70"/>
    </row>
    <row r="435" spans="1:12" ht="20.25" customHeight="1" x14ac:dyDescent="0.3">
      <c r="A435" s="101"/>
      <c r="B435" s="93"/>
      <c r="C435" s="7"/>
      <c r="D435" s="94"/>
      <c r="E435" s="95"/>
      <c r="F435" s="70"/>
      <c r="G435" s="144"/>
      <c r="H435" s="70"/>
      <c r="I435" s="70"/>
      <c r="J435" s="70"/>
      <c r="K435" s="70"/>
      <c r="L435" s="70"/>
    </row>
    <row r="436" spans="1:12" ht="20.25" customHeight="1" x14ac:dyDescent="0.3">
      <c r="A436" s="101"/>
      <c r="B436" s="93"/>
      <c r="C436" s="7"/>
      <c r="D436" s="94"/>
      <c r="E436" s="95"/>
      <c r="F436" s="70"/>
      <c r="G436" s="144"/>
      <c r="H436" s="70"/>
      <c r="I436" s="70"/>
      <c r="J436" s="70"/>
      <c r="K436" s="70"/>
      <c r="L436" s="70"/>
    </row>
    <row r="437" spans="1:12" ht="20.25" customHeight="1" x14ac:dyDescent="0.3">
      <c r="A437" s="101"/>
      <c r="B437" s="93"/>
      <c r="C437" s="7"/>
      <c r="D437" s="94"/>
      <c r="E437" s="95"/>
      <c r="F437" s="70"/>
      <c r="G437" s="144"/>
      <c r="H437" s="70"/>
      <c r="I437" s="70"/>
      <c r="J437" s="70"/>
      <c r="K437" s="70"/>
      <c r="L437" s="70"/>
    </row>
    <row r="438" spans="1:12" ht="20.25" customHeight="1" x14ac:dyDescent="0.3">
      <c r="A438" s="101"/>
      <c r="B438" s="93"/>
      <c r="C438" s="7"/>
      <c r="D438" s="94"/>
      <c r="E438" s="95"/>
      <c r="F438" s="70"/>
      <c r="G438" s="144"/>
      <c r="H438" s="70"/>
      <c r="I438" s="70"/>
      <c r="J438" s="70"/>
      <c r="K438" s="70"/>
      <c r="L438" s="70"/>
    </row>
    <row r="439" spans="1:12" ht="20.25" customHeight="1" x14ac:dyDescent="0.3">
      <c r="A439" s="101"/>
      <c r="B439" s="93"/>
      <c r="C439" s="7"/>
      <c r="D439" s="94"/>
      <c r="E439" s="95"/>
      <c r="F439" s="70"/>
      <c r="G439" s="144"/>
      <c r="H439" s="70"/>
      <c r="I439" s="70"/>
      <c r="J439" s="70"/>
      <c r="K439" s="70"/>
      <c r="L439" s="70"/>
    </row>
    <row r="440" spans="1:12" ht="20.25" customHeight="1" x14ac:dyDescent="0.3">
      <c r="A440" s="101"/>
      <c r="B440" s="93"/>
      <c r="C440" s="7"/>
      <c r="D440" s="94"/>
      <c r="E440" s="95"/>
      <c r="F440" s="70"/>
      <c r="G440" s="144"/>
      <c r="H440" s="70"/>
      <c r="I440" s="70"/>
      <c r="J440" s="70"/>
      <c r="K440" s="70"/>
      <c r="L440" s="70"/>
    </row>
    <row r="441" spans="1:12" ht="20.25" customHeight="1" x14ac:dyDescent="0.3">
      <c r="A441" s="101"/>
      <c r="B441" s="93"/>
      <c r="C441" s="7"/>
      <c r="D441" s="94"/>
      <c r="E441" s="95"/>
      <c r="F441" s="70"/>
      <c r="G441" s="144"/>
      <c r="H441" s="70"/>
      <c r="I441" s="70"/>
      <c r="J441" s="70"/>
      <c r="K441" s="70"/>
      <c r="L441" s="70"/>
    </row>
    <row r="442" spans="1:12" ht="20.25" customHeight="1" x14ac:dyDescent="0.3">
      <c r="A442" s="101"/>
      <c r="B442" s="93"/>
      <c r="C442" s="7"/>
      <c r="D442" s="94"/>
      <c r="E442" s="95"/>
      <c r="F442" s="70"/>
      <c r="G442" s="144"/>
      <c r="H442" s="70"/>
      <c r="I442" s="70"/>
      <c r="J442" s="70"/>
      <c r="K442" s="70"/>
      <c r="L442" s="70"/>
    </row>
    <row r="443" spans="1:12" ht="20.25" customHeight="1" x14ac:dyDescent="0.3">
      <c r="A443" s="101"/>
      <c r="B443" s="93"/>
      <c r="C443" s="7"/>
      <c r="D443" s="94"/>
      <c r="E443" s="95"/>
      <c r="F443" s="70"/>
      <c r="G443" s="144"/>
      <c r="H443" s="70"/>
      <c r="I443" s="70"/>
      <c r="J443" s="70"/>
      <c r="K443" s="70"/>
      <c r="L443" s="70"/>
    </row>
    <row r="444" spans="1:12" ht="20.25" customHeight="1" x14ac:dyDescent="0.3">
      <c r="A444" s="101"/>
      <c r="B444" s="93"/>
      <c r="C444" s="7"/>
      <c r="D444" s="94"/>
      <c r="E444" s="95"/>
      <c r="F444" s="70"/>
      <c r="G444" s="144"/>
      <c r="H444" s="70"/>
      <c r="I444" s="70"/>
      <c r="J444" s="70"/>
      <c r="K444" s="70"/>
      <c r="L444" s="70"/>
    </row>
    <row r="445" spans="1:12" ht="20.25" customHeight="1" x14ac:dyDescent="0.3">
      <c r="A445" s="101"/>
      <c r="B445" s="93"/>
      <c r="C445" s="7"/>
      <c r="D445" s="94"/>
      <c r="E445" s="95"/>
      <c r="F445" s="70"/>
      <c r="G445" s="144"/>
      <c r="H445" s="70"/>
      <c r="I445" s="70"/>
      <c r="J445" s="70"/>
      <c r="K445" s="70"/>
      <c r="L445" s="70"/>
    </row>
    <row r="446" spans="1:12" ht="20.25" customHeight="1" x14ac:dyDescent="0.3">
      <c r="A446" s="101"/>
      <c r="B446" s="93"/>
      <c r="C446" s="7"/>
      <c r="D446" s="94"/>
      <c r="E446" s="95"/>
      <c r="F446" s="70"/>
      <c r="G446" s="144"/>
      <c r="H446" s="70"/>
      <c r="I446" s="70"/>
      <c r="J446" s="70"/>
      <c r="K446" s="70"/>
      <c r="L446" s="70"/>
    </row>
    <row r="447" spans="1:12" ht="20.25" customHeight="1" x14ac:dyDescent="0.3">
      <c r="A447" s="101"/>
      <c r="B447" s="93"/>
      <c r="C447" s="7"/>
      <c r="D447" s="94"/>
      <c r="E447" s="95"/>
      <c r="F447" s="70"/>
      <c r="G447" s="144"/>
      <c r="H447" s="70"/>
      <c r="I447" s="70"/>
      <c r="J447" s="70"/>
      <c r="K447" s="70"/>
      <c r="L447" s="70"/>
    </row>
    <row r="448" spans="1:12" ht="20.25" customHeight="1" x14ac:dyDescent="0.3">
      <c r="A448" s="101"/>
      <c r="B448" s="93"/>
      <c r="C448" s="7"/>
      <c r="D448" s="94"/>
      <c r="E448" s="95"/>
      <c r="F448" s="70"/>
      <c r="G448" s="144"/>
      <c r="H448" s="70"/>
      <c r="I448" s="70"/>
      <c r="J448" s="70"/>
      <c r="K448" s="70"/>
      <c r="L448" s="70"/>
    </row>
    <row r="449" spans="1:12" ht="20.25" customHeight="1" x14ac:dyDescent="0.3">
      <c r="A449" s="101"/>
      <c r="B449" s="93"/>
      <c r="C449" s="7"/>
      <c r="D449" s="94"/>
      <c r="E449" s="95"/>
      <c r="F449" s="70"/>
      <c r="G449" s="144"/>
      <c r="H449" s="70"/>
      <c r="I449" s="70"/>
      <c r="J449" s="70"/>
      <c r="K449" s="70"/>
      <c r="L449" s="70"/>
    </row>
    <row r="450" spans="1:12" ht="20.25" customHeight="1" x14ac:dyDescent="0.3">
      <c r="A450" s="101"/>
      <c r="B450" s="93"/>
      <c r="C450" s="7"/>
      <c r="D450" s="94"/>
      <c r="E450" s="95"/>
      <c r="F450" s="70"/>
      <c r="G450" s="144"/>
      <c r="H450" s="70"/>
      <c r="I450" s="70"/>
      <c r="J450" s="70"/>
      <c r="K450" s="70"/>
      <c r="L450" s="70"/>
    </row>
    <row r="451" spans="1:12" ht="20.25" customHeight="1" x14ac:dyDescent="0.3">
      <c r="A451" s="101"/>
      <c r="B451" s="93"/>
      <c r="C451" s="7"/>
      <c r="D451" s="94"/>
      <c r="E451" s="95"/>
      <c r="F451" s="70"/>
      <c r="G451" s="144"/>
      <c r="H451" s="70"/>
      <c r="I451" s="70"/>
      <c r="J451" s="70"/>
      <c r="K451" s="70"/>
      <c r="L451" s="70"/>
    </row>
    <row r="452" spans="1:12" ht="20.25" customHeight="1" x14ac:dyDescent="0.3">
      <c r="A452" s="101"/>
      <c r="B452" s="93"/>
      <c r="C452" s="7"/>
      <c r="D452" s="94"/>
      <c r="E452" s="95"/>
      <c r="F452" s="70"/>
      <c r="G452" s="144"/>
      <c r="H452" s="70"/>
      <c r="I452" s="70"/>
      <c r="J452" s="70"/>
      <c r="K452" s="70"/>
      <c r="L452" s="70"/>
    </row>
    <row r="453" spans="1:12" ht="20.25" customHeight="1" x14ac:dyDescent="0.3">
      <c r="A453" s="101"/>
      <c r="B453" s="93"/>
      <c r="C453" s="7"/>
      <c r="D453" s="94"/>
      <c r="E453" s="95"/>
      <c r="F453" s="70"/>
      <c r="G453" s="144"/>
      <c r="H453" s="70"/>
      <c r="I453" s="70"/>
      <c r="J453" s="70"/>
      <c r="K453" s="70"/>
      <c r="L453" s="70"/>
    </row>
    <row r="454" spans="1:12" ht="20.25" customHeight="1" x14ac:dyDescent="0.3">
      <c r="A454" s="101"/>
      <c r="B454" s="93"/>
      <c r="C454" s="7"/>
      <c r="D454" s="94"/>
      <c r="E454" s="95"/>
      <c r="F454" s="70"/>
      <c r="G454" s="144"/>
      <c r="H454" s="70"/>
      <c r="I454" s="70"/>
      <c r="J454" s="70"/>
      <c r="K454" s="70"/>
      <c r="L454" s="70"/>
    </row>
    <row r="455" spans="1:12" ht="20.25" customHeight="1" x14ac:dyDescent="0.3">
      <c r="A455" s="101"/>
      <c r="B455" s="93"/>
      <c r="C455" s="7"/>
      <c r="D455" s="94"/>
      <c r="E455" s="95"/>
      <c r="F455" s="70"/>
      <c r="G455" s="144"/>
      <c r="H455" s="70"/>
      <c r="I455" s="70"/>
      <c r="J455" s="70"/>
      <c r="K455" s="70"/>
      <c r="L455" s="70"/>
    </row>
    <row r="456" spans="1:12" ht="20.25" customHeight="1" x14ac:dyDescent="0.3">
      <c r="A456" s="101"/>
      <c r="B456" s="93"/>
      <c r="C456" s="7"/>
      <c r="D456" s="94"/>
      <c r="E456" s="95"/>
      <c r="F456" s="70"/>
      <c r="G456" s="144"/>
      <c r="H456" s="70"/>
      <c r="I456" s="70"/>
      <c r="J456" s="70"/>
      <c r="K456" s="70"/>
      <c r="L456" s="70"/>
    </row>
    <row r="457" spans="1:12" ht="20.25" customHeight="1" x14ac:dyDescent="0.3">
      <c r="A457" s="101"/>
      <c r="B457" s="93"/>
      <c r="C457" s="7"/>
      <c r="D457" s="94"/>
      <c r="E457" s="95"/>
      <c r="F457" s="70"/>
      <c r="G457" s="144"/>
      <c r="H457" s="70"/>
      <c r="I457" s="70"/>
      <c r="J457" s="70"/>
      <c r="K457" s="70"/>
      <c r="L457" s="70"/>
    </row>
    <row r="458" spans="1:12" ht="20.25" customHeight="1" x14ac:dyDescent="0.3">
      <c r="A458" s="101"/>
      <c r="B458" s="93"/>
      <c r="C458" s="7"/>
      <c r="D458" s="94"/>
      <c r="E458" s="95"/>
      <c r="F458" s="70"/>
      <c r="G458" s="144"/>
      <c r="H458" s="70"/>
      <c r="I458" s="70"/>
      <c r="J458" s="70"/>
      <c r="K458" s="70"/>
      <c r="L458" s="70"/>
    </row>
    <row r="459" spans="1:12" ht="20.25" customHeight="1" x14ac:dyDescent="0.3">
      <c r="A459" s="101"/>
      <c r="B459" s="93"/>
      <c r="C459" s="7"/>
      <c r="D459" s="94"/>
      <c r="E459" s="95"/>
      <c r="F459" s="70"/>
      <c r="G459" s="144"/>
      <c r="H459" s="70"/>
      <c r="I459" s="70"/>
      <c r="J459" s="70"/>
      <c r="K459" s="70"/>
      <c r="L459" s="70"/>
    </row>
    <row r="460" spans="1:12" ht="20.25" customHeight="1" x14ac:dyDescent="0.3">
      <c r="A460" s="101"/>
      <c r="B460" s="93"/>
      <c r="C460" s="7"/>
      <c r="D460" s="94"/>
      <c r="E460" s="95"/>
      <c r="F460" s="70"/>
      <c r="G460" s="144"/>
      <c r="H460" s="70"/>
      <c r="I460" s="70"/>
      <c r="J460" s="70"/>
      <c r="K460" s="70"/>
      <c r="L460" s="70"/>
    </row>
    <row r="461" spans="1:12" ht="20.25" customHeight="1" x14ac:dyDescent="0.3">
      <c r="A461" s="101"/>
      <c r="B461" s="93"/>
      <c r="C461" s="7"/>
      <c r="D461" s="94"/>
      <c r="E461" s="95"/>
      <c r="F461" s="70"/>
      <c r="G461" s="144"/>
      <c r="H461" s="70"/>
      <c r="I461" s="70"/>
      <c r="J461" s="70"/>
      <c r="K461" s="70"/>
      <c r="L461" s="70"/>
    </row>
    <row r="462" spans="1:12" ht="20.25" customHeight="1" x14ac:dyDescent="0.3">
      <c r="A462" s="101"/>
      <c r="B462" s="93"/>
      <c r="C462" s="7"/>
      <c r="D462" s="94"/>
      <c r="E462" s="95"/>
      <c r="F462" s="70"/>
      <c r="G462" s="144"/>
      <c r="H462" s="70"/>
      <c r="I462" s="70"/>
      <c r="J462" s="70"/>
      <c r="K462" s="70"/>
      <c r="L462" s="70"/>
    </row>
    <row r="463" spans="1:12" ht="20.25" customHeight="1" x14ac:dyDescent="0.3">
      <c r="A463" s="101"/>
      <c r="B463" s="93"/>
      <c r="C463" s="7"/>
      <c r="D463" s="94"/>
      <c r="E463" s="95"/>
      <c r="F463" s="70"/>
      <c r="G463" s="144"/>
      <c r="H463" s="70"/>
      <c r="I463" s="70"/>
      <c r="J463" s="70"/>
      <c r="K463" s="70"/>
      <c r="L463" s="70"/>
    </row>
    <row r="464" spans="1:12" ht="20.25" customHeight="1" x14ac:dyDescent="0.3">
      <c r="A464" s="101"/>
      <c r="B464" s="93"/>
      <c r="C464" s="7"/>
      <c r="D464" s="94"/>
      <c r="E464" s="95"/>
      <c r="F464" s="70"/>
      <c r="G464" s="143"/>
      <c r="H464" s="70"/>
      <c r="I464" s="70"/>
      <c r="J464" s="70"/>
      <c r="K464" s="70"/>
      <c r="L464" s="70"/>
    </row>
    <row r="465" spans="1:12" ht="20.25" customHeight="1" x14ac:dyDescent="0.3">
      <c r="A465" s="101"/>
      <c r="B465" s="93"/>
      <c r="C465" s="7"/>
      <c r="D465" s="94"/>
      <c r="E465" s="95"/>
      <c r="F465" s="70"/>
      <c r="G465" s="141"/>
      <c r="H465" s="70"/>
      <c r="I465" s="70"/>
      <c r="J465" s="70"/>
      <c r="K465" s="70"/>
      <c r="L465" s="70"/>
    </row>
    <row r="466" spans="1:12" ht="20.25" customHeight="1" x14ac:dyDescent="0.3">
      <c r="A466" s="101"/>
      <c r="B466" s="93"/>
      <c r="C466" s="7"/>
      <c r="D466" s="94"/>
      <c r="E466" s="95"/>
      <c r="F466" s="70"/>
      <c r="G466" s="141"/>
      <c r="H466" s="70"/>
      <c r="I466" s="70"/>
      <c r="J466" s="70"/>
      <c r="K466" s="70"/>
      <c r="L466" s="70"/>
    </row>
    <row r="467" spans="1:12" ht="20.25" customHeight="1" x14ac:dyDescent="0.3">
      <c r="A467" s="101"/>
      <c r="B467" s="93"/>
      <c r="C467" s="7"/>
      <c r="D467" s="94"/>
      <c r="E467" s="95"/>
      <c r="F467" s="70"/>
      <c r="G467" s="141"/>
      <c r="H467" s="70"/>
      <c r="I467" s="70"/>
      <c r="J467" s="70"/>
      <c r="K467" s="70"/>
      <c r="L467" s="70"/>
    </row>
    <row r="468" spans="1:12" ht="20.25" customHeight="1" x14ac:dyDescent="0.3">
      <c r="A468" s="101"/>
      <c r="B468" s="93"/>
      <c r="C468" s="7"/>
      <c r="D468" s="94"/>
      <c r="E468" s="95"/>
      <c r="F468" s="70"/>
      <c r="G468" s="141"/>
      <c r="H468" s="70"/>
      <c r="I468" s="70"/>
      <c r="J468" s="70"/>
      <c r="K468" s="70"/>
      <c r="L468" s="70"/>
    </row>
    <row r="469" spans="1:12" ht="20.25" customHeight="1" x14ac:dyDescent="0.3">
      <c r="A469" s="101"/>
      <c r="B469" s="93"/>
      <c r="C469" s="7"/>
      <c r="D469" s="94"/>
      <c r="E469" s="95"/>
      <c r="F469" s="70"/>
      <c r="G469" s="141"/>
      <c r="H469" s="70"/>
      <c r="I469" s="70"/>
      <c r="J469" s="70"/>
      <c r="K469" s="70"/>
      <c r="L469" s="70"/>
    </row>
    <row r="470" spans="1:12" ht="20.25" customHeight="1" x14ac:dyDescent="0.3">
      <c r="A470" s="101"/>
      <c r="B470" s="93"/>
      <c r="C470" s="7"/>
      <c r="D470" s="94"/>
      <c r="E470" s="95"/>
      <c r="F470" s="70"/>
      <c r="G470" s="141"/>
      <c r="H470" s="70"/>
      <c r="I470" s="70"/>
      <c r="J470" s="70"/>
      <c r="K470" s="70"/>
      <c r="L470" s="70"/>
    </row>
    <row r="471" spans="1:12" ht="20.25" customHeight="1" x14ac:dyDescent="0.3">
      <c r="A471" s="101"/>
      <c r="B471" s="93"/>
      <c r="C471" s="7"/>
      <c r="D471" s="94"/>
      <c r="E471" s="95"/>
      <c r="F471" s="70"/>
      <c r="G471" s="139"/>
      <c r="H471" s="70"/>
      <c r="I471" s="70"/>
      <c r="J471" s="70"/>
      <c r="K471" s="70"/>
      <c r="L471" s="70"/>
    </row>
    <row r="472" spans="1:12" ht="20.25" customHeight="1" x14ac:dyDescent="0.3">
      <c r="A472" s="101"/>
      <c r="B472" s="93"/>
      <c r="C472" s="7"/>
      <c r="D472" s="94"/>
      <c r="E472" s="95"/>
      <c r="F472" s="70"/>
      <c r="G472" s="139"/>
      <c r="H472" s="70"/>
      <c r="I472" s="70"/>
      <c r="J472" s="70"/>
      <c r="K472" s="70"/>
      <c r="L472" s="70"/>
    </row>
    <row r="473" spans="1:12" ht="20.25" customHeight="1" x14ac:dyDescent="0.3">
      <c r="A473" s="101"/>
      <c r="B473" s="93"/>
      <c r="C473" s="7"/>
      <c r="D473" s="94"/>
      <c r="E473" s="95"/>
      <c r="F473" s="70"/>
      <c r="G473" s="139"/>
      <c r="H473" s="70"/>
      <c r="I473" s="70"/>
      <c r="J473" s="70"/>
      <c r="K473" s="70"/>
      <c r="L473" s="70"/>
    </row>
    <row r="474" spans="1:12" ht="20.25" customHeight="1" x14ac:dyDescent="0.3">
      <c r="A474" s="101"/>
      <c r="B474" s="93"/>
      <c r="C474" s="7"/>
      <c r="D474" s="94"/>
      <c r="E474" s="95"/>
      <c r="F474" s="70"/>
      <c r="G474" s="139"/>
      <c r="H474" s="70"/>
      <c r="I474" s="70"/>
      <c r="J474" s="70"/>
      <c r="K474" s="70"/>
      <c r="L474" s="70"/>
    </row>
    <row r="475" spans="1:12" ht="20.25" customHeight="1" x14ac:dyDescent="0.3">
      <c r="A475" s="101"/>
      <c r="B475" s="93"/>
      <c r="C475" s="7"/>
      <c r="D475" s="94"/>
      <c r="E475" s="95"/>
      <c r="F475" s="70"/>
      <c r="G475" s="139"/>
      <c r="H475" s="70"/>
      <c r="I475" s="70"/>
      <c r="J475" s="70"/>
      <c r="K475" s="70"/>
      <c r="L475" s="70"/>
    </row>
    <row r="476" spans="1:12" ht="20.25" customHeight="1" x14ac:dyDescent="0.3">
      <c r="A476" s="101"/>
      <c r="B476" s="93"/>
      <c r="C476" s="7"/>
      <c r="D476" s="94"/>
      <c r="E476" s="95"/>
      <c r="F476" s="70"/>
      <c r="G476" s="139"/>
      <c r="H476" s="70"/>
      <c r="I476" s="70"/>
      <c r="J476" s="70"/>
      <c r="K476" s="70"/>
      <c r="L476" s="70"/>
    </row>
    <row r="477" spans="1:12" ht="20.25" customHeight="1" x14ac:dyDescent="0.3">
      <c r="A477" s="101"/>
      <c r="B477" s="93"/>
      <c r="C477" s="7"/>
      <c r="D477" s="94"/>
      <c r="E477" s="95"/>
      <c r="F477" s="70"/>
      <c r="G477" s="139"/>
      <c r="H477" s="70"/>
      <c r="I477" s="70"/>
      <c r="J477" s="70"/>
      <c r="K477" s="70"/>
      <c r="L477" s="70"/>
    </row>
    <row r="478" spans="1:12" ht="20.25" customHeight="1" x14ac:dyDescent="0.3">
      <c r="A478" s="101"/>
      <c r="B478" s="93"/>
      <c r="C478" s="7"/>
      <c r="D478" s="94"/>
      <c r="E478" s="95"/>
      <c r="F478" s="70"/>
      <c r="G478" s="139"/>
      <c r="H478" s="70"/>
      <c r="I478" s="70"/>
      <c r="J478" s="70"/>
      <c r="K478" s="70"/>
      <c r="L478" s="70"/>
    </row>
    <row r="479" spans="1:12" ht="20.25" customHeight="1" x14ac:dyDescent="0.3">
      <c r="A479" s="101"/>
      <c r="B479" s="93"/>
      <c r="C479" s="7"/>
      <c r="D479" s="94"/>
      <c r="E479" s="95"/>
      <c r="F479" s="70"/>
      <c r="G479" s="139"/>
      <c r="H479" s="70"/>
      <c r="I479" s="70"/>
      <c r="J479" s="70"/>
      <c r="K479" s="70"/>
      <c r="L479" s="70"/>
    </row>
    <row r="480" spans="1:12" ht="20.25" customHeight="1" x14ac:dyDescent="0.3">
      <c r="A480" s="101"/>
      <c r="B480" s="93"/>
      <c r="C480" s="7"/>
      <c r="D480" s="94"/>
      <c r="E480" s="95"/>
      <c r="F480" s="70"/>
      <c r="G480" s="139"/>
      <c r="H480" s="70"/>
      <c r="I480" s="70"/>
      <c r="J480" s="70"/>
      <c r="K480" s="70"/>
      <c r="L480" s="70"/>
    </row>
    <row r="481" spans="1:12" ht="20.25" customHeight="1" x14ac:dyDescent="0.3">
      <c r="A481" s="101"/>
      <c r="B481" s="93"/>
      <c r="C481" s="7"/>
      <c r="D481" s="94"/>
      <c r="E481" s="95"/>
      <c r="F481" s="70"/>
      <c r="G481" s="139"/>
      <c r="H481" s="70"/>
      <c r="I481" s="70"/>
      <c r="J481" s="70"/>
      <c r="K481" s="70"/>
      <c r="L481" s="70"/>
    </row>
    <row r="482" spans="1:12" ht="20.25" customHeight="1" x14ac:dyDescent="0.3">
      <c r="A482" s="101"/>
      <c r="B482" s="93"/>
      <c r="C482" s="7"/>
      <c r="D482" s="94"/>
      <c r="E482" s="95"/>
      <c r="F482" s="70"/>
      <c r="G482" s="139"/>
      <c r="H482" s="70"/>
      <c r="I482" s="70"/>
      <c r="J482" s="70"/>
      <c r="K482" s="70"/>
      <c r="L482" s="70"/>
    </row>
    <row r="483" spans="1:12" ht="20.25" customHeight="1" x14ac:dyDescent="0.3">
      <c r="A483" s="101"/>
      <c r="B483" s="93"/>
      <c r="C483" s="7"/>
      <c r="D483" s="94"/>
      <c r="E483" s="95"/>
      <c r="F483" s="70"/>
      <c r="G483" s="139"/>
      <c r="H483" s="70"/>
      <c r="I483" s="70"/>
      <c r="J483" s="70"/>
      <c r="K483" s="70"/>
      <c r="L483" s="70"/>
    </row>
    <row r="484" spans="1:12" ht="20.25" customHeight="1" x14ac:dyDescent="0.3">
      <c r="A484" s="101"/>
      <c r="B484" s="93"/>
      <c r="C484" s="7"/>
      <c r="D484" s="94"/>
      <c r="E484" s="95"/>
      <c r="F484" s="70"/>
      <c r="G484" s="139"/>
      <c r="H484" s="70"/>
      <c r="I484" s="70"/>
      <c r="J484" s="70"/>
      <c r="K484" s="70"/>
      <c r="L484" s="70"/>
    </row>
    <row r="485" spans="1:12" ht="20.25" customHeight="1" x14ac:dyDescent="0.3">
      <c r="A485" s="101"/>
      <c r="B485" s="93"/>
      <c r="C485" s="7"/>
      <c r="D485" s="94"/>
      <c r="E485" s="95"/>
      <c r="F485" s="70"/>
      <c r="G485" s="139"/>
      <c r="H485" s="70"/>
      <c r="I485" s="70"/>
      <c r="J485" s="70"/>
      <c r="K485" s="70"/>
      <c r="L485" s="70"/>
    </row>
    <row r="486" spans="1:12" ht="20.25" customHeight="1" x14ac:dyDescent="0.3">
      <c r="A486" s="101"/>
      <c r="B486" s="93"/>
      <c r="C486" s="7"/>
      <c r="D486" s="94"/>
      <c r="E486" s="95"/>
      <c r="F486" s="70"/>
      <c r="G486" s="139"/>
      <c r="H486" s="70"/>
      <c r="I486" s="70"/>
      <c r="J486" s="70"/>
      <c r="K486" s="70"/>
      <c r="L486" s="70"/>
    </row>
    <row r="487" spans="1:12" ht="20.25" customHeight="1" x14ac:dyDescent="0.3">
      <c r="A487" s="101"/>
      <c r="B487" s="93"/>
      <c r="C487" s="7"/>
      <c r="D487" s="94"/>
      <c r="E487" s="95"/>
      <c r="F487" s="70"/>
      <c r="G487" s="139"/>
      <c r="H487" s="70"/>
      <c r="I487" s="70"/>
      <c r="J487" s="70"/>
      <c r="K487" s="70"/>
      <c r="L487" s="70"/>
    </row>
    <row r="488" spans="1:12" ht="20.25" customHeight="1" x14ac:dyDescent="0.3">
      <c r="A488" s="101"/>
      <c r="B488" s="93"/>
      <c r="C488" s="7"/>
      <c r="D488" s="94"/>
      <c r="E488" s="95"/>
      <c r="F488" s="70"/>
      <c r="G488" s="139"/>
      <c r="H488" s="70"/>
      <c r="I488" s="70"/>
      <c r="J488" s="70"/>
      <c r="K488" s="70"/>
      <c r="L488" s="70"/>
    </row>
    <row r="489" spans="1:12" ht="20.25" customHeight="1" x14ac:dyDescent="0.3">
      <c r="A489" s="101"/>
      <c r="B489" s="93"/>
      <c r="C489" s="7"/>
      <c r="D489" s="94"/>
      <c r="E489" s="95"/>
      <c r="F489" s="70"/>
      <c r="G489" s="139"/>
      <c r="H489" s="70"/>
      <c r="I489" s="70"/>
      <c r="J489" s="70"/>
      <c r="K489" s="70"/>
      <c r="L489" s="70"/>
    </row>
    <row r="490" spans="1:12" ht="20.25" customHeight="1" x14ac:dyDescent="0.3">
      <c r="A490" s="101"/>
      <c r="B490" s="93"/>
      <c r="C490" s="7"/>
      <c r="D490" s="94"/>
      <c r="E490" s="95"/>
      <c r="F490" s="70"/>
      <c r="G490" s="139"/>
      <c r="H490" s="70"/>
      <c r="I490" s="70"/>
      <c r="J490" s="70"/>
      <c r="K490" s="70"/>
      <c r="L490" s="70"/>
    </row>
    <row r="491" spans="1:12" ht="20.25" customHeight="1" x14ac:dyDescent="0.3">
      <c r="A491" s="101"/>
      <c r="B491" s="93"/>
      <c r="C491" s="7"/>
      <c r="D491" s="94"/>
      <c r="E491" s="95"/>
      <c r="F491" s="70"/>
      <c r="G491" s="139"/>
      <c r="H491" s="70"/>
      <c r="I491" s="70"/>
      <c r="J491" s="70"/>
      <c r="K491" s="70"/>
      <c r="L491" s="70"/>
    </row>
    <row r="492" spans="1:12" ht="20.25" customHeight="1" x14ac:dyDescent="0.3">
      <c r="A492" s="101"/>
      <c r="B492" s="93"/>
      <c r="C492" s="7"/>
      <c r="D492" s="94"/>
      <c r="E492" s="95"/>
      <c r="F492" s="70"/>
      <c r="G492" s="139"/>
      <c r="H492" s="70"/>
      <c r="I492" s="70"/>
      <c r="J492" s="70"/>
      <c r="K492" s="70"/>
      <c r="L492" s="70"/>
    </row>
    <row r="493" spans="1:12" ht="20.25" customHeight="1" x14ac:dyDescent="0.3">
      <c r="A493" s="101"/>
      <c r="B493" s="93"/>
      <c r="C493" s="7"/>
      <c r="D493" s="94"/>
      <c r="E493" s="95"/>
      <c r="F493" s="70"/>
      <c r="G493" s="139"/>
      <c r="H493" s="70"/>
      <c r="I493" s="70"/>
      <c r="J493" s="70"/>
      <c r="K493" s="70"/>
      <c r="L493" s="70"/>
    </row>
    <row r="494" spans="1:12" ht="20.25" customHeight="1" x14ac:dyDescent="0.3">
      <c r="A494" s="101"/>
      <c r="B494" s="93"/>
      <c r="C494" s="7"/>
      <c r="D494" s="94"/>
      <c r="E494" s="95"/>
      <c r="F494" s="70"/>
      <c r="G494" s="139"/>
      <c r="H494" s="70"/>
      <c r="I494" s="70"/>
      <c r="J494" s="70"/>
      <c r="K494" s="70"/>
      <c r="L494" s="70"/>
    </row>
    <row r="495" spans="1:12" ht="20.25" customHeight="1" x14ac:dyDescent="0.3">
      <c r="A495" s="101"/>
      <c r="B495" s="93"/>
      <c r="C495" s="7"/>
      <c r="D495" s="94"/>
      <c r="E495" s="95"/>
      <c r="F495" s="70"/>
      <c r="G495" s="139"/>
      <c r="H495" s="70"/>
      <c r="I495" s="70"/>
      <c r="J495" s="70"/>
      <c r="K495" s="70"/>
      <c r="L495" s="70"/>
    </row>
    <row r="496" spans="1:12" ht="20.25" customHeight="1" x14ac:dyDescent="0.3">
      <c r="A496" s="101"/>
      <c r="B496" s="93"/>
      <c r="C496" s="7"/>
      <c r="D496" s="94"/>
      <c r="E496" s="95"/>
      <c r="F496" s="70"/>
      <c r="G496" s="139"/>
      <c r="H496" s="70"/>
      <c r="I496" s="70"/>
      <c r="J496" s="70"/>
      <c r="K496" s="70"/>
      <c r="L496" s="70"/>
    </row>
    <row r="497" spans="1:12" ht="20.25" customHeight="1" x14ac:dyDescent="0.3">
      <c r="A497" s="101"/>
      <c r="B497" s="93"/>
      <c r="C497" s="7"/>
      <c r="D497" s="94"/>
      <c r="E497" s="95"/>
      <c r="F497" s="70"/>
      <c r="G497" s="139"/>
      <c r="H497" s="70"/>
      <c r="I497" s="70"/>
      <c r="J497" s="70"/>
      <c r="K497" s="70"/>
      <c r="L497" s="70"/>
    </row>
    <row r="498" spans="1:12" ht="20.25" customHeight="1" x14ac:dyDescent="0.3">
      <c r="A498" s="101"/>
      <c r="B498" s="93"/>
      <c r="C498" s="7"/>
      <c r="D498" s="94"/>
      <c r="E498" s="95"/>
      <c r="F498" s="70"/>
      <c r="G498" s="139"/>
      <c r="H498" s="70"/>
      <c r="I498" s="70"/>
      <c r="J498" s="70"/>
      <c r="K498" s="70"/>
      <c r="L498" s="70"/>
    </row>
    <row r="499" spans="1:12" ht="20.25" customHeight="1" x14ac:dyDescent="0.3">
      <c r="A499" s="101"/>
      <c r="B499" s="93"/>
      <c r="C499" s="7"/>
      <c r="D499" s="94"/>
      <c r="E499" s="95"/>
      <c r="F499" s="70"/>
      <c r="G499" s="139"/>
      <c r="H499" s="70"/>
      <c r="I499" s="70"/>
      <c r="J499" s="70"/>
      <c r="K499" s="70"/>
      <c r="L499" s="70"/>
    </row>
    <row r="500" spans="1:12" ht="20.25" customHeight="1" x14ac:dyDescent="0.3">
      <c r="A500" s="101"/>
      <c r="B500" s="93"/>
      <c r="C500" s="7"/>
      <c r="D500" s="94"/>
      <c r="E500" s="95"/>
      <c r="F500" s="70"/>
      <c r="G500" s="139"/>
      <c r="H500" s="70"/>
      <c r="I500" s="70"/>
      <c r="J500" s="70"/>
      <c r="K500" s="70"/>
      <c r="L500" s="70"/>
    </row>
    <row r="501" spans="1:12" ht="20.25" customHeight="1" x14ac:dyDescent="0.3">
      <c r="A501" s="101"/>
      <c r="B501" s="93"/>
      <c r="C501" s="7"/>
      <c r="D501" s="94"/>
      <c r="E501" s="95"/>
      <c r="F501" s="70"/>
      <c r="G501" s="139"/>
      <c r="H501" s="70"/>
      <c r="I501" s="70"/>
      <c r="J501" s="70"/>
      <c r="K501" s="70"/>
      <c r="L501" s="70"/>
    </row>
    <row r="502" spans="1:12" ht="20.25" customHeight="1" x14ac:dyDescent="0.3">
      <c r="A502" s="101"/>
      <c r="B502" s="93"/>
      <c r="C502" s="7"/>
      <c r="D502" s="94"/>
      <c r="E502" s="95"/>
      <c r="F502" s="70"/>
      <c r="G502" s="139"/>
      <c r="H502" s="70"/>
      <c r="I502" s="70"/>
      <c r="J502" s="70"/>
      <c r="K502" s="70"/>
      <c r="L502" s="70"/>
    </row>
    <row r="503" spans="1:12" ht="20.25" customHeight="1" x14ac:dyDescent="0.3">
      <c r="A503" s="101"/>
      <c r="B503" s="93"/>
      <c r="C503" s="7"/>
      <c r="D503" s="94"/>
      <c r="E503" s="95"/>
      <c r="F503" s="70"/>
      <c r="G503" s="139"/>
      <c r="H503" s="70"/>
      <c r="I503" s="70"/>
      <c r="J503" s="70"/>
      <c r="K503" s="70"/>
      <c r="L503" s="70"/>
    </row>
    <row r="504" spans="1:12" ht="20.25" customHeight="1" x14ac:dyDescent="0.3">
      <c r="A504" s="101"/>
      <c r="B504" s="93"/>
      <c r="C504" s="7"/>
      <c r="D504" s="94"/>
      <c r="E504" s="95"/>
      <c r="F504" s="70"/>
      <c r="G504" s="139"/>
      <c r="H504" s="70"/>
      <c r="I504" s="70"/>
      <c r="J504" s="70"/>
      <c r="K504" s="70"/>
      <c r="L504" s="70"/>
    </row>
    <row r="505" spans="1:12" ht="20.25" customHeight="1" x14ac:dyDescent="0.3">
      <c r="A505" s="101"/>
      <c r="B505" s="93"/>
      <c r="C505" s="7"/>
      <c r="D505" s="94"/>
      <c r="E505" s="95"/>
      <c r="F505" s="70"/>
      <c r="G505" s="139"/>
      <c r="H505" s="70"/>
      <c r="I505" s="70"/>
      <c r="J505" s="70"/>
      <c r="K505" s="70"/>
      <c r="L505" s="70"/>
    </row>
    <row r="506" spans="1:12" ht="20.25" customHeight="1" x14ac:dyDescent="0.3">
      <c r="A506" s="101"/>
      <c r="B506" s="93"/>
      <c r="C506" s="7"/>
      <c r="D506" s="94"/>
      <c r="E506" s="95"/>
      <c r="F506" s="70"/>
      <c r="G506" s="139"/>
      <c r="H506" s="70"/>
      <c r="I506" s="70"/>
      <c r="J506" s="70"/>
      <c r="K506" s="70"/>
      <c r="L506" s="70"/>
    </row>
    <row r="507" spans="1:12" ht="20.25" customHeight="1" x14ac:dyDescent="0.3">
      <c r="A507" s="101"/>
      <c r="B507" s="93"/>
      <c r="C507" s="7"/>
      <c r="D507" s="94"/>
      <c r="E507" s="95"/>
      <c r="F507" s="70"/>
      <c r="G507" s="139"/>
      <c r="H507" s="70"/>
      <c r="I507" s="70"/>
      <c r="J507" s="70"/>
      <c r="K507" s="70"/>
      <c r="L507" s="70"/>
    </row>
    <row r="508" spans="1:12" ht="20.25" customHeight="1" x14ac:dyDescent="0.3">
      <c r="A508" s="101"/>
      <c r="B508" s="93"/>
      <c r="C508" s="7"/>
      <c r="D508" s="94"/>
      <c r="E508" s="95"/>
      <c r="F508" s="70"/>
      <c r="G508" s="139"/>
      <c r="H508" s="70"/>
      <c r="I508" s="70"/>
      <c r="J508" s="70"/>
      <c r="K508" s="70"/>
      <c r="L508" s="70"/>
    </row>
    <row r="509" spans="1:12" ht="20.25" customHeight="1" x14ac:dyDescent="0.3">
      <c r="A509" s="101"/>
      <c r="B509" s="93"/>
      <c r="C509" s="7"/>
      <c r="D509" s="94"/>
      <c r="E509" s="95"/>
      <c r="F509" s="70"/>
      <c r="G509" s="139"/>
      <c r="H509" s="70"/>
      <c r="I509" s="70"/>
      <c r="J509" s="70"/>
      <c r="K509" s="70"/>
      <c r="L509" s="70"/>
    </row>
    <row r="510" spans="1:12" ht="20.25" customHeight="1" x14ac:dyDescent="0.3">
      <c r="A510" s="101"/>
      <c r="B510" s="93"/>
      <c r="C510" s="7"/>
      <c r="D510" s="94"/>
      <c r="E510" s="95"/>
      <c r="F510" s="70"/>
      <c r="G510" s="139"/>
      <c r="H510" s="70"/>
      <c r="I510" s="70"/>
      <c r="J510" s="70"/>
      <c r="K510" s="70"/>
      <c r="L510" s="70"/>
    </row>
    <row r="511" spans="1:12" ht="20.25" customHeight="1" x14ac:dyDescent="0.3">
      <c r="A511" s="101"/>
      <c r="B511" s="93"/>
      <c r="C511" s="7"/>
      <c r="D511" s="94"/>
      <c r="E511" s="95"/>
      <c r="F511" s="70"/>
      <c r="G511" s="139"/>
      <c r="H511" s="70"/>
      <c r="I511" s="70"/>
      <c r="J511" s="70"/>
      <c r="K511" s="70"/>
      <c r="L511" s="70"/>
    </row>
    <row r="512" spans="1:12" ht="20.25" customHeight="1" x14ac:dyDescent="0.3">
      <c r="A512" s="101"/>
      <c r="B512" s="93"/>
      <c r="C512" s="7"/>
      <c r="D512" s="94"/>
      <c r="E512" s="95"/>
      <c r="F512" s="70"/>
      <c r="G512" s="139"/>
      <c r="H512" s="70"/>
      <c r="I512" s="70"/>
      <c r="J512" s="70"/>
      <c r="K512" s="70"/>
      <c r="L512" s="70"/>
    </row>
    <row r="513" spans="1:12" ht="20.25" customHeight="1" x14ac:dyDescent="0.3">
      <c r="A513" s="101"/>
      <c r="B513" s="93"/>
      <c r="C513" s="7"/>
      <c r="D513" s="94"/>
      <c r="E513" s="95"/>
      <c r="F513" s="70"/>
      <c r="G513" s="139"/>
      <c r="H513" s="70"/>
      <c r="I513" s="70"/>
      <c r="J513" s="70"/>
      <c r="K513" s="70"/>
      <c r="L513" s="70"/>
    </row>
    <row r="514" spans="1:12" ht="20.25" customHeight="1" x14ac:dyDescent="0.3">
      <c r="A514" s="101"/>
      <c r="B514" s="93"/>
      <c r="C514" s="7"/>
      <c r="D514" s="94"/>
      <c r="E514" s="95"/>
      <c r="F514" s="70"/>
      <c r="G514" s="139"/>
      <c r="H514" s="70"/>
      <c r="I514" s="70"/>
      <c r="J514" s="70"/>
      <c r="K514" s="70"/>
      <c r="L514" s="70"/>
    </row>
    <row r="515" spans="1:12" ht="20.25" customHeight="1" x14ac:dyDescent="0.3">
      <c r="A515" s="101"/>
      <c r="B515" s="93"/>
      <c r="C515" s="7"/>
      <c r="D515" s="94"/>
      <c r="E515" s="95"/>
      <c r="F515" s="70"/>
      <c r="G515" s="139"/>
      <c r="H515" s="70"/>
      <c r="I515" s="70"/>
      <c r="J515" s="70"/>
      <c r="K515" s="70"/>
      <c r="L515" s="70"/>
    </row>
    <row r="516" spans="1:12" ht="20.25" customHeight="1" x14ac:dyDescent="0.3">
      <c r="A516" s="101"/>
      <c r="B516" s="93"/>
      <c r="C516" s="7"/>
      <c r="D516" s="94"/>
      <c r="E516" s="95"/>
      <c r="F516" s="70"/>
      <c r="G516" s="139"/>
      <c r="H516" s="70"/>
      <c r="I516" s="70"/>
      <c r="J516" s="70"/>
      <c r="K516" s="70"/>
      <c r="L516" s="70"/>
    </row>
    <row r="517" spans="1:12" ht="20.25" customHeight="1" x14ac:dyDescent="0.3">
      <c r="A517" s="101"/>
      <c r="B517" s="93"/>
      <c r="C517" s="7"/>
      <c r="D517" s="94"/>
      <c r="E517" s="95"/>
      <c r="F517" s="70"/>
      <c r="G517" s="139"/>
      <c r="H517" s="70"/>
      <c r="I517" s="70"/>
      <c r="J517" s="70"/>
      <c r="K517" s="70"/>
      <c r="L517" s="70"/>
    </row>
    <row r="518" spans="1:12" ht="20.25" customHeight="1" x14ac:dyDescent="0.3">
      <c r="A518" s="101"/>
      <c r="B518" s="93"/>
      <c r="C518" s="7"/>
      <c r="D518" s="94"/>
      <c r="E518" s="95"/>
      <c r="F518" s="70"/>
      <c r="G518" s="139"/>
      <c r="H518" s="70"/>
      <c r="I518" s="70"/>
      <c r="J518" s="70"/>
      <c r="K518" s="70"/>
      <c r="L518" s="70"/>
    </row>
    <row r="519" spans="1:12" ht="20.25" customHeight="1" x14ac:dyDescent="0.3">
      <c r="A519" s="101"/>
      <c r="B519" s="93"/>
      <c r="C519" s="7"/>
      <c r="D519" s="94"/>
      <c r="E519" s="95"/>
      <c r="F519" s="70"/>
      <c r="G519" s="139"/>
      <c r="H519" s="70"/>
      <c r="I519" s="70"/>
      <c r="J519" s="70"/>
      <c r="K519" s="70"/>
      <c r="L519" s="70"/>
    </row>
    <row r="520" spans="1:12" ht="20.25" customHeight="1" x14ac:dyDescent="0.3">
      <c r="A520" s="101"/>
      <c r="B520" s="93"/>
      <c r="C520" s="7"/>
      <c r="D520" s="94"/>
      <c r="E520" s="95"/>
      <c r="F520" s="70"/>
      <c r="G520" s="139"/>
      <c r="H520" s="70"/>
      <c r="I520" s="70"/>
      <c r="J520" s="70"/>
      <c r="K520" s="70"/>
      <c r="L520" s="70"/>
    </row>
    <row r="521" spans="1:12" ht="20.25" customHeight="1" x14ac:dyDescent="0.3">
      <c r="A521" s="101"/>
      <c r="B521" s="93"/>
      <c r="C521" s="7"/>
      <c r="D521" s="94"/>
      <c r="E521" s="95"/>
      <c r="F521" s="70"/>
      <c r="G521" s="139"/>
      <c r="H521" s="70"/>
      <c r="I521" s="70"/>
      <c r="J521" s="70"/>
      <c r="K521" s="70"/>
      <c r="L521" s="70"/>
    </row>
    <row r="522" spans="1:12" ht="20.25" customHeight="1" x14ac:dyDescent="0.3">
      <c r="A522" s="101"/>
      <c r="B522" s="93"/>
      <c r="C522" s="7"/>
      <c r="D522" s="94"/>
      <c r="E522" s="95"/>
      <c r="F522" s="70"/>
      <c r="G522" s="139"/>
      <c r="H522" s="70"/>
      <c r="I522" s="70"/>
      <c r="J522" s="70"/>
      <c r="K522" s="70"/>
      <c r="L522" s="70"/>
    </row>
    <row r="523" spans="1:12" ht="20.25" customHeight="1" x14ac:dyDescent="0.3">
      <c r="A523" s="101"/>
      <c r="B523" s="93"/>
      <c r="C523" s="7"/>
      <c r="D523" s="94"/>
      <c r="E523" s="95"/>
      <c r="F523" s="70"/>
      <c r="G523" s="139"/>
      <c r="H523" s="70"/>
      <c r="I523" s="70"/>
      <c r="J523" s="70"/>
      <c r="K523" s="70"/>
      <c r="L523" s="70"/>
    </row>
    <row r="524" spans="1:12" ht="20.25" customHeight="1" x14ac:dyDescent="0.3">
      <c r="A524" s="101"/>
      <c r="B524" s="93"/>
      <c r="C524" s="7"/>
      <c r="D524" s="94"/>
      <c r="E524" s="95"/>
      <c r="F524" s="70"/>
      <c r="G524" s="139"/>
      <c r="H524" s="70"/>
      <c r="I524" s="70"/>
      <c r="J524" s="70"/>
      <c r="K524" s="70"/>
      <c r="L524" s="70"/>
    </row>
    <row r="525" spans="1:12" ht="20.25" customHeight="1" x14ac:dyDescent="0.3">
      <c r="A525" s="101"/>
      <c r="B525" s="93"/>
      <c r="C525" s="7"/>
      <c r="D525" s="94"/>
      <c r="E525" s="95"/>
      <c r="F525" s="70"/>
      <c r="G525" s="139"/>
      <c r="H525" s="70"/>
      <c r="I525" s="70"/>
      <c r="J525" s="70"/>
      <c r="K525" s="70"/>
      <c r="L525" s="70"/>
    </row>
    <row r="526" spans="1:12" ht="20.25" customHeight="1" x14ac:dyDescent="0.3">
      <c r="A526" s="101"/>
      <c r="B526" s="93"/>
      <c r="C526" s="7"/>
      <c r="D526" s="94"/>
      <c r="E526" s="95"/>
      <c r="F526" s="70"/>
      <c r="G526" s="139"/>
      <c r="H526" s="70"/>
      <c r="I526" s="70"/>
      <c r="J526" s="70"/>
      <c r="K526" s="70"/>
      <c r="L526" s="70"/>
    </row>
    <row r="527" spans="1:12" ht="20.25" customHeight="1" x14ac:dyDescent="0.3">
      <c r="A527" s="101"/>
      <c r="B527" s="93"/>
      <c r="C527" s="7"/>
      <c r="D527" s="94"/>
      <c r="E527" s="95"/>
      <c r="F527" s="70"/>
      <c r="G527" s="139"/>
      <c r="H527" s="70"/>
      <c r="I527" s="70"/>
      <c r="J527" s="70"/>
      <c r="K527" s="70"/>
      <c r="L527" s="70"/>
    </row>
    <row r="528" spans="1:12" ht="20.25" customHeight="1" x14ac:dyDescent="0.3">
      <c r="A528" s="101"/>
      <c r="B528" s="93"/>
      <c r="C528" s="7"/>
      <c r="D528" s="94"/>
      <c r="E528" s="95"/>
      <c r="F528" s="70"/>
      <c r="G528" s="139"/>
      <c r="H528" s="70"/>
      <c r="I528" s="70"/>
      <c r="J528" s="70"/>
      <c r="K528" s="70"/>
      <c r="L528" s="70"/>
    </row>
    <row r="529" spans="1:12" ht="20.25" customHeight="1" x14ac:dyDescent="0.3">
      <c r="A529" s="101"/>
      <c r="B529" s="93"/>
      <c r="C529" s="7"/>
      <c r="D529" s="94"/>
      <c r="E529" s="95"/>
      <c r="F529" s="70"/>
      <c r="G529" s="139"/>
      <c r="H529" s="70"/>
      <c r="I529" s="70"/>
      <c r="J529" s="70"/>
      <c r="K529" s="70"/>
      <c r="L529" s="70"/>
    </row>
    <row r="530" spans="1:12" ht="20.25" customHeight="1" x14ac:dyDescent="0.3">
      <c r="A530" s="101"/>
      <c r="B530" s="93"/>
      <c r="C530" s="7"/>
      <c r="D530" s="94"/>
      <c r="E530" s="95"/>
      <c r="F530" s="70"/>
      <c r="G530" s="139"/>
      <c r="H530" s="70"/>
      <c r="I530" s="70"/>
      <c r="J530" s="70"/>
      <c r="K530" s="70"/>
      <c r="L530" s="70"/>
    </row>
    <row r="531" spans="1:12" ht="20.25" customHeight="1" x14ac:dyDescent="0.3">
      <c r="A531" s="101"/>
      <c r="B531" s="93"/>
      <c r="C531" s="7"/>
      <c r="D531" s="94"/>
      <c r="E531" s="95"/>
      <c r="F531" s="70"/>
      <c r="G531" s="139"/>
      <c r="H531" s="70"/>
      <c r="I531" s="70"/>
      <c r="J531" s="70"/>
      <c r="K531" s="70"/>
      <c r="L531" s="70"/>
    </row>
    <row r="532" spans="1:12" ht="20.25" customHeight="1" x14ac:dyDescent="0.3">
      <c r="A532" s="101"/>
      <c r="B532" s="93"/>
      <c r="C532" s="7"/>
      <c r="D532" s="94"/>
      <c r="E532" s="95"/>
      <c r="F532" s="70"/>
      <c r="G532" s="139"/>
      <c r="H532" s="70"/>
      <c r="I532" s="70"/>
      <c r="J532" s="70"/>
      <c r="K532" s="70"/>
    </row>
    <row r="533" spans="1:12" ht="20.25" customHeight="1" x14ac:dyDescent="0.3">
      <c r="A533" s="101"/>
      <c r="B533" s="93"/>
      <c r="C533" s="7"/>
      <c r="D533" s="94"/>
      <c r="E533" s="95"/>
      <c r="F533" s="70"/>
      <c r="G533" s="139"/>
      <c r="H533" s="70"/>
      <c r="I533" s="70"/>
      <c r="J533" s="70"/>
      <c r="K533" s="70"/>
    </row>
    <row r="534" spans="1:12" ht="20.25" customHeight="1" x14ac:dyDescent="0.3">
      <c r="A534" s="101"/>
      <c r="B534" s="93"/>
      <c r="C534" s="7"/>
      <c r="D534" s="94"/>
      <c r="E534" s="95"/>
      <c r="F534" s="70"/>
      <c r="G534" s="139"/>
      <c r="H534" s="70"/>
      <c r="I534" s="70"/>
      <c r="J534" s="70"/>
      <c r="K534" s="70"/>
    </row>
    <row r="535" spans="1:12" ht="20.25" customHeight="1" x14ac:dyDescent="0.3">
      <c r="A535" s="101"/>
      <c r="B535" s="93"/>
      <c r="C535" s="7"/>
      <c r="D535" s="94"/>
      <c r="E535" s="95"/>
      <c r="F535" s="70"/>
      <c r="G535" s="139"/>
      <c r="H535" s="70"/>
      <c r="I535" s="70"/>
      <c r="J535" s="70"/>
      <c r="K535" s="70"/>
    </row>
    <row r="536" spans="1:12" ht="20.25" customHeight="1" x14ac:dyDescent="0.3">
      <c r="A536" s="101"/>
      <c r="B536" s="93"/>
      <c r="C536" s="7"/>
      <c r="D536" s="94"/>
      <c r="E536" s="95"/>
      <c r="F536" s="70"/>
      <c r="G536" s="139"/>
      <c r="H536" s="70"/>
      <c r="I536" s="70"/>
      <c r="J536" s="70"/>
      <c r="K536" s="70"/>
    </row>
    <row r="537" spans="1:12" ht="20.25" customHeight="1" x14ac:dyDescent="0.3">
      <c r="A537" s="101"/>
      <c r="B537" s="93"/>
      <c r="C537" s="7"/>
      <c r="D537" s="94"/>
      <c r="E537" s="95"/>
      <c r="F537" s="70"/>
      <c r="G537" s="139"/>
      <c r="H537" s="70"/>
      <c r="I537" s="70"/>
      <c r="J537" s="70"/>
      <c r="K537" s="70"/>
    </row>
    <row r="538" spans="1:12" ht="20.25" customHeight="1" x14ac:dyDescent="0.3">
      <c r="A538" s="101"/>
      <c r="B538" s="93"/>
      <c r="C538" s="7"/>
      <c r="D538" s="94"/>
      <c r="E538" s="95"/>
      <c r="F538" s="70"/>
      <c r="G538" s="139"/>
      <c r="H538" s="70"/>
      <c r="I538" s="70"/>
      <c r="J538" s="70"/>
      <c r="K538" s="70"/>
    </row>
    <row r="539" spans="1:12" ht="20.25" customHeight="1" x14ac:dyDescent="0.3">
      <c r="A539" s="101"/>
      <c r="B539" s="93"/>
      <c r="C539" s="7"/>
      <c r="D539" s="94"/>
      <c r="E539" s="95"/>
      <c r="F539" s="70"/>
      <c r="G539" s="138"/>
      <c r="H539" s="70"/>
      <c r="I539" s="70"/>
      <c r="J539" s="70"/>
      <c r="K539" s="70"/>
    </row>
    <row r="540" spans="1:12" ht="20.25" customHeight="1" x14ac:dyDescent="0.3">
      <c r="A540" s="101"/>
      <c r="B540" s="93"/>
      <c r="C540" s="7"/>
      <c r="D540" s="94"/>
      <c r="E540" s="95"/>
      <c r="F540" s="70"/>
      <c r="G540" s="138"/>
      <c r="H540" s="70"/>
      <c r="I540" s="70"/>
      <c r="J540" s="70"/>
      <c r="K540" s="70"/>
    </row>
    <row r="541" spans="1:12" ht="20.25" customHeight="1" x14ac:dyDescent="0.3">
      <c r="A541" s="101"/>
      <c r="B541" s="93"/>
      <c r="C541" s="7"/>
      <c r="D541" s="94"/>
      <c r="E541" s="95"/>
      <c r="F541" s="70"/>
      <c r="G541" s="138"/>
      <c r="H541" s="70"/>
      <c r="I541" s="70"/>
      <c r="J541" s="70"/>
      <c r="K541" s="70"/>
    </row>
    <row r="542" spans="1:12" ht="20.25" customHeight="1" x14ac:dyDescent="0.3">
      <c r="A542" s="101"/>
      <c r="B542" s="93"/>
      <c r="C542" s="7"/>
      <c r="D542" s="94"/>
      <c r="E542" s="95"/>
      <c r="F542" s="70"/>
      <c r="G542" s="138"/>
      <c r="H542" s="70"/>
      <c r="I542" s="70"/>
      <c r="J542" s="70"/>
      <c r="K542" s="70"/>
    </row>
    <row r="543" spans="1:12" ht="20.25" customHeight="1" x14ac:dyDescent="0.3">
      <c r="A543" s="101"/>
      <c r="B543" s="93"/>
      <c r="C543" s="7"/>
      <c r="D543" s="94"/>
      <c r="E543" s="95"/>
      <c r="F543" s="70"/>
      <c r="G543" s="138"/>
      <c r="H543" s="70"/>
      <c r="I543" s="70"/>
      <c r="J543" s="70"/>
      <c r="K543" s="70"/>
    </row>
    <row r="544" spans="1:12" ht="20.25" customHeight="1" x14ac:dyDescent="0.3">
      <c r="A544" s="101"/>
      <c r="B544" s="93"/>
      <c r="C544" s="7"/>
      <c r="D544" s="94"/>
      <c r="E544" s="95"/>
      <c r="F544" s="70"/>
      <c r="G544" s="138"/>
      <c r="H544" s="70"/>
      <c r="I544" s="70"/>
      <c r="J544" s="70"/>
      <c r="K544" s="70"/>
    </row>
    <row r="545" spans="1:11" ht="20.25" customHeight="1" x14ac:dyDescent="0.3">
      <c r="A545" s="101"/>
      <c r="B545" s="93"/>
      <c r="C545" s="7"/>
      <c r="D545" s="94"/>
      <c r="E545" s="95"/>
      <c r="F545" s="70"/>
      <c r="G545" s="138"/>
      <c r="H545" s="70"/>
      <c r="I545" s="70"/>
      <c r="J545" s="70"/>
      <c r="K545" s="70"/>
    </row>
    <row r="546" spans="1:11" ht="20.25" customHeight="1" x14ac:dyDescent="0.3">
      <c r="A546" s="101"/>
      <c r="B546" s="93"/>
      <c r="C546" s="7"/>
      <c r="D546" s="94"/>
      <c r="E546" s="95"/>
      <c r="F546" s="70"/>
      <c r="G546" s="138"/>
      <c r="H546" s="70"/>
      <c r="I546" s="70"/>
      <c r="J546" s="70"/>
      <c r="K546" s="70"/>
    </row>
    <row r="547" spans="1:11" ht="20.25" customHeight="1" x14ac:dyDescent="0.3">
      <c r="A547" s="101"/>
      <c r="B547" s="93"/>
      <c r="C547" s="7"/>
      <c r="D547" s="94"/>
      <c r="E547" s="95"/>
      <c r="F547" s="70"/>
      <c r="G547" s="138"/>
      <c r="H547" s="70"/>
      <c r="I547" s="70"/>
      <c r="J547" s="70"/>
      <c r="K547" s="70"/>
    </row>
    <row r="548" spans="1:11" ht="20.25" customHeight="1" x14ac:dyDescent="0.3">
      <c r="A548" s="101"/>
      <c r="B548" s="93"/>
      <c r="C548" s="7"/>
      <c r="D548" s="94"/>
      <c r="E548" s="95"/>
      <c r="F548" s="70"/>
      <c r="G548" s="138"/>
      <c r="H548" s="70"/>
      <c r="I548" s="70"/>
      <c r="J548" s="70"/>
      <c r="K548" s="70"/>
    </row>
    <row r="549" spans="1:11" ht="20.25" customHeight="1" x14ac:dyDescent="0.3">
      <c r="A549" s="101"/>
      <c r="B549" s="93"/>
      <c r="C549" s="7"/>
      <c r="D549" s="94"/>
      <c r="E549" s="95"/>
      <c r="F549" s="70"/>
      <c r="G549" s="138"/>
      <c r="H549" s="70"/>
      <c r="I549" s="70"/>
      <c r="J549" s="70"/>
      <c r="K549" s="70"/>
    </row>
    <row r="550" spans="1:11" ht="20.25" customHeight="1" x14ac:dyDescent="0.3">
      <c r="A550" s="101"/>
      <c r="B550" s="93"/>
      <c r="C550" s="7"/>
      <c r="D550" s="94"/>
      <c r="E550" s="95"/>
      <c r="F550" s="70"/>
      <c r="G550" s="138"/>
      <c r="H550" s="70"/>
      <c r="I550" s="70"/>
      <c r="J550" s="70"/>
      <c r="K550" s="70"/>
    </row>
    <row r="551" spans="1:11" ht="20.25" customHeight="1" x14ac:dyDescent="0.3">
      <c r="A551" s="101"/>
      <c r="B551" s="93"/>
      <c r="C551" s="7"/>
      <c r="D551" s="94"/>
      <c r="E551" s="95"/>
      <c r="F551" s="70"/>
      <c r="G551" s="138"/>
      <c r="H551" s="70"/>
      <c r="I551" s="70"/>
      <c r="J551" s="70"/>
      <c r="K551" s="70"/>
    </row>
    <row r="552" spans="1:11" ht="20.25" customHeight="1" x14ac:dyDescent="0.3">
      <c r="A552" s="101"/>
      <c r="B552" s="93"/>
      <c r="C552" s="7"/>
      <c r="D552" s="94"/>
      <c r="E552" s="95"/>
      <c r="F552" s="70"/>
      <c r="G552" s="138"/>
      <c r="H552" s="70"/>
      <c r="I552" s="70"/>
      <c r="J552" s="70"/>
      <c r="K552" s="70"/>
    </row>
    <row r="553" spans="1:11" ht="20.25" customHeight="1" x14ac:dyDescent="0.3">
      <c r="A553" s="101"/>
      <c r="B553" s="93"/>
      <c r="C553" s="7"/>
      <c r="D553" s="94"/>
      <c r="E553" s="95"/>
      <c r="F553" s="70"/>
      <c r="G553" s="138"/>
      <c r="H553" s="70"/>
      <c r="I553" s="70"/>
      <c r="J553" s="70"/>
      <c r="K553" s="70"/>
    </row>
    <row r="554" spans="1:11" ht="20.25" customHeight="1" x14ac:dyDescent="0.3">
      <c r="A554" s="101"/>
      <c r="B554" s="93"/>
      <c r="C554" s="7"/>
      <c r="D554" s="94"/>
      <c r="E554" s="95"/>
      <c r="F554" s="70"/>
      <c r="G554" s="138"/>
      <c r="H554" s="70"/>
      <c r="I554" s="70"/>
      <c r="J554" s="70"/>
      <c r="K554" s="70"/>
    </row>
    <row r="555" spans="1:11" ht="20.25" customHeight="1" x14ac:dyDescent="0.3">
      <c r="A555" s="101"/>
      <c r="B555" s="93"/>
      <c r="C555" s="7"/>
      <c r="D555" s="94"/>
      <c r="E555" s="95"/>
      <c r="F555" s="70"/>
      <c r="G555" s="138"/>
      <c r="H555" s="70"/>
      <c r="I555" s="70"/>
      <c r="J555" s="70"/>
      <c r="K555" s="70"/>
    </row>
    <row r="556" spans="1:11" ht="20.25" customHeight="1" x14ac:dyDescent="0.3">
      <c r="A556" s="101"/>
      <c r="B556" s="93"/>
      <c r="C556" s="7"/>
      <c r="D556" s="94"/>
      <c r="E556" s="95"/>
      <c r="F556" s="70"/>
      <c r="G556" s="138"/>
      <c r="H556" s="70"/>
      <c r="I556" s="70"/>
      <c r="J556" s="70"/>
      <c r="K556" s="70"/>
    </row>
    <row r="557" spans="1:11" ht="20.25" customHeight="1" x14ac:dyDescent="0.3">
      <c r="A557" s="101"/>
      <c r="B557" s="93"/>
      <c r="C557" s="7"/>
      <c r="D557" s="94"/>
      <c r="E557" s="95"/>
      <c r="F557" s="70"/>
      <c r="G557" s="138"/>
      <c r="H557" s="70"/>
      <c r="I557" s="70"/>
      <c r="J557" s="70"/>
      <c r="K557" s="70"/>
    </row>
    <row r="558" spans="1:11" ht="20.25" customHeight="1" x14ac:dyDescent="0.3">
      <c r="A558" s="101"/>
      <c r="B558" s="93"/>
      <c r="C558" s="7"/>
      <c r="D558" s="94"/>
      <c r="E558" s="95"/>
      <c r="F558" s="70"/>
      <c r="G558" s="138"/>
      <c r="H558" s="70"/>
      <c r="I558" s="70"/>
      <c r="J558" s="70"/>
      <c r="K558" s="70"/>
    </row>
    <row r="559" spans="1:11" ht="20.25" customHeight="1" x14ac:dyDescent="0.3">
      <c r="A559" s="101"/>
      <c r="B559" s="93"/>
      <c r="C559" s="7"/>
      <c r="D559" s="94"/>
      <c r="E559" s="95"/>
      <c r="F559" s="70"/>
      <c r="G559" s="138"/>
      <c r="H559" s="70"/>
      <c r="I559" s="70"/>
      <c r="J559" s="70"/>
      <c r="K559" s="70"/>
    </row>
    <row r="560" spans="1:11" ht="20.25" customHeight="1" x14ac:dyDescent="0.3">
      <c r="A560" s="101"/>
      <c r="B560" s="93"/>
      <c r="C560" s="7"/>
      <c r="D560" s="94"/>
      <c r="E560" s="95"/>
      <c r="F560" s="70"/>
      <c r="G560" s="138"/>
      <c r="H560" s="70"/>
      <c r="I560" s="70"/>
      <c r="J560" s="70"/>
      <c r="K560" s="70"/>
    </row>
    <row r="561" spans="1:11" ht="20.25" customHeight="1" x14ac:dyDescent="0.3">
      <c r="A561" s="101"/>
      <c r="B561" s="93"/>
      <c r="C561" s="7"/>
      <c r="D561" s="94"/>
      <c r="E561" s="95"/>
      <c r="F561" s="70"/>
      <c r="G561" s="138"/>
      <c r="H561" s="70"/>
      <c r="I561" s="70"/>
      <c r="J561" s="70"/>
      <c r="K561" s="70"/>
    </row>
    <row r="562" spans="1:11" ht="20.25" customHeight="1" x14ac:dyDescent="0.3">
      <c r="A562" s="101"/>
      <c r="B562" s="93"/>
      <c r="C562" s="7"/>
      <c r="D562" s="94"/>
      <c r="E562" s="95"/>
      <c r="F562" s="70"/>
      <c r="G562" s="138"/>
      <c r="H562" s="70"/>
      <c r="I562" s="70"/>
      <c r="J562" s="70"/>
      <c r="K562" s="70"/>
    </row>
    <row r="563" spans="1:11" ht="20.25" customHeight="1" x14ac:dyDescent="0.3">
      <c r="A563" s="101"/>
      <c r="B563" s="93"/>
      <c r="C563" s="7"/>
      <c r="D563" s="94"/>
      <c r="E563" s="95"/>
      <c r="F563" s="70"/>
      <c r="G563" s="138"/>
      <c r="H563" s="70"/>
      <c r="I563" s="70"/>
      <c r="J563" s="70"/>
      <c r="K563" s="70"/>
    </row>
    <row r="564" spans="1:11" ht="20.25" customHeight="1" x14ac:dyDescent="0.3">
      <c r="A564" s="101"/>
      <c r="B564" s="93"/>
      <c r="C564" s="7"/>
      <c r="D564" s="94"/>
      <c r="E564" s="95"/>
      <c r="F564" s="70"/>
      <c r="G564" s="138"/>
      <c r="H564" s="70"/>
      <c r="I564" s="70"/>
      <c r="J564" s="70"/>
      <c r="K564" s="70"/>
    </row>
    <row r="565" spans="1:11" ht="20.25" customHeight="1" x14ac:dyDescent="0.3">
      <c r="A565" s="101"/>
      <c r="B565" s="93"/>
      <c r="C565" s="7"/>
      <c r="D565" s="94"/>
      <c r="E565" s="95"/>
      <c r="F565" s="70"/>
      <c r="G565" s="138"/>
      <c r="H565" s="70"/>
      <c r="I565" s="70"/>
      <c r="J565" s="70"/>
      <c r="K565" s="70"/>
    </row>
    <row r="566" spans="1:11" ht="20.25" customHeight="1" x14ac:dyDescent="0.3">
      <c r="A566" s="101"/>
      <c r="B566" s="93"/>
      <c r="C566" s="7"/>
      <c r="D566" s="94"/>
      <c r="E566" s="95"/>
      <c r="F566" s="70"/>
      <c r="G566" s="138"/>
      <c r="H566" s="70"/>
      <c r="I566" s="70"/>
      <c r="J566" s="70"/>
      <c r="K566" s="70"/>
    </row>
    <row r="567" spans="1:11" ht="20.25" customHeight="1" x14ac:dyDescent="0.3">
      <c r="A567" s="101"/>
      <c r="B567" s="93"/>
      <c r="C567" s="7"/>
      <c r="D567" s="94"/>
      <c r="E567" s="95"/>
      <c r="F567" s="70"/>
      <c r="G567" s="138"/>
      <c r="H567" s="70"/>
      <c r="I567" s="70"/>
      <c r="J567" s="70"/>
      <c r="K567" s="70"/>
    </row>
    <row r="568" spans="1:11" ht="20.25" customHeight="1" x14ac:dyDescent="0.3">
      <c r="A568" s="101"/>
      <c r="B568" s="93"/>
      <c r="C568" s="7"/>
      <c r="D568" s="94"/>
      <c r="E568" s="95"/>
      <c r="F568" s="70"/>
      <c r="G568" s="138"/>
      <c r="H568" s="70"/>
      <c r="I568" s="70"/>
      <c r="J568" s="70"/>
      <c r="K568" s="70"/>
    </row>
    <row r="569" spans="1:11" ht="20.25" customHeight="1" x14ac:dyDescent="0.3">
      <c r="A569" s="101"/>
      <c r="B569" s="93"/>
      <c r="C569" s="7"/>
      <c r="D569" s="94"/>
      <c r="E569" s="95"/>
      <c r="F569" s="70"/>
      <c r="G569" s="138"/>
      <c r="H569" s="70"/>
      <c r="I569" s="70"/>
      <c r="J569" s="70"/>
      <c r="K569" s="70"/>
    </row>
    <row r="570" spans="1:11" ht="20.25" customHeight="1" x14ac:dyDescent="0.3">
      <c r="A570" s="101"/>
      <c r="B570" s="93"/>
      <c r="C570" s="7"/>
      <c r="D570" s="94"/>
      <c r="E570" s="95"/>
      <c r="F570" s="70"/>
      <c r="G570" s="138"/>
      <c r="H570" s="70"/>
      <c r="I570" s="70"/>
      <c r="J570" s="70"/>
      <c r="K570" s="70"/>
    </row>
    <row r="571" spans="1:11" ht="20.25" customHeight="1" x14ac:dyDescent="0.3">
      <c r="A571" s="101"/>
      <c r="B571" s="93"/>
      <c r="C571" s="7"/>
      <c r="D571" s="94"/>
      <c r="E571" s="95"/>
      <c r="F571" s="70"/>
      <c r="G571" s="138"/>
      <c r="H571" s="70"/>
      <c r="I571" s="70"/>
      <c r="J571" s="70"/>
      <c r="K571" s="70"/>
    </row>
    <row r="572" spans="1:11" ht="20.25" customHeight="1" x14ac:dyDescent="0.3">
      <c r="A572" s="101"/>
      <c r="B572" s="93"/>
      <c r="C572" s="7"/>
      <c r="D572" s="94"/>
      <c r="E572" s="95"/>
      <c r="F572" s="70"/>
      <c r="G572" s="138"/>
      <c r="H572" s="70"/>
      <c r="I572" s="70"/>
      <c r="J572" s="70"/>
      <c r="K572" s="70"/>
    </row>
    <row r="573" spans="1:11" ht="20.25" customHeight="1" x14ac:dyDescent="0.3">
      <c r="A573" s="101"/>
      <c r="B573" s="93"/>
      <c r="C573" s="7"/>
      <c r="D573" s="94"/>
      <c r="E573" s="95"/>
      <c r="F573" s="70"/>
      <c r="G573" s="138"/>
      <c r="H573" s="70"/>
      <c r="I573" s="70"/>
      <c r="J573" s="70"/>
      <c r="K573" s="70"/>
    </row>
    <row r="574" spans="1:11" ht="20.25" customHeight="1" x14ac:dyDescent="0.3">
      <c r="A574" s="101"/>
      <c r="B574" s="93"/>
      <c r="C574" s="7"/>
      <c r="D574" s="94"/>
      <c r="E574" s="95"/>
      <c r="F574" s="70"/>
      <c r="G574" s="138"/>
      <c r="H574" s="70"/>
      <c r="I574" s="70"/>
      <c r="J574" s="70"/>
      <c r="K574" s="70"/>
    </row>
    <row r="575" spans="1:11" ht="20.25" customHeight="1" x14ac:dyDescent="0.3">
      <c r="A575" s="101"/>
      <c r="B575" s="93"/>
      <c r="C575" s="7"/>
      <c r="D575" s="94"/>
      <c r="E575" s="95"/>
      <c r="F575" s="70"/>
      <c r="G575" s="138"/>
      <c r="H575" s="70"/>
      <c r="I575" s="70"/>
      <c r="J575" s="70"/>
      <c r="K575" s="70"/>
    </row>
    <row r="576" spans="1:11" ht="20.25" customHeight="1" x14ac:dyDescent="0.3">
      <c r="A576" s="101"/>
      <c r="B576" s="93"/>
      <c r="C576" s="7"/>
      <c r="D576" s="94"/>
      <c r="E576" s="95"/>
      <c r="F576" s="70"/>
      <c r="G576" s="138"/>
      <c r="H576" s="70"/>
      <c r="I576" s="70"/>
      <c r="J576" s="70"/>
      <c r="K576" s="70"/>
    </row>
    <row r="577" spans="1:11" ht="20.25" customHeight="1" x14ac:dyDescent="0.3">
      <c r="A577" s="101"/>
      <c r="B577" s="93"/>
      <c r="C577" s="7"/>
      <c r="D577" s="94"/>
      <c r="E577" s="95"/>
      <c r="F577" s="70"/>
      <c r="G577" s="138"/>
      <c r="H577" s="70"/>
      <c r="I577" s="70"/>
      <c r="J577" s="70"/>
      <c r="K577" s="70"/>
    </row>
    <row r="578" spans="1:11" ht="20.25" customHeight="1" x14ac:dyDescent="0.3">
      <c r="A578" s="101"/>
      <c r="B578" s="93"/>
      <c r="C578" s="7"/>
      <c r="D578" s="94"/>
      <c r="E578" s="95"/>
      <c r="F578" s="70"/>
      <c r="G578" s="138"/>
      <c r="H578" s="70"/>
      <c r="I578" s="70"/>
      <c r="J578" s="70"/>
      <c r="K578" s="70"/>
    </row>
    <row r="579" spans="1:11" ht="20.25" customHeight="1" x14ac:dyDescent="0.3">
      <c r="A579" s="101"/>
      <c r="B579" s="93"/>
      <c r="C579" s="7"/>
      <c r="D579" s="94"/>
      <c r="E579" s="95"/>
      <c r="F579" s="70"/>
      <c r="G579" s="138"/>
      <c r="H579" s="70"/>
      <c r="I579" s="70"/>
      <c r="J579" s="70"/>
      <c r="K579" s="70"/>
    </row>
    <row r="580" spans="1:11" ht="20.25" customHeight="1" x14ac:dyDescent="0.3">
      <c r="A580" s="101"/>
      <c r="B580" s="93"/>
      <c r="C580" s="7"/>
      <c r="D580" s="94"/>
      <c r="E580" s="95"/>
      <c r="F580" s="70"/>
      <c r="G580" s="138"/>
      <c r="H580" s="70"/>
      <c r="I580" s="70"/>
      <c r="J580" s="70"/>
      <c r="K580" s="70"/>
    </row>
    <row r="581" spans="1:11" ht="20.25" customHeight="1" x14ac:dyDescent="0.3">
      <c r="A581" s="101"/>
      <c r="B581" s="93"/>
      <c r="C581" s="7"/>
      <c r="D581" s="94"/>
      <c r="E581" s="95"/>
      <c r="F581" s="70"/>
      <c r="G581" s="138"/>
      <c r="H581" s="70"/>
      <c r="I581" s="70"/>
      <c r="J581" s="70"/>
      <c r="K581" s="70"/>
    </row>
    <row r="582" spans="1:11" ht="20.25" customHeight="1" x14ac:dyDescent="0.3">
      <c r="A582" s="101"/>
      <c r="B582" s="93"/>
      <c r="C582" s="7"/>
      <c r="D582" s="94"/>
      <c r="E582" s="95"/>
      <c r="F582" s="70"/>
      <c r="G582" s="138"/>
      <c r="H582" s="70"/>
      <c r="I582" s="70"/>
      <c r="J582" s="70"/>
      <c r="K582" s="70"/>
    </row>
    <row r="583" spans="1:11" ht="20.25" customHeight="1" x14ac:dyDescent="0.3">
      <c r="A583" s="101"/>
      <c r="B583" s="93"/>
      <c r="C583" s="7"/>
      <c r="D583" s="94"/>
      <c r="E583" s="95"/>
      <c r="F583" s="70"/>
      <c r="G583" s="138"/>
      <c r="H583" s="70"/>
      <c r="I583" s="70"/>
      <c r="J583" s="70"/>
      <c r="K583" s="70"/>
    </row>
    <row r="584" spans="1:11" ht="20.25" customHeight="1" x14ac:dyDescent="0.3">
      <c r="A584" s="101"/>
      <c r="B584" s="93"/>
      <c r="C584" s="7"/>
      <c r="D584" s="94"/>
      <c r="E584" s="95"/>
      <c r="F584" s="70"/>
      <c r="G584" s="138"/>
      <c r="H584" s="70"/>
      <c r="I584" s="70"/>
      <c r="J584" s="70"/>
      <c r="K584" s="70"/>
    </row>
    <row r="585" spans="1:11" ht="20.25" customHeight="1" x14ac:dyDescent="0.3">
      <c r="A585" s="101"/>
      <c r="B585" s="93"/>
      <c r="C585" s="7"/>
      <c r="D585" s="94"/>
      <c r="E585" s="95"/>
      <c r="F585" s="70"/>
      <c r="G585" s="138"/>
      <c r="H585" s="70"/>
      <c r="I585" s="70"/>
      <c r="J585" s="70"/>
      <c r="K585" s="70"/>
    </row>
    <row r="586" spans="1:11" ht="20.25" customHeight="1" x14ac:dyDescent="0.3">
      <c r="A586" s="101"/>
      <c r="B586" s="93"/>
      <c r="C586" s="7"/>
      <c r="D586" s="94"/>
      <c r="E586" s="95"/>
      <c r="F586" s="70"/>
      <c r="G586" s="138"/>
      <c r="H586" s="70"/>
      <c r="I586" s="70"/>
      <c r="J586" s="70"/>
      <c r="K586" s="70"/>
    </row>
    <row r="587" spans="1:11" ht="20.25" customHeight="1" x14ac:dyDescent="0.3">
      <c r="A587" s="101"/>
      <c r="B587" s="93"/>
      <c r="C587" s="7"/>
      <c r="D587" s="94"/>
      <c r="E587" s="95"/>
      <c r="F587" s="70"/>
      <c r="G587" s="138"/>
      <c r="H587" s="70"/>
      <c r="I587" s="70"/>
      <c r="J587" s="70"/>
      <c r="K587" s="70"/>
    </row>
    <row r="588" spans="1:11" ht="20.25" customHeight="1" x14ac:dyDescent="0.3">
      <c r="A588" s="101"/>
      <c r="B588" s="93"/>
      <c r="C588" s="7"/>
      <c r="D588" s="94"/>
      <c r="E588" s="95"/>
      <c r="F588" s="70"/>
      <c r="G588" s="138"/>
      <c r="H588" s="70"/>
      <c r="I588" s="70"/>
      <c r="J588" s="70"/>
      <c r="K588" s="70"/>
    </row>
    <row r="589" spans="1:11" ht="20.25" customHeight="1" x14ac:dyDescent="0.3">
      <c r="A589" s="101"/>
      <c r="B589" s="93"/>
      <c r="C589" s="7"/>
      <c r="D589" s="94"/>
      <c r="E589" s="95"/>
      <c r="F589" s="70"/>
      <c r="G589" s="138"/>
      <c r="H589" s="70"/>
      <c r="I589" s="70"/>
      <c r="J589" s="70"/>
      <c r="K589" s="70"/>
    </row>
    <row r="590" spans="1:11" ht="20.25" customHeight="1" x14ac:dyDescent="0.3">
      <c r="A590" s="101"/>
      <c r="B590" s="93"/>
      <c r="C590" s="7"/>
      <c r="D590" s="94"/>
      <c r="E590" s="95"/>
      <c r="F590" s="70"/>
      <c r="G590" s="138"/>
      <c r="H590" s="70"/>
      <c r="I590" s="70"/>
      <c r="J590" s="70"/>
      <c r="K590" s="70"/>
    </row>
    <row r="591" spans="1:11" ht="20.25" customHeight="1" x14ac:dyDescent="0.3">
      <c r="A591" s="101"/>
      <c r="B591" s="93"/>
      <c r="C591" s="7"/>
      <c r="D591" s="94"/>
      <c r="E591" s="95"/>
      <c r="F591" s="70"/>
      <c r="G591" s="138"/>
      <c r="H591" s="70"/>
      <c r="I591" s="70"/>
      <c r="J591" s="70"/>
      <c r="K591" s="70"/>
    </row>
    <row r="592" spans="1:11" ht="20.25" customHeight="1" x14ac:dyDescent="0.3">
      <c r="A592" s="101"/>
      <c r="B592" s="93"/>
      <c r="C592" s="7"/>
      <c r="D592" s="94"/>
      <c r="E592" s="95"/>
      <c r="F592" s="70"/>
      <c r="G592" s="138"/>
      <c r="H592" s="70"/>
      <c r="I592" s="70"/>
      <c r="J592" s="70"/>
      <c r="K592" s="70"/>
    </row>
    <row r="593" spans="1:11" ht="20.25" customHeight="1" x14ac:dyDescent="0.3">
      <c r="A593" s="101"/>
      <c r="B593" s="93"/>
      <c r="C593" s="7"/>
      <c r="D593" s="94"/>
      <c r="E593" s="95"/>
      <c r="F593" s="70"/>
      <c r="G593" s="138"/>
      <c r="H593" s="70"/>
      <c r="I593" s="70"/>
      <c r="J593" s="70"/>
      <c r="K593" s="70"/>
    </row>
    <row r="594" spans="1:11" ht="20.25" customHeight="1" x14ac:dyDescent="0.3">
      <c r="A594" s="101"/>
      <c r="B594" s="93"/>
      <c r="C594" s="7"/>
      <c r="D594" s="94"/>
      <c r="E594" s="95"/>
      <c r="F594" s="70"/>
      <c r="G594" s="138"/>
      <c r="H594" s="70"/>
      <c r="I594" s="70"/>
      <c r="J594" s="70"/>
      <c r="K594" s="70"/>
    </row>
    <row r="595" spans="1:11" ht="20.25" customHeight="1" x14ac:dyDescent="0.3">
      <c r="A595" s="101"/>
      <c r="B595" s="93"/>
      <c r="C595" s="7"/>
      <c r="D595" s="94"/>
      <c r="E595" s="95"/>
      <c r="F595" s="70"/>
      <c r="G595" s="138"/>
      <c r="H595" s="70"/>
      <c r="I595" s="70"/>
      <c r="J595" s="70"/>
      <c r="K595" s="70"/>
    </row>
    <row r="596" spans="1:11" ht="20.25" customHeight="1" x14ac:dyDescent="0.3">
      <c r="A596" s="101"/>
      <c r="B596" s="93"/>
      <c r="C596" s="7"/>
      <c r="D596" s="94"/>
      <c r="E596" s="95"/>
      <c r="F596" s="70"/>
      <c r="G596" s="138"/>
      <c r="H596" s="70"/>
      <c r="I596" s="70"/>
      <c r="J596" s="70"/>
      <c r="K596" s="70"/>
    </row>
    <row r="597" spans="1:11" ht="20.25" customHeight="1" x14ac:dyDescent="0.3">
      <c r="A597" s="101"/>
      <c r="B597" s="93"/>
      <c r="C597" s="7"/>
      <c r="D597" s="94"/>
      <c r="E597" s="95"/>
      <c r="F597" s="70"/>
      <c r="G597" s="138"/>
      <c r="H597" s="70"/>
      <c r="I597" s="70"/>
      <c r="J597" s="70"/>
      <c r="K597" s="70"/>
    </row>
    <row r="598" spans="1:11" ht="20.25" customHeight="1" x14ac:dyDescent="0.3">
      <c r="A598" s="101"/>
      <c r="B598" s="93"/>
      <c r="C598" s="7"/>
      <c r="D598" s="94"/>
      <c r="E598" s="95"/>
      <c r="F598" s="70"/>
      <c r="G598" s="138"/>
      <c r="H598" s="70"/>
      <c r="I598" s="70"/>
      <c r="J598" s="70"/>
      <c r="K598" s="70"/>
    </row>
    <row r="599" spans="1:11" ht="20.25" customHeight="1" x14ac:dyDescent="0.3">
      <c r="A599" s="101"/>
      <c r="B599" s="93"/>
      <c r="C599" s="7"/>
      <c r="D599" s="94"/>
      <c r="E599" s="95"/>
      <c r="F599" s="70"/>
      <c r="G599" s="138"/>
      <c r="H599" s="70"/>
      <c r="I599" s="70"/>
      <c r="J599" s="70"/>
      <c r="K599" s="70"/>
    </row>
    <row r="600" spans="1:11" ht="20.25" customHeight="1" x14ac:dyDescent="0.3">
      <c r="A600" s="101"/>
      <c r="B600" s="93"/>
      <c r="C600" s="7"/>
      <c r="D600" s="94"/>
      <c r="E600" s="95"/>
      <c r="F600" s="70"/>
      <c r="G600" s="138"/>
      <c r="H600" s="70"/>
      <c r="I600" s="70"/>
      <c r="J600" s="70"/>
      <c r="K600" s="70"/>
    </row>
    <row r="601" spans="1:11" ht="20.25" customHeight="1" x14ac:dyDescent="0.3">
      <c r="A601" s="101"/>
      <c r="B601" s="93"/>
      <c r="C601" s="7"/>
      <c r="D601" s="94"/>
      <c r="E601" s="95"/>
      <c r="F601" s="70"/>
      <c r="G601" s="138"/>
      <c r="H601" s="70"/>
      <c r="I601" s="70"/>
      <c r="J601" s="70"/>
      <c r="K601" s="70"/>
    </row>
    <row r="602" spans="1:11" ht="20.25" customHeight="1" x14ac:dyDescent="0.3">
      <c r="A602" s="101"/>
      <c r="B602" s="93"/>
      <c r="C602" s="7"/>
      <c r="D602" s="94"/>
      <c r="E602" s="95"/>
      <c r="F602" s="70"/>
      <c r="G602" s="138"/>
      <c r="H602" s="70"/>
      <c r="I602" s="70"/>
      <c r="J602" s="70"/>
      <c r="K602" s="70"/>
    </row>
    <row r="603" spans="1:11" ht="20.25" customHeight="1" x14ac:dyDescent="0.3">
      <c r="A603" s="101"/>
      <c r="B603" s="93"/>
      <c r="C603" s="7"/>
      <c r="D603" s="94"/>
      <c r="E603" s="95"/>
      <c r="F603" s="70"/>
      <c r="G603" s="138"/>
      <c r="H603" s="70"/>
      <c r="I603" s="70"/>
      <c r="J603" s="70"/>
      <c r="K603" s="70"/>
    </row>
    <row r="604" spans="1:11" ht="20.25" customHeight="1" x14ac:dyDescent="0.3">
      <c r="A604" s="101"/>
      <c r="B604" s="93"/>
      <c r="C604" s="7"/>
      <c r="D604" s="94"/>
      <c r="E604" s="95"/>
      <c r="F604" s="70"/>
      <c r="G604" s="138"/>
      <c r="H604" s="70"/>
      <c r="I604" s="70"/>
      <c r="J604" s="70"/>
      <c r="K604" s="70"/>
    </row>
    <row r="605" spans="1:11" ht="20.25" customHeight="1" x14ac:dyDescent="0.3">
      <c r="A605" s="101"/>
      <c r="B605" s="93"/>
      <c r="C605" s="7"/>
      <c r="D605" s="94"/>
      <c r="E605" s="95"/>
      <c r="F605" s="70"/>
      <c r="G605" s="138"/>
      <c r="H605" s="70"/>
      <c r="I605" s="70"/>
      <c r="J605" s="70"/>
      <c r="K605" s="70"/>
    </row>
    <row r="606" spans="1:11" ht="20.25" customHeight="1" x14ac:dyDescent="0.3">
      <c r="A606" s="101"/>
      <c r="B606" s="93"/>
      <c r="C606" s="7"/>
      <c r="D606" s="94"/>
      <c r="E606" s="95"/>
      <c r="F606" s="70"/>
      <c r="G606" s="138"/>
      <c r="H606" s="70"/>
      <c r="I606" s="70"/>
      <c r="J606" s="70"/>
      <c r="K606" s="70"/>
    </row>
    <row r="607" spans="1:11" ht="20.25" customHeight="1" x14ac:dyDescent="0.3">
      <c r="A607" s="101"/>
      <c r="B607" s="93"/>
      <c r="C607" s="7"/>
      <c r="D607" s="94"/>
      <c r="E607" s="95"/>
      <c r="F607" s="70"/>
      <c r="G607" s="138"/>
      <c r="H607" s="70"/>
      <c r="I607" s="70"/>
      <c r="J607" s="70"/>
      <c r="K607" s="70"/>
    </row>
    <row r="608" spans="1:11" ht="20.25" customHeight="1" x14ac:dyDescent="0.3">
      <c r="A608" s="101"/>
      <c r="B608" s="93"/>
      <c r="C608" s="7"/>
      <c r="D608" s="94"/>
      <c r="E608" s="95"/>
      <c r="F608" s="70"/>
      <c r="G608" s="138"/>
      <c r="H608" s="70"/>
      <c r="I608" s="70"/>
      <c r="J608" s="70"/>
      <c r="K608" s="70"/>
    </row>
    <row r="609" spans="1:11" ht="20.25" customHeight="1" x14ac:dyDescent="0.3">
      <c r="A609" s="101"/>
      <c r="B609" s="93"/>
      <c r="C609" s="7"/>
      <c r="D609" s="94"/>
      <c r="E609" s="95"/>
      <c r="F609" s="70"/>
      <c r="G609" s="138"/>
      <c r="H609" s="70"/>
      <c r="I609" s="70"/>
      <c r="J609" s="70"/>
      <c r="K609" s="70"/>
    </row>
    <row r="610" spans="1:11" ht="20.25" customHeight="1" x14ac:dyDescent="0.3">
      <c r="A610" s="101"/>
      <c r="B610" s="93"/>
      <c r="C610" s="7"/>
      <c r="D610" s="94"/>
      <c r="E610" s="95"/>
      <c r="F610" s="70"/>
      <c r="G610" s="138"/>
      <c r="H610" s="70"/>
      <c r="I610" s="70"/>
      <c r="J610" s="70"/>
      <c r="K610" s="70"/>
    </row>
    <row r="611" spans="1:11" ht="20.25" customHeight="1" x14ac:dyDescent="0.3">
      <c r="A611" s="101"/>
      <c r="B611" s="93"/>
      <c r="C611" s="7"/>
      <c r="D611" s="94"/>
      <c r="E611" s="95"/>
      <c r="F611" s="70"/>
      <c r="G611" s="138"/>
      <c r="H611" s="70"/>
      <c r="I611" s="70"/>
      <c r="J611" s="70"/>
      <c r="K611" s="70"/>
    </row>
    <row r="612" spans="1:11" ht="20.25" customHeight="1" x14ac:dyDescent="0.3">
      <c r="A612" s="101"/>
      <c r="B612" s="93"/>
      <c r="C612" s="7"/>
      <c r="D612" s="94"/>
      <c r="E612" s="95"/>
      <c r="F612" s="70"/>
      <c r="G612" s="138"/>
      <c r="H612" s="70"/>
      <c r="I612" s="70"/>
      <c r="J612" s="70"/>
      <c r="K612" s="70"/>
    </row>
    <row r="613" spans="1:11" ht="20.25" customHeight="1" x14ac:dyDescent="0.3">
      <c r="A613" s="101"/>
      <c r="B613" s="93"/>
      <c r="C613" s="7"/>
      <c r="D613" s="94"/>
      <c r="E613" s="95"/>
      <c r="F613" s="70"/>
      <c r="G613" s="138"/>
      <c r="H613" s="70"/>
      <c r="I613" s="70"/>
      <c r="J613" s="70"/>
      <c r="K613" s="70"/>
    </row>
    <row r="614" spans="1:11" ht="20.25" customHeight="1" x14ac:dyDescent="0.3">
      <c r="A614" s="101"/>
      <c r="B614" s="93"/>
      <c r="C614" s="7"/>
      <c r="D614" s="94"/>
      <c r="E614" s="95"/>
      <c r="F614" s="70"/>
      <c r="G614" s="138"/>
      <c r="H614" s="70"/>
      <c r="I614" s="70"/>
      <c r="J614" s="70"/>
      <c r="K614" s="70"/>
    </row>
    <row r="615" spans="1:11" ht="20.25" customHeight="1" x14ac:dyDescent="0.3">
      <c r="A615" s="101"/>
      <c r="B615" s="93"/>
      <c r="C615" s="7"/>
      <c r="D615" s="94"/>
      <c r="E615" s="95"/>
      <c r="F615" s="70"/>
      <c r="G615" s="138"/>
      <c r="H615" s="70"/>
      <c r="I615" s="70"/>
      <c r="J615" s="70"/>
      <c r="K615" s="70"/>
    </row>
    <row r="616" spans="1:11" ht="20.25" customHeight="1" x14ac:dyDescent="0.3">
      <c r="A616" s="101"/>
      <c r="B616" s="93"/>
      <c r="C616" s="7"/>
      <c r="D616" s="94"/>
      <c r="E616" s="95"/>
      <c r="F616" s="70"/>
      <c r="G616" s="138"/>
      <c r="H616" s="70"/>
      <c r="I616" s="70"/>
      <c r="J616" s="70"/>
      <c r="K616" s="70"/>
    </row>
    <row r="617" spans="1:11" ht="20.25" customHeight="1" x14ac:dyDescent="0.3">
      <c r="A617" s="101"/>
      <c r="B617" s="93"/>
      <c r="C617" s="7"/>
      <c r="D617" s="94"/>
      <c r="E617" s="95"/>
      <c r="F617" s="70"/>
      <c r="G617" s="138"/>
      <c r="H617" s="70"/>
      <c r="I617" s="70"/>
      <c r="J617" s="70"/>
      <c r="K617" s="70"/>
    </row>
    <row r="618" spans="1:11" ht="20.25" customHeight="1" x14ac:dyDescent="0.3">
      <c r="A618" s="101"/>
      <c r="B618" s="93"/>
      <c r="C618" s="7"/>
      <c r="D618" s="94"/>
      <c r="E618" s="95"/>
      <c r="F618" s="70"/>
      <c r="G618" s="138"/>
      <c r="H618" s="70"/>
      <c r="I618" s="70"/>
      <c r="J618" s="70"/>
      <c r="K618" s="70"/>
    </row>
    <row r="619" spans="1:11" ht="20.25" customHeight="1" x14ac:dyDescent="0.3">
      <c r="A619" s="101"/>
      <c r="B619" s="93"/>
      <c r="C619" s="7"/>
      <c r="D619" s="94"/>
      <c r="E619" s="95"/>
      <c r="F619" s="70"/>
      <c r="G619" s="138"/>
      <c r="H619" s="70"/>
      <c r="I619" s="70"/>
      <c r="J619" s="70"/>
      <c r="K619" s="70"/>
    </row>
    <row r="620" spans="1:11" ht="20.25" customHeight="1" x14ac:dyDescent="0.3">
      <c r="A620" s="101"/>
      <c r="B620" s="93"/>
      <c r="C620" s="7"/>
      <c r="D620" s="94"/>
      <c r="E620" s="95"/>
      <c r="F620" s="70"/>
      <c r="G620" s="138"/>
      <c r="H620" s="70"/>
      <c r="I620" s="70"/>
      <c r="J620" s="70"/>
      <c r="K620" s="70"/>
    </row>
    <row r="621" spans="1:11" ht="20.25" customHeight="1" x14ac:dyDescent="0.3">
      <c r="A621" s="101"/>
      <c r="B621" s="93"/>
      <c r="C621" s="7"/>
      <c r="D621" s="94"/>
      <c r="E621" s="95"/>
      <c r="F621" s="70"/>
      <c r="G621" s="138"/>
      <c r="H621" s="70"/>
      <c r="I621" s="70"/>
      <c r="J621" s="70"/>
      <c r="K621" s="70"/>
    </row>
    <row r="622" spans="1:11" ht="20.25" customHeight="1" x14ac:dyDescent="0.3">
      <c r="A622" s="101"/>
      <c r="B622" s="93"/>
      <c r="C622" s="7"/>
      <c r="D622" s="94"/>
      <c r="E622" s="95"/>
      <c r="F622" s="70"/>
      <c r="G622" s="138"/>
      <c r="H622" s="70"/>
      <c r="I622" s="70"/>
      <c r="J622" s="70"/>
      <c r="K622" s="70"/>
    </row>
    <row r="623" spans="1:11" ht="20.25" customHeight="1" x14ac:dyDescent="0.3">
      <c r="A623" s="101"/>
      <c r="B623" s="93"/>
      <c r="C623" s="7"/>
      <c r="D623" s="94"/>
      <c r="E623" s="95"/>
      <c r="F623" s="70"/>
      <c r="G623" s="138"/>
      <c r="H623" s="70"/>
      <c r="I623" s="70"/>
      <c r="J623" s="70"/>
      <c r="K623" s="70"/>
    </row>
    <row r="624" spans="1:11" ht="20.25" customHeight="1" x14ac:dyDescent="0.3">
      <c r="A624" s="101"/>
      <c r="B624" s="93"/>
      <c r="C624" s="7"/>
      <c r="D624" s="94"/>
      <c r="E624" s="95"/>
      <c r="F624" s="70"/>
      <c r="G624" s="138"/>
      <c r="H624" s="70"/>
      <c r="I624" s="70"/>
      <c r="J624" s="70"/>
      <c r="K624" s="70"/>
    </row>
    <row r="625" spans="1:11" ht="20.25" customHeight="1" x14ac:dyDescent="0.3">
      <c r="A625" s="101"/>
      <c r="B625" s="93"/>
      <c r="C625" s="7"/>
      <c r="D625" s="94"/>
      <c r="E625" s="95"/>
      <c r="F625" s="70"/>
      <c r="G625" s="138"/>
      <c r="H625" s="70"/>
      <c r="I625" s="70"/>
      <c r="J625" s="70"/>
      <c r="K625" s="70"/>
    </row>
    <row r="626" spans="1:11" ht="20.25" customHeight="1" x14ac:dyDescent="0.3">
      <c r="A626" s="101"/>
      <c r="B626" s="93"/>
      <c r="C626" s="7"/>
      <c r="D626" s="94"/>
      <c r="E626" s="95"/>
      <c r="F626" s="70"/>
      <c r="G626" s="138"/>
      <c r="H626" s="70"/>
      <c r="I626" s="70"/>
      <c r="J626" s="70"/>
      <c r="K626" s="70"/>
    </row>
    <row r="627" spans="1:11" ht="20.25" customHeight="1" x14ac:dyDescent="0.3">
      <c r="A627" s="101"/>
      <c r="B627" s="93"/>
      <c r="C627" s="7"/>
      <c r="D627" s="94"/>
      <c r="E627" s="95"/>
      <c r="F627" s="70"/>
      <c r="G627" s="138"/>
      <c r="H627" s="70"/>
      <c r="I627" s="70"/>
      <c r="J627" s="70"/>
      <c r="K627" s="70"/>
    </row>
    <row r="628" spans="1:11" ht="20.25" customHeight="1" x14ac:dyDescent="0.3">
      <c r="A628" s="101"/>
      <c r="B628" s="93"/>
      <c r="C628" s="7"/>
      <c r="D628" s="94"/>
      <c r="E628" s="95"/>
      <c r="F628" s="70"/>
      <c r="G628" s="138"/>
      <c r="H628" s="70"/>
      <c r="I628" s="70"/>
      <c r="J628" s="70"/>
      <c r="K628" s="70"/>
    </row>
    <row r="629" spans="1:11" ht="20.25" customHeight="1" x14ac:dyDescent="0.3">
      <c r="A629" s="101"/>
      <c r="B629" s="93"/>
      <c r="C629" s="7"/>
      <c r="D629" s="94"/>
      <c r="E629" s="95"/>
      <c r="F629" s="70"/>
      <c r="G629" s="138"/>
      <c r="H629" s="70"/>
      <c r="I629" s="70"/>
      <c r="J629" s="70"/>
      <c r="K629" s="70"/>
    </row>
    <row r="630" spans="1:11" ht="20.25" customHeight="1" x14ac:dyDescent="0.3">
      <c r="A630" s="101"/>
      <c r="B630" s="93"/>
      <c r="C630" s="7"/>
      <c r="D630" s="94"/>
      <c r="E630" s="95"/>
      <c r="F630" s="70"/>
      <c r="G630" s="138"/>
      <c r="H630" s="70"/>
      <c r="I630" s="70"/>
      <c r="J630" s="70"/>
      <c r="K630" s="70"/>
    </row>
    <row r="631" spans="1:11" ht="20.25" customHeight="1" x14ac:dyDescent="0.3">
      <c r="A631" s="101"/>
      <c r="B631" s="93"/>
      <c r="C631" s="7"/>
      <c r="D631" s="94"/>
      <c r="E631" s="95"/>
      <c r="F631" s="70"/>
      <c r="G631" s="138"/>
      <c r="H631" s="70"/>
      <c r="I631" s="70"/>
      <c r="J631" s="70"/>
      <c r="K631" s="70"/>
    </row>
    <row r="632" spans="1:11" ht="20.25" customHeight="1" x14ac:dyDescent="0.3">
      <c r="A632" s="101"/>
      <c r="B632" s="93"/>
      <c r="C632" s="7"/>
      <c r="D632" s="94"/>
      <c r="E632" s="95"/>
      <c r="F632" s="70"/>
      <c r="G632" s="138"/>
      <c r="H632" s="70"/>
      <c r="I632" s="70"/>
      <c r="J632" s="70"/>
      <c r="K632" s="70"/>
    </row>
    <row r="633" spans="1:11" ht="20.25" customHeight="1" x14ac:dyDescent="0.3">
      <c r="A633" s="101"/>
      <c r="B633" s="93"/>
      <c r="C633" s="7"/>
      <c r="D633" s="94"/>
      <c r="E633" s="95"/>
      <c r="F633" s="70"/>
      <c r="G633" s="138"/>
      <c r="H633" s="70"/>
      <c r="I633" s="70"/>
      <c r="J633" s="70"/>
      <c r="K633" s="70"/>
    </row>
    <row r="634" spans="1:11" ht="20.25" customHeight="1" x14ac:dyDescent="0.3">
      <c r="A634" s="101"/>
      <c r="B634" s="93"/>
      <c r="C634" s="7"/>
      <c r="D634" s="94"/>
      <c r="E634" s="95"/>
      <c r="F634" s="70"/>
      <c r="G634" s="138"/>
      <c r="H634" s="70"/>
      <c r="I634" s="70"/>
      <c r="J634" s="70"/>
      <c r="K634" s="70"/>
    </row>
    <row r="635" spans="1:11" ht="20.25" customHeight="1" x14ac:dyDescent="0.3">
      <c r="A635" s="101"/>
      <c r="B635" s="93"/>
      <c r="C635" s="7"/>
      <c r="D635" s="94"/>
      <c r="E635" s="95"/>
      <c r="F635" s="70"/>
      <c r="G635" s="138"/>
      <c r="H635" s="70"/>
      <c r="I635" s="70"/>
      <c r="J635" s="70"/>
      <c r="K635" s="70"/>
    </row>
    <row r="636" spans="1:11" ht="20.25" customHeight="1" x14ac:dyDescent="0.3">
      <c r="A636" s="101"/>
      <c r="B636" s="93"/>
      <c r="C636" s="7"/>
      <c r="D636" s="94"/>
      <c r="E636" s="95"/>
      <c r="F636" s="70"/>
      <c r="G636" s="138"/>
      <c r="H636" s="70"/>
      <c r="I636" s="70"/>
      <c r="J636" s="70"/>
      <c r="K636" s="70"/>
    </row>
    <row r="637" spans="1:11" ht="20.25" customHeight="1" x14ac:dyDescent="0.3">
      <c r="A637" s="101"/>
      <c r="B637" s="93"/>
      <c r="C637" s="7"/>
      <c r="D637" s="94"/>
      <c r="E637" s="95"/>
      <c r="F637" s="70"/>
      <c r="G637" s="138"/>
      <c r="H637" s="70"/>
      <c r="I637" s="70"/>
      <c r="J637" s="70"/>
      <c r="K637" s="70"/>
    </row>
    <row r="638" spans="1:11" ht="20.25" customHeight="1" x14ac:dyDescent="0.3">
      <c r="A638" s="101"/>
      <c r="B638" s="93"/>
      <c r="C638" s="7"/>
      <c r="D638" s="94"/>
      <c r="E638" s="95"/>
      <c r="F638" s="70"/>
      <c r="G638" s="138"/>
      <c r="H638" s="70"/>
      <c r="I638" s="70"/>
      <c r="J638" s="70"/>
      <c r="K638" s="70"/>
    </row>
    <row r="639" spans="1:11" ht="20.25" customHeight="1" x14ac:dyDescent="0.3">
      <c r="A639" s="101"/>
      <c r="B639" s="93"/>
      <c r="C639" s="7"/>
      <c r="D639" s="94"/>
      <c r="E639" s="95"/>
      <c r="F639" s="70"/>
      <c r="G639" s="138"/>
      <c r="H639" s="70"/>
      <c r="I639" s="70"/>
      <c r="J639" s="70"/>
      <c r="K639" s="70"/>
    </row>
    <row r="640" spans="1:11" ht="20.25" customHeight="1" x14ac:dyDescent="0.3">
      <c r="A640" s="101"/>
      <c r="B640" s="93"/>
      <c r="C640" s="7"/>
      <c r="D640" s="94"/>
      <c r="E640" s="95"/>
      <c r="F640" s="70"/>
      <c r="G640" s="138"/>
      <c r="H640" s="70"/>
      <c r="I640" s="70"/>
      <c r="J640" s="70"/>
      <c r="K640" s="70"/>
    </row>
    <row r="641" spans="1:11" ht="20.25" customHeight="1" x14ac:dyDescent="0.3">
      <c r="A641" s="101"/>
      <c r="B641" s="93"/>
      <c r="C641" s="7"/>
      <c r="D641" s="94"/>
      <c r="E641" s="95"/>
      <c r="F641" s="70"/>
      <c r="G641" s="138"/>
      <c r="H641" s="70"/>
      <c r="I641" s="70"/>
      <c r="J641" s="70"/>
      <c r="K641" s="70"/>
    </row>
    <row r="642" spans="1:11" ht="20.25" customHeight="1" x14ac:dyDescent="0.3">
      <c r="A642" s="101"/>
      <c r="B642" s="93"/>
      <c r="C642" s="7"/>
      <c r="D642" s="94"/>
      <c r="E642" s="95"/>
      <c r="F642" s="70"/>
      <c r="G642" s="138"/>
      <c r="H642" s="70"/>
      <c r="I642" s="70"/>
      <c r="J642" s="70"/>
      <c r="K642" s="70"/>
    </row>
    <row r="643" spans="1:11" ht="20.25" customHeight="1" x14ac:dyDescent="0.3">
      <c r="A643" s="101"/>
      <c r="B643" s="93"/>
      <c r="C643" s="7"/>
      <c r="D643" s="94"/>
      <c r="E643" s="95"/>
      <c r="F643" s="70"/>
      <c r="G643" s="138"/>
      <c r="H643" s="70"/>
      <c r="I643" s="70"/>
      <c r="J643" s="70"/>
      <c r="K643" s="70"/>
    </row>
    <row r="644" spans="1:11" ht="20.25" customHeight="1" x14ac:dyDescent="0.3">
      <c r="A644" s="101"/>
      <c r="B644" s="93"/>
      <c r="C644" s="7"/>
      <c r="D644" s="94"/>
      <c r="E644" s="95"/>
      <c r="F644" s="70"/>
      <c r="G644" s="138"/>
      <c r="H644" s="70"/>
      <c r="I644" s="70"/>
      <c r="J644" s="70"/>
      <c r="K644" s="70"/>
    </row>
    <row r="645" spans="1:11" ht="20.25" customHeight="1" x14ac:dyDescent="0.3">
      <c r="A645" s="101"/>
      <c r="B645" s="93"/>
      <c r="C645" s="7"/>
      <c r="D645" s="94"/>
      <c r="E645" s="95"/>
      <c r="F645" s="70"/>
      <c r="G645" s="138"/>
      <c r="H645" s="70"/>
      <c r="I645" s="70"/>
      <c r="J645" s="70"/>
      <c r="K645" s="70"/>
    </row>
    <row r="646" spans="1:11" ht="20.25" customHeight="1" x14ac:dyDescent="0.3">
      <c r="A646" s="101"/>
      <c r="B646" s="93"/>
      <c r="C646" s="7"/>
      <c r="D646" s="94"/>
      <c r="E646" s="95"/>
      <c r="F646" s="70"/>
      <c r="G646" s="138"/>
      <c r="H646" s="70"/>
      <c r="I646" s="70"/>
      <c r="J646" s="70"/>
      <c r="K646" s="70"/>
    </row>
    <row r="647" spans="1:11" ht="20.25" customHeight="1" x14ac:dyDescent="0.3">
      <c r="A647" s="101"/>
      <c r="B647" s="93"/>
      <c r="C647" s="7"/>
      <c r="D647" s="94"/>
      <c r="E647" s="95"/>
      <c r="F647" s="70"/>
      <c r="G647" s="138"/>
      <c r="H647" s="70"/>
      <c r="I647" s="70"/>
      <c r="J647" s="70"/>
      <c r="K647" s="70"/>
    </row>
    <row r="648" spans="1:11" ht="20.25" customHeight="1" x14ac:dyDescent="0.3">
      <c r="A648" s="101"/>
      <c r="B648" s="93"/>
      <c r="C648" s="7"/>
      <c r="D648" s="94"/>
      <c r="E648" s="95"/>
      <c r="F648" s="70"/>
      <c r="G648" s="138"/>
      <c r="H648" s="70"/>
      <c r="I648" s="70"/>
      <c r="J648" s="70"/>
      <c r="K648" s="70"/>
    </row>
    <row r="649" spans="1:11" ht="20.25" customHeight="1" x14ac:dyDescent="0.3">
      <c r="A649" s="101"/>
      <c r="B649" s="93"/>
      <c r="C649" s="7"/>
      <c r="D649" s="94"/>
      <c r="E649" s="95"/>
      <c r="F649" s="70"/>
      <c r="G649" s="138"/>
      <c r="H649" s="70"/>
      <c r="I649" s="70"/>
      <c r="J649" s="70"/>
      <c r="K649" s="70"/>
    </row>
    <row r="650" spans="1:11" ht="20.25" customHeight="1" x14ac:dyDescent="0.3">
      <c r="A650" s="101"/>
      <c r="B650" s="93"/>
      <c r="C650" s="7"/>
      <c r="D650" s="94"/>
      <c r="E650" s="95"/>
      <c r="F650" s="70"/>
      <c r="G650" s="138"/>
      <c r="H650" s="70"/>
      <c r="I650" s="70"/>
      <c r="J650" s="70"/>
      <c r="K650" s="70"/>
    </row>
    <row r="651" spans="1:11" ht="20.25" customHeight="1" x14ac:dyDescent="0.3">
      <c r="A651" s="101"/>
      <c r="B651" s="93"/>
      <c r="C651" s="7"/>
      <c r="D651" s="94"/>
      <c r="E651" s="95"/>
      <c r="F651" s="70"/>
      <c r="G651" s="138"/>
      <c r="H651" s="70"/>
      <c r="I651" s="70"/>
      <c r="J651" s="70"/>
      <c r="K651" s="70"/>
    </row>
    <row r="652" spans="1:11" ht="20.25" customHeight="1" x14ac:dyDescent="0.3">
      <c r="A652" s="101"/>
      <c r="B652" s="93"/>
      <c r="C652" s="7"/>
      <c r="D652" s="94"/>
      <c r="E652" s="95"/>
      <c r="F652" s="70"/>
      <c r="G652" s="138"/>
      <c r="H652" s="70"/>
      <c r="I652" s="70"/>
      <c r="J652" s="70"/>
      <c r="K652" s="70"/>
    </row>
    <row r="653" spans="1:11" ht="20.25" customHeight="1" x14ac:dyDescent="0.3">
      <c r="A653" s="101"/>
      <c r="B653" s="93"/>
      <c r="C653" s="7"/>
      <c r="D653" s="94"/>
      <c r="E653" s="95"/>
      <c r="F653" s="70"/>
      <c r="G653" s="138"/>
      <c r="H653" s="70"/>
      <c r="I653" s="70"/>
      <c r="J653" s="70"/>
      <c r="K653" s="70"/>
    </row>
    <row r="654" spans="1:11" ht="20.25" customHeight="1" x14ac:dyDescent="0.3">
      <c r="A654" s="101"/>
      <c r="B654" s="93"/>
      <c r="C654" s="7"/>
      <c r="D654" s="94"/>
      <c r="E654" s="95"/>
      <c r="F654" s="70"/>
      <c r="G654" s="138"/>
      <c r="H654" s="70"/>
      <c r="I654" s="70"/>
      <c r="J654" s="70"/>
      <c r="K654" s="70"/>
    </row>
    <row r="655" spans="1:11" ht="20.25" customHeight="1" x14ac:dyDescent="0.3">
      <c r="A655" s="101"/>
      <c r="B655" s="93"/>
      <c r="C655" s="7"/>
      <c r="D655" s="94"/>
      <c r="E655" s="95"/>
      <c r="F655" s="70"/>
      <c r="G655" s="138"/>
      <c r="H655" s="70"/>
      <c r="I655" s="70"/>
      <c r="J655" s="70"/>
      <c r="K655" s="70"/>
    </row>
    <row r="656" spans="1:11" ht="20.25" customHeight="1" x14ac:dyDescent="0.3">
      <c r="A656" s="101"/>
      <c r="B656" s="93"/>
      <c r="C656" s="7"/>
      <c r="D656" s="94"/>
      <c r="E656" s="95"/>
      <c r="F656" s="70"/>
      <c r="G656" s="138"/>
      <c r="H656" s="70"/>
      <c r="I656" s="70"/>
      <c r="J656" s="70"/>
      <c r="K656" s="70"/>
    </row>
    <row r="657" spans="1:11" ht="20.25" customHeight="1" x14ac:dyDescent="0.3">
      <c r="A657" s="101"/>
      <c r="B657" s="93"/>
      <c r="C657" s="7"/>
      <c r="D657" s="94"/>
      <c r="E657" s="95"/>
      <c r="F657" s="70"/>
      <c r="G657" s="138"/>
      <c r="H657" s="70"/>
      <c r="I657" s="70"/>
      <c r="J657" s="70"/>
      <c r="K657" s="70"/>
    </row>
    <row r="658" spans="1:11" ht="20.25" customHeight="1" x14ac:dyDescent="0.3">
      <c r="A658" s="101"/>
      <c r="B658" s="93"/>
      <c r="C658" s="7"/>
      <c r="D658" s="94"/>
      <c r="E658" s="95"/>
      <c r="F658" s="70"/>
      <c r="G658" s="138"/>
      <c r="H658" s="70"/>
      <c r="I658" s="70"/>
      <c r="J658" s="70"/>
      <c r="K658" s="70"/>
    </row>
    <row r="659" spans="1:11" ht="20.25" customHeight="1" x14ac:dyDescent="0.3">
      <c r="A659" s="101"/>
      <c r="B659" s="93"/>
      <c r="C659" s="7"/>
      <c r="D659" s="94"/>
      <c r="E659" s="95"/>
      <c r="F659" s="70"/>
      <c r="G659" s="138"/>
      <c r="H659" s="70"/>
      <c r="I659" s="70"/>
      <c r="J659" s="70"/>
      <c r="K659" s="70"/>
    </row>
    <row r="660" spans="1:11" ht="20.25" customHeight="1" x14ac:dyDescent="0.3">
      <c r="A660" s="101"/>
      <c r="B660" s="93"/>
      <c r="C660" s="7"/>
      <c r="D660" s="94"/>
      <c r="E660" s="95"/>
      <c r="F660" s="70"/>
      <c r="G660" s="138"/>
      <c r="H660" s="70"/>
      <c r="I660" s="70"/>
      <c r="J660" s="70"/>
      <c r="K660" s="70"/>
    </row>
    <row r="661" spans="1:11" ht="20.25" customHeight="1" x14ac:dyDescent="0.3">
      <c r="A661" s="101"/>
      <c r="B661" s="93"/>
      <c r="C661" s="7"/>
      <c r="D661" s="94"/>
      <c r="E661" s="95"/>
      <c r="F661" s="70"/>
      <c r="G661" s="138"/>
      <c r="H661" s="70"/>
      <c r="I661" s="70"/>
      <c r="J661" s="70"/>
      <c r="K661" s="70"/>
    </row>
    <row r="662" spans="1:11" ht="20.25" customHeight="1" x14ac:dyDescent="0.3">
      <c r="A662" s="101"/>
      <c r="B662" s="93"/>
      <c r="C662" s="7"/>
      <c r="D662" s="94"/>
      <c r="E662" s="95"/>
      <c r="F662" s="70"/>
      <c r="G662" s="138"/>
      <c r="H662" s="70"/>
      <c r="I662" s="70"/>
      <c r="J662" s="70"/>
      <c r="K662" s="70"/>
    </row>
    <row r="663" spans="1:11" ht="20.25" customHeight="1" x14ac:dyDescent="0.3">
      <c r="A663" s="101"/>
      <c r="B663" s="93"/>
      <c r="C663" s="7"/>
      <c r="D663" s="94"/>
      <c r="E663" s="95"/>
      <c r="F663" s="70"/>
      <c r="G663" s="138"/>
      <c r="H663" s="70"/>
      <c r="I663" s="70"/>
      <c r="J663" s="70"/>
      <c r="K663" s="70"/>
    </row>
    <row r="664" spans="1:11" ht="20.25" customHeight="1" x14ac:dyDescent="0.3">
      <c r="A664" s="101"/>
      <c r="B664" s="93"/>
      <c r="C664" s="7"/>
      <c r="D664" s="94"/>
      <c r="E664" s="95"/>
      <c r="F664" s="70"/>
      <c r="G664" s="138"/>
      <c r="H664" s="70"/>
      <c r="I664" s="70"/>
      <c r="J664" s="70"/>
      <c r="K664" s="70"/>
    </row>
    <row r="665" spans="1:11" ht="20.25" customHeight="1" x14ac:dyDescent="0.3">
      <c r="A665" s="101"/>
      <c r="B665" s="93"/>
      <c r="C665" s="7"/>
      <c r="D665" s="94"/>
      <c r="E665" s="95"/>
      <c r="F665" s="70"/>
      <c r="G665" s="138"/>
      <c r="H665" s="70"/>
      <c r="I665" s="70"/>
      <c r="J665" s="70"/>
      <c r="K665" s="70"/>
    </row>
    <row r="666" spans="1:11" ht="20.25" customHeight="1" x14ac:dyDescent="0.3">
      <c r="A666" s="101"/>
      <c r="B666" s="93"/>
      <c r="C666" s="7"/>
      <c r="D666" s="94"/>
      <c r="E666" s="95"/>
      <c r="F666" s="70"/>
      <c r="G666" s="138"/>
      <c r="H666" s="70"/>
      <c r="I666" s="70"/>
      <c r="J666" s="70"/>
      <c r="K666" s="70"/>
    </row>
    <row r="667" spans="1:11" ht="20.25" customHeight="1" x14ac:dyDescent="0.3">
      <c r="A667" s="101"/>
      <c r="B667" s="93"/>
      <c r="C667" s="7"/>
      <c r="D667" s="94"/>
      <c r="E667" s="95"/>
      <c r="F667" s="70"/>
      <c r="G667" s="138"/>
      <c r="H667" s="70"/>
      <c r="I667" s="70"/>
      <c r="J667" s="70"/>
      <c r="K667" s="70"/>
    </row>
    <row r="668" spans="1:11" ht="20.25" customHeight="1" x14ac:dyDescent="0.3">
      <c r="A668" s="101"/>
      <c r="B668" s="93"/>
      <c r="C668" s="7"/>
      <c r="D668" s="94"/>
      <c r="E668" s="95"/>
      <c r="F668" s="70"/>
      <c r="G668" s="138"/>
      <c r="H668" s="70"/>
      <c r="I668" s="70"/>
      <c r="J668" s="70"/>
      <c r="K668" s="70"/>
    </row>
    <row r="669" spans="1:11" ht="20.25" customHeight="1" x14ac:dyDescent="0.3">
      <c r="A669" s="101"/>
      <c r="B669" s="93"/>
      <c r="C669" s="7"/>
      <c r="D669" s="94"/>
      <c r="E669" s="95"/>
      <c r="F669" s="70"/>
      <c r="G669" s="138"/>
      <c r="H669" s="70"/>
      <c r="I669" s="70"/>
      <c r="J669" s="70"/>
      <c r="K669" s="70"/>
    </row>
    <row r="670" spans="1:11" ht="20.25" customHeight="1" x14ac:dyDescent="0.3">
      <c r="A670" s="101"/>
      <c r="B670" s="93"/>
      <c r="C670" s="7"/>
      <c r="D670" s="94"/>
      <c r="E670" s="95"/>
      <c r="F670" s="70"/>
      <c r="G670" s="138"/>
      <c r="H670" s="70"/>
      <c r="I670" s="70"/>
      <c r="J670" s="70"/>
      <c r="K670" s="70"/>
    </row>
    <row r="671" spans="1:11" ht="20.25" customHeight="1" x14ac:dyDescent="0.3">
      <c r="A671" s="101"/>
      <c r="B671" s="93"/>
      <c r="C671" s="7"/>
      <c r="D671" s="94"/>
      <c r="E671" s="95"/>
      <c r="F671" s="70"/>
      <c r="G671" s="138"/>
      <c r="H671" s="70"/>
      <c r="I671" s="70"/>
      <c r="J671" s="70"/>
      <c r="K671" s="70"/>
    </row>
    <row r="672" spans="1:11" ht="20.25" customHeight="1" x14ac:dyDescent="0.3">
      <c r="A672" s="101"/>
      <c r="B672" s="93"/>
      <c r="C672" s="7"/>
      <c r="D672" s="94"/>
      <c r="E672" s="95"/>
      <c r="F672" s="70"/>
      <c r="G672" s="138"/>
      <c r="H672" s="70"/>
      <c r="I672" s="70"/>
      <c r="J672" s="70"/>
      <c r="K672" s="70"/>
    </row>
    <row r="673" spans="1:11" ht="20.25" customHeight="1" x14ac:dyDescent="0.3">
      <c r="A673" s="101"/>
      <c r="B673" s="93"/>
      <c r="C673" s="7"/>
      <c r="D673" s="94"/>
      <c r="E673" s="95"/>
      <c r="F673" s="70"/>
      <c r="G673" s="138"/>
      <c r="H673" s="70"/>
      <c r="I673" s="70"/>
      <c r="J673" s="70"/>
      <c r="K673" s="70"/>
    </row>
    <row r="674" spans="1:11" ht="20.25" customHeight="1" x14ac:dyDescent="0.3">
      <c r="A674" s="101"/>
      <c r="B674" s="93"/>
      <c r="C674" s="7"/>
      <c r="D674" s="94"/>
      <c r="E674" s="95"/>
      <c r="F674" s="70"/>
      <c r="G674" s="138"/>
      <c r="H674" s="70"/>
      <c r="I674" s="70"/>
      <c r="J674" s="70"/>
      <c r="K674" s="70"/>
    </row>
    <row r="675" spans="1:11" ht="20.25" customHeight="1" x14ac:dyDescent="0.3">
      <c r="A675" s="101"/>
      <c r="B675" s="93"/>
      <c r="C675" s="7"/>
      <c r="D675" s="94"/>
      <c r="E675" s="95"/>
      <c r="F675" s="70"/>
      <c r="G675" s="138"/>
      <c r="H675" s="70"/>
      <c r="I675" s="70"/>
      <c r="J675" s="70"/>
      <c r="K675" s="70"/>
    </row>
    <row r="676" spans="1:11" ht="20.25" customHeight="1" x14ac:dyDescent="0.3">
      <c r="A676" s="101"/>
      <c r="B676" s="93"/>
      <c r="C676" s="7"/>
      <c r="D676" s="94"/>
      <c r="E676" s="95"/>
      <c r="F676" s="70"/>
      <c r="G676" s="138"/>
      <c r="H676" s="70"/>
      <c r="I676" s="70"/>
      <c r="J676" s="70"/>
      <c r="K676" s="70"/>
    </row>
    <row r="677" spans="1:11" ht="20.25" customHeight="1" x14ac:dyDescent="0.3">
      <c r="A677" s="101"/>
      <c r="B677" s="93"/>
      <c r="C677" s="7"/>
      <c r="D677" s="94"/>
      <c r="E677" s="95"/>
      <c r="F677" s="70"/>
      <c r="G677" s="138"/>
      <c r="H677" s="70"/>
      <c r="I677" s="70"/>
      <c r="J677" s="70"/>
      <c r="K677" s="70"/>
    </row>
    <row r="678" spans="1:11" ht="20.25" customHeight="1" x14ac:dyDescent="0.3">
      <c r="A678" s="101"/>
      <c r="B678" s="93"/>
      <c r="C678" s="7"/>
      <c r="D678" s="94"/>
      <c r="E678" s="95"/>
      <c r="F678" s="70"/>
      <c r="G678" s="138"/>
      <c r="H678" s="70"/>
      <c r="I678" s="70"/>
      <c r="J678" s="70"/>
      <c r="K678" s="70"/>
    </row>
    <row r="679" spans="1:11" ht="20.25" customHeight="1" x14ac:dyDescent="0.3">
      <c r="A679" s="101"/>
      <c r="B679" s="93"/>
      <c r="C679" s="7"/>
      <c r="D679" s="94"/>
      <c r="E679" s="95"/>
      <c r="F679" s="70"/>
      <c r="G679" s="138"/>
      <c r="H679" s="70"/>
      <c r="I679" s="70"/>
      <c r="J679" s="70"/>
      <c r="K679" s="70"/>
    </row>
    <row r="680" spans="1:11" ht="20.25" customHeight="1" x14ac:dyDescent="0.3">
      <c r="A680" s="101"/>
      <c r="B680" s="93"/>
      <c r="C680" s="7"/>
      <c r="D680" s="94"/>
      <c r="E680" s="95"/>
      <c r="F680" s="70"/>
      <c r="G680" s="138"/>
      <c r="H680" s="70"/>
      <c r="I680" s="70"/>
      <c r="J680" s="70"/>
      <c r="K680" s="70"/>
    </row>
    <row r="681" spans="1:11" ht="20.25" customHeight="1" x14ac:dyDescent="0.3">
      <c r="A681" s="101"/>
      <c r="B681" s="93"/>
      <c r="C681" s="7"/>
      <c r="D681" s="94"/>
      <c r="E681" s="95"/>
      <c r="F681" s="70"/>
      <c r="G681" s="138"/>
      <c r="H681" s="70"/>
      <c r="I681" s="70"/>
      <c r="J681" s="70"/>
      <c r="K681" s="70"/>
    </row>
    <row r="682" spans="1:11" ht="20.25" customHeight="1" x14ac:dyDescent="0.3">
      <c r="A682" s="101"/>
      <c r="B682" s="93"/>
      <c r="C682" s="7"/>
      <c r="D682" s="94"/>
      <c r="E682" s="95"/>
      <c r="F682" s="70"/>
      <c r="G682" s="138"/>
      <c r="H682" s="70"/>
      <c r="I682" s="70"/>
      <c r="J682" s="70"/>
      <c r="K682" s="70"/>
    </row>
    <row r="683" spans="1:11" ht="20.25" customHeight="1" x14ac:dyDescent="0.3">
      <c r="A683" s="101"/>
      <c r="B683" s="93"/>
      <c r="C683" s="7"/>
      <c r="D683" s="94"/>
      <c r="E683" s="95"/>
      <c r="F683" s="70"/>
      <c r="G683" s="138"/>
      <c r="H683" s="70"/>
      <c r="I683" s="70"/>
      <c r="J683" s="70"/>
      <c r="K683" s="70"/>
    </row>
    <row r="684" spans="1:11" ht="20.25" customHeight="1" x14ac:dyDescent="0.3">
      <c r="A684" s="101"/>
      <c r="B684" s="93"/>
      <c r="C684" s="7"/>
      <c r="D684" s="94"/>
      <c r="E684" s="95"/>
      <c r="F684" s="70"/>
      <c r="G684" s="138"/>
      <c r="H684" s="70"/>
      <c r="I684" s="70"/>
      <c r="J684" s="70"/>
      <c r="K684" s="70"/>
    </row>
    <row r="685" spans="1:11" ht="20.25" customHeight="1" x14ac:dyDescent="0.3">
      <c r="A685" s="101"/>
      <c r="B685" s="93"/>
      <c r="C685" s="7"/>
      <c r="D685" s="94"/>
      <c r="E685" s="95"/>
      <c r="F685" s="70"/>
      <c r="G685" s="138"/>
      <c r="H685" s="70"/>
      <c r="I685" s="70"/>
      <c r="J685" s="70"/>
      <c r="K685" s="70"/>
    </row>
    <row r="686" spans="1:11" ht="20.25" customHeight="1" x14ac:dyDescent="0.3">
      <c r="A686" s="101"/>
      <c r="B686" s="93"/>
      <c r="C686" s="7"/>
      <c r="D686" s="94"/>
      <c r="E686" s="95"/>
      <c r="F686" s="70"/>
      <c r="G686" s="138"/>
      <c r="H686" s="70"/>
      <c r="I686" s="70"/>
      <c r="J686" s="70"/>
      <c r="K686" s="70"/>
    </row>
    <row r="687" spans="1:11" ht="20.25" customHeight="1" x14ac:dyDescent="0.3">
      <c r="A687" s="101"/>
      <c r="B687" s="93"/>
      <c r="C687" s="7"/>
      <c r="D687" s="94"/>
      <c r="E687" s="95"/>
      <c r="F687" s="70"/>
      <c r="G687" s="138"/>
      <c r="H687" s="70"/>
      <c r="I687" s="70"/>
      <c r="J687" s="70"/>
      <c r="K687" s="70"/>
    </row>
    <row r="688" spans="1:11" ht="20.25" customHeight="1" x14ac:dyDescent="0.3">
      <c r="A688" s="101"/>
      <c r="B688" s="93"/>
      <c r="C688" s="7"/>
      <c r="D688" s="94"/>
      <c r="E688" s="95"/>
      <c r="F688" s="70"/>
      <c r="G688" s="138"/>
      <c r="H688" s="70"/>
      <c r="I688" s="70"/>
      <c r="J688" s="70"/>
      <c r="K688" s="70"/>
    </row>
    <row r="689" spans="1:11" ht="20.25" customHeight="1" x14ac:dyDescent="0.3">
      <c r="A689" s="101"/>
      <c r="B689" s="93"/>
      <c r="C689" s="7"/>
      <c r="D689" s="94"/>
      <c r="E689" s="95"/>
      <c r="F689" s="70"/>
      <c r="G689" s="138"/>
      <c r="H689" s="70"/>
      <c r="I689" s="70"/>
      <c r="J689" s="70"/>
      <c r="K689" s="70"/>
    </row>
    <row r="690" spans="1:11" ht="20.25" customHeight="1" x14ac:dyDescent="0.3">
      <c r="A690" s="101"/>
      <c r="B690" s="93"/>
      <c r="C690" s="7"/>
      <c r="D690" s="94"/>
      <c r="E690" s="95"/>
      <c r="F690" s="70"/>
      <c r="G690" s="138"/>
      <c r="H690" s="70"/>
      <c r="I690" s="70"/>
      <c r="J690" s="70"/>
      <c r="K690" s="70"/>
    </row>
    <row r="691" spans="1:11" ht="20.25" customHeight="1" x14ac:dyDescent="0.3">
      <c r="A691" s="101"/>
      <c r="B691" s="93"/>
      <c r="C691" s="7"/>
      <c r="D691" s="94"/>
      <c r="E691" s="95"/>
      <c r="F691" s="70"/>
      <c r="G691" s="138"/>
      <c r="H691" s="70"/>
      <c r="I691" s="70"/>
      <c r="J691" s="70"/>
      <c r="K691" s="70"/>
    </row>
    <row r="692" spans="1:11" ht="20.25" customHeight="1" x14ac:dyDescent="0.3">
      <c r="A692" s="101"/>
      <c r="B692" s="93"/>
      <c r="C692" s="7"/>
      <c r="D692" s="94"/>
      <c r="E692" s="95"/>
      <c r="F692" s="70"/>
      <c r="G692" s="138"/>
      <c r="H692" s="70"/>
      <c r="I692" s="70"/>
      <c r="J692" s="70"/>
      <c r="K692" s="70"/>
    </row>
    <row r="693" spans="1:11" ht="20.25" customHeight="1" x14ac:dyDescent="0.3">
      <c r="A693" s="101"/>
      <c r="B693" s="93"/>
      <c r="C693" s="7"/>
      <c r="D693" s="94"/>
      <c r="E693" s="95"/>
      <c r="F693" s="70"/>
      <c r="G693" s="138"/>
      <c r="H693" s="70"/>
      <c r="I693" s="70"/>
      <c r="J693" s="70"/>
      <c r="K693" s="70"/>
    </row>
    <row r="694" spans="1:11" ht="20.25" customHeight="1" x14ac:dyDescent="0.3">
      <c r="A694" s="101"/>
      <c r="B694" s="93"/>
      <c r="C694" s="7"/>
      <c r="D694" s="94"/>
      <c r="E694" s="95"/>
      <c r="F694" s="70"/>
      <c r="G694" s="138"/>
      <c r="H694" s="70"/>
      <c r="I694" s="70"/>
      <c r="J694" s="70"/>
      <c r="K694" s="70"/>
    </row>
    <row r="695" spans="1:11" ht="20.25" customHeight="1" x14ac:dyDescent="0.3">
      <c r="A695" s="101"/>
      <c r="B695" s="93"/>
      <c r="C695" s="7"/>
      <c r="D695" s="94"/>
      <c r="E695" s="95"/>
      <c r="F695" s="70"/>
      <c r="G695" s="138"/>
      <c r="H695" s="70"/>
      <c r="I695" s="70"/>
      <c r="J695" s="70"/>
      <c r="K695" s="70"/>
    </row>
    <row r="696" spans="1:11" ht="20.25" customHeight="1" x14ac:dyDescent="0.3">
      <c r="A696" s="101"/>
      <c r="B696" s="93"/>
      <c r="C696" s="7"/>
      <c r="D696" s="94"/>
      <c r="E696" s="95"/>
      <c r="F696" s="70"/>
      <c r="G696" s="138"/>
      <c r="H696" s="70"/>
      <c r="I696" s="70"/>
      <c r="J696" s="70"/>
      <c r="K696" s="70"/>
    </row>
    <row r="697" spans="1:11" ht="20.25" customHeight="1" x14ac:dyDescent="0.3">
      <c r="A697" s="101"/>
      <c r="B697" s="93"/>
      <c r="C697" s="7"/>
      <c r="D697" s="94"/>
      <c r="E697" s="95"/>
      <c r="F697" s="70"/>
      <c r="G697" s="138"/>
      <c r="H697" s="70"/>
      <c r="I697" s="70"/>
      <c r="J697" s="70"/>
      <c r="K697" s="70"/>
    </row>
    <row r="698" spans="1:11" ht="20.25" customHeight="1" x14ac:dyDescent="0.3">
      <c r="A698" s="101"/>
      <c r="B698" s="93"/>
      <c r="C698" s="7"/>
      <c r="D698" s="94"/>
      <c r="E698" s="95"/>
      <c r="F698" s="70"/>
      <c r="G698" s="138"/>
      <c r="H698" s="70"/>
      <c r="I698" s="70"/>
      <c r="J698" s="70"/>
      <c r="K698" s="70"/>
    </row>
    <row r="699" spans="1:11" ht="20.25" customHeight="1" x14ac:dyDescent="0.3">
      <c r="A699" s="101"/>
      <c r="B699" s="93"/>
      <c r="C699" s="7"/>
      <c r="D699" s="94"/>
      <c r="E699" s="95"/>
      <c r="F699" s="70"/>
      <c r="G699" s="138"/>
      <c r="H699" s="70"/>
      <c r="I699" s="70"/>
      <c r="J699" s="70"/>
      <c r="K699" s="70"/>
    </row>
    <row r="700" spans="1:11" ht="20.25" customHeight="1" x14ac:dyDescent="0.3">
      <c r="A700" s="101"/>
      <c r="B700" s="93"/>
      <c r="C700" s="7"/>
      <c r="D700" s="94"/>
      <c r="E700" s="95"/>
      <c r="F700" s="70"/>
      <c r="G700" s="138"/>
      <c r="H700" s="70"/>
      <c r="I700" s="70"/>
      <c r="J700" s="70"/>
      <c r="K700" s="70"/>
    </row>
    <row r="701" spans="1:11" ht="20.25" customHeight="1" x14ac:dyDescent="0.3">
      <c r="A701" s="101"/>
      <c r="B701" s="93"/>
      <c r="C701" s="7"/>
      <c r="D701" s="94"/>
      <c r="E701" s="95"/>
      <c r="F701" s="70"/>
      <c r="G701" s="138"/>
      <c r="H701" s="70"/>
      <c r="I701" s="70"/>
      <c r="J701" s="70"/>
      <c r="K701" s="70"/>
    </row>
    <row r="702" spans="1:11" ht="20.25" customHeight="1" x14ac:dyDescent="0.3">
      <c r="A702" s="101"/>
      <c r="B702" s="93"/>
      <c r="C702" s="7"/>
      <c r="D702" s="94"/>
      <c r="E702" s="95"/>
      <c r="F702" s="70"/>
      <c r="G702" s="138"/>
      <c r="H702" s="70"/>
      <c r="I702" s="70"/>
      <c r="J702" s="70"/>
      <c r="K702" s="70"/>
    </row>
    <row r="703" spans="1:11" ht="20.25" customHeight="1" x14ac:dyDescent="0.3">
      <c r="A703" s="101"/>
      <c r="B703" s="93"/>
      <c r="C703" s="7"/>
      <c r="D703" s="94"/>
      <c r="E703" s="95"/>
      <c r="F703" s="70"/>
      <c r="G703" s="138"/>
      <c r="H703" s="70"/>
      <c r="I703" s="70"/>
      <c r="J703" s="70"/>
      <c r="K703" s="70"/>
    </row>
    <row r="704" spans="1:11" ht="20.25" customHeight="1" x14ac:dyDescent="0.3">
      <c r="A704" s="101"/>
      <c r="B704" s="93"/>
      <c r="C704" s="7"/>
      <c r="D704" s="94"/>
      <c r="E704" s="95"/>
      <c r="F704" s="70"/>
      <c r="G704" s="138"/>
      <c r="H704" s="70"/>
      <c r="I704" s="70"/>
      <c r="J704" s="70"/>
      <c r="K704" s="70"/>
    </row>
    <row r="705" spans="1:11" ht="20.25" customHeight="1" x14ac:dyDescent="0.3">
      <c r="A705" s="101"/>
      <c r="B705" s="93"/>
      <c r="C705" s="7"/>
      <c r="D705" s="94"/>
      <c r="E705" s="95"/>
      <c r="F705" s="70"/>
      <c r="G705" s="138"/>
      <c r="H705" s="70"/>
      <c r="I705" s="70"/>
      <c r="J705" s="70"/>
      <c r="K705" s="70"/>
    </row>
    <row r="706" spans="1:11" ht="20.25" customHeight="1" x14ac:dyDescent="0.3">
      <c r="A706" s="101"/>
      <c r="B706" s="93"/>
      <c r="C706" s="7"/>
      <c r="D706" s="94"/>
      <c r="E706" s="95"/>
      <c r="F706" s="70"/>
      <c r="G706" s="138"/>
      <c r="H706" s="70"/>
      <c r="I706" s="70"/>
      <c r="J706" s="70"/>
      <c r="K706" s="70"/>
    </row>
    <row r="707" spans="1:11" ht="20.25" customHeight="1" x14ac:dyDescent="0.3">
      <c r="A707" s="101"/>
      <c r="B707" s="93"/>
      <c r="C707" s="7"/>
      <c r="D707" s="94"/>
      <c r="E707" s="95"/>
      <c r="F707" s="70"/>
      <c r="G707" s="138"/>
      <c r="H707" s="70"/>
      <c r="I707" s="70"/>
      <c r="J707" s="70"/>
      <c r="K707" s="70"/>
    </row>
    <row r="708" spans="1:11" ht="20.25" customHeight="1" x14ac:dyDescent="0.3">
      <c r="A708" s="101"/>
      <c r="B708" s="93"/>
      <c r="C708" s="7"/>
      <c r="D708" s="94"/>
      <c r="E708" s="95"/>
      <c r="F708" s="70"/>
      <c r="G708" s="138"/>
      <c r="H708" s="70"/>
      <c r="I708" s="70"/>
      <c r="J708" s="70"/>
      <c r="K708" s="70"/>
    </row>
    <row r="709" spans="1:11" ht="20.25" customHeight="1" x14ac:dyDescent="0.3">
      <c r="A709" s="101"/>
      <c r="B709" s="93"/>
      <c r="C709" s="7"/>
      <c r="D709" s="94"/>
      <c r="E709" s="95"/>
      <c r="F709" s="70"/>
      <c r="G709" s="138"/>
      <c r="H709" s="70"/>
      <c r="I709" s="70"/>
      <c r="J709" s="70"/>
      <c r="K709" s="70"/>
    </row>
    <row r="710" spans="1:11" ht="20.25" customHeight="1" x14ac:dyDescent="0.3">
      <c r="A710" s="101"/>
      <c r="B710" s="93"/>
      <c r="C710" s="7"/>
      <c r="D710" s="94"/>
      <c r="E710" s="95"/>
      <c r="F710" s="70"/>
      <c r="G710" s="138"/>
      <c r="H710" s="70"/>
      <c r="I710" s="70"/>
      <c r="J710" s="70"/>
      <c r="K710" s="70"/>
    </row>
    <row r="711" spans="1:11" ht="20.25" customHeight="1" x14ac:dyDescent="0.3">
      <c r="A711" s="101"/>
      <c r="B711" s="93"/>
      <c r="C711" s="7"/>
      <c r="D711" s="94"/>
      <c r="E711" s="95"/>
      <c r="F711" s="70"/>
      <c r="G711" s="138"/>
      <c r="H711" s="70"/>
      <c r="I711" s="70"/>
      <c r="J711" s="70"/>
      <c r="K711" s="70"/>
    </row>
    <row r="712" spans="1:11" ht="20.25" customHeight="1" x14ac:dyDescent="0.3">
      <c r="A712" s="101"/>
      <c r="B712" s="93"/>
      <c r="C712" s="7"/>
      <c r="D712" s="94"/>
      <c r="E712" s="95"/>
      <c r="F712" s="70"/>
      <c r="G712" s="138"/>
      <c r="H712" s="70"/>
      <c r="I712" s="70"/>
      <c r="J712" s="70"/>
      <c r="K712" s="70"/>
    </row>
    <row r="713" spans="1:11" ht="20.25" customHeight="1" x14ac:dyDescent="0.3">
      <c r="A713" s="101"/>
      <c r="B713" s="93"/>
      <c r="C713" s="7"/>
      <c r="D713" s="94"/>
      <c r="E713" s="95"/>
      <c r="F713" s="70"/>
      <c r="G713" s="138"/>
      <c r="H713" s="70"/>
      <c r="I713" s="70"/>
      <c r="J713" s="70"/>
      <c r="K713" s="70"/>
    </row>
    <row r="714" spans="1:11" ht="20.25" customHeight="1" x14ac:dyDescent="0.3">
      <c r="A714" s="101"/>
      <c r="B714" s="93"/>
      <c r="C714" s="7"/>
      <c r="D714" s="94"/>
      <c r="E714" s="95"/>
      <c r="F714" s="70"/>
      <c r="G714" s="138"/>
      <c r="H714" s="70"/>
      <c r="I714" s="70"/>
      <c r="J714" s="70"/>
      <c r="K714" s="70"/>
    </row>
    <row r="715" spans="1:11" ht="20.25" customHeight="1" x14ac:dyDescent="0.3">
      <c r="A715" s="101"/>
      <c r="B715" s="93"/>
      <c r="C715" s="7"/>
      <c r="D715" s="94"/>
      <c r="E715" s="95"/>
      <c r="F715" s="70"/>
      <c r="G715" s="138"/>
      <c r="H715" s="70"/>
      <c r="I715" s="70"/>
      <c r="J715" s="70"/>
      <c r="K715" s="70"/>
    </row>
    <row r="716" spans="1:11" ht="20.25" customHeight="1" x14ac:dyDescent="0.3">
      <c r="A716" s="101"/>
      <c r="B716" s="93"/>
      <c r="C716" s="7"/>
      <c r="D716" s="94"/>
      <c r="E716" s="95"/>
      <c r="F716" s="70"/>
      <c r="G716" s="138"/>
      <c r="H716" s="70"/>
      <c r="I716" s="70"/>
      <c r="J716" s="70"/>
      <c r="K716" s="70"/>
    </row>
    <row r="717" spans="1:11" ht="20.25" customHeight="1" x14ac:dyDescent="0.3">
      <c r="A717" s="101"/>
      <c r="B717" s="93"/>
      <c r="C717" s="7"/>
      <c r="D717" s="94"/>
      <c r="E717" s="95"/>
      <c r="F717" s="70"/>
      <c r="G717" s="138"/>
      <c r="H717" s="70"/>
      <c r="I717" s="70"/>
      <c r="J717" s="70"/>
      <c r="K717" s="70"/>
    </row>
    <row r="718" spans="1:11" ht="20.25" customHeight="1" x14ac:dyDescent="0.3">
      <c r="A718" s="101"/>
      <c r="B718" s="93"/>
      <c r="C718" s="7"/>
      <c r="D718" s="94"/>
      <c r="E718" s="95"/>
      <c r="F718" s="70"/>
      <c r="G718" s="138"/>
      <c r="H718" s="70"/>
      <c r="I718" s="70"/>
      <c r="J718" s="70"/>
      <c r="K718" s="70"/>
    </row>
    <row r="719" spans="1:11" ht="20.25" customHeight="1" x14ac:dyDescent="0.3">
      <c r="A719" s="101"/>
      <c r="B719" s="93"/>
      <c r="C719" s="7"/>
      <c r="D719" s="94"/>
      <c r="E719" s="95"/>
      <c r="F719" s="70"/>
      <c r="G719" s="138"/>
      <c r="H719" s="70"/>
      <c r="I719" s="70"/>
      <c r="J719" s="70"/>
      <c r="K719" s="70"/>
    </row>
    <row r="720" spans="1:11" ht="20.25" customHeight="1" x14ac:dyDescent="0.3">
      <c r="A720" s="101"/>
      <c r="B720" s="93"/>
      <c r="C720" s="7"/>
      <c r="D720" s="94"/>
      <c r="E720" s="95"/>
      <c r="F720" s="70"/>
      <c r="G720" s="138"/>
      <c r="H720" s="70"/>
      <c r="I720" s="70"/>
      <c r="J720" s="70"/>
      <c r="K720" s="70"/>
    </row>
    <row r="721" spans="1:11" ht="20.25" customHeight="1" x14ac:dyDescent="0.3">
      <c r="A721" s="101"/>
      <c r="B721" s="93"/>
      <c r="C721" s="7"/>
      <c r="D721" s="94"/>
      <c r="E721" s="95"/>
      <c r="F721" s="70"/>
      <c r="G721" s="138"/>
      <c r="H721" s="70"/>
      <c r="I721" s="70"/>
      <c r="J721" s="70"/>
      <c r="K721" s="70"/>
    </row>
    <row r="722" spans="1:11" ht="20.25" customHeight="1" x14ac:dyDescent="0.3">
      <c r="A722" s="101"/>
      <c r="B722" s="93"/>
      <c r="C722" s="7"/>
      <c r="D722" s="94"/>
      <c r="E722" s="95"/>
      <c r="F722" s="70"/>
      <c r="G722" s="138"/>
      <c r="H722" s="70"/>
      <c r="I722" s="70"/>
      <c r="J722" s="70"/>
      <c r="K722" s="70"/>
    </row>
    <row r="723" spans="1:11" ht="20.25" customHeight="1" x14ac:dyDescent="0.3">
      <c r="A723" s="101"/>
      <c r="B723" s="93"/>
      <c r="C723" s="7"/>
      <c r="D723" s="94"/>
      <c r="E723" s="95"/>
      <c r="F723" s="70"/>
      <c r="G723" s="138"/>
      <c r="H723" s="70"/>
      <c r="I723" s="70"/>
      <c r="J723" s="70"/>
      <c r="K723" s="70"/>
    </row>
    <row r="724" spans="1:11" ht="20.25" customHeight="1" x14ac:dyDescent="0.3">
      <c r="A724" s="101"/>
      <c r="B724" s="93"/>
      <c r="C724" s="7"/>
      <c r="D724" s="94"/>
      <c r="E724" s="95"/>
      <c r="F724" s="70"/>
      <c r="G724" s="138"/>
      <c r="H724" s="70"/>
      <c r="I724" s="70"/>
      <c r="J724" s="70"/>
      <c r="K724" s="70"/>
    </row>
    <row r="725" spans="1:11" ht="20.25" customHeight="1" x14ac:dyDescent="0.3">
      <c r="A725" s="101"/>
      <c r="B725" s="93"/>
      <c r="C725" s="7"/>
      <c r="D725" s="94"/>
      <c r="E725" s="95"/>
      <c r="F725" s="70"/>
      <c r="G725" s="138"/>
      <c r="H725" s="70"/>
      <c r="I725" s="70"/>
      <c r="J725" s="70"/>
      <c r="K725" s="70"/>
    </row>
    <row r="726" spans="1:11" ht="20.25" customHeight="1" x14ac:dyDescent="0.3">
      <c r="A726" s="101"/>
      <c r="B726" s="93"/>
      <c r="C726" s="7"/>
      <c r="D726" s="94"/>
      <c r="E726" s="95"/>
      <c r="F726" s="70"/>
      <c r="G726" s="138"/>
      <c r="H726" s="70"/>
      <c r="I726" s="70"/>
      <c r="J726" s="70"/>
      <c r="K726" s="70"/>
    </row>
    <row r="727" spans="1:11" ht="20.25" customHeight="1" x14ac:dyDescent="0.3">
      <c r="A727" s="101"/>
      <c r="B727" s="93"/>
      <c r="C727" s="7"/>
      <c r="D727" s="94"/>
      <c r="E727" s="95"/>
      <c r="F727" s="70"/>
      <c r="G727" s="138"/>
      <c r="H727" s="70"/>
      <c r="I727" s="70"/>
      <c r="J727" s="70"/>
      <c r="K727" s="70"/>
    </row>
    <row r="728" spans="1:11" ht="20.25" customHeight="1" x14ac:dyDescent="0.3">
      <c r="A728" s="101"/>
      <c r="B728" s="93"/>
      <c r="C728" s="7"/>
      <c r="D728" s="94"/>
      <c r="E728" s="95"/>
      <c r="F728" s="70"/>
      <c r="G728" s="138"/>
      <c r="H728" s="70"/>
      <c r="I728" s="70"/>
      <c r="J728" s="70"/>
      <c r="K728" s="70"/>
    </row>
    <row r="729" spans="1:11" ht="20.25" customHeight="1" x14ac:dyDescent="0.3">
      <c r="A729" s="101"/>
      <c r="B729" s="93"/>
      <c r="C729" s="7"/>
      <c r="D729" s="94"/>
      <c r="E729" s="95"/>
      <c r="F729" s="70"/>
      <c r="G729" s="138"/>
      <c r="H729" s="70"/>
      <c r="I729" s="70"/>
      <c r="J729" s="70"/>
      <c r="K729" s="70"/>
    </row>
    <row r="730" spans="1:11" ht="20.25" customHeight="1" x14ac:dyDescent="0.3">
      <c r="A730" s="101"/>
      <c r="B730" s="93"/>
      <c r="C730" s="7"/>
      <c r="D730" s="94"/>
      <c r="E730" s="95"/>
      <c r="F730" s="70"/>
      <c r="G730" s="138"/>
      <c r="H730" s="70"/>
      <c r="I730" s="70"/>
      <c r="J730" s="70"/>
      <c r="K730" s="70"/>
    </row>
    <row r="731" spans="1:11" ht="20.25" customHeight="1" x14ac:dyDescent="0.3">
      <c r="A731" s="101"/>
      <c r="B731" s="93"/>
      <c r="C731" s="7"/>
      <c r="D731" s="94"/>
      <c r="E731" s="95"/>
      <c r="F731" s="70"/>
      <c r="G731" s="138"/>
      <c r="H731" s="70"/>
      <c r="I731" s="70"/>
      <c r="J731" s="70"/>
      <c r="K731" s="70"/>
    </row>
    <row r="732" spans="1:11" ht="20.25" customHeight="1" x14ac:dyDescent="0.3">
      <c r="A732" s="101"/>
      <c r="B732" s="93"/>
      <c r="C732" s="7"/>
      <c r="D732" s="94"/>
      <c r="E732" s="95"/>
      <c r="F732" s="70"/>
      <c r="G732" s="138"/>
      <c r="H732" s="70"/>
      <c r="I732" s="70"/>
      <c r="J732" s="70"/>
      <c r="K732" s="70"/>
    </row>
    <row r="733" spans="1:11" ht="20.25" customHeight="1" x14ac:dyDescent="0.3">
      <c r="A733" s="101"/>
      <c r="B733" s="93"/>
      <c r="C733" s="7"/>
      <c r="D733" s="94"/>
      <c r="E733" s="95"/>
      <c r="F733" s="70"/>
      <c r="G733" s="138"/>
      <c r="H733" s="70"/>
      <c r="I733" s="70"/>
      <c r="J733" s="70"/>
      <c r="K733" s="70"/>
    </row>
    <row r="734" spans="1:11" ht="20.25" customHeight="1" x14ac:dyDescent="0.3">
      <c r="A734" s="101"/>
      <c r="B734" s="93"/>
      <c r="C734" s="7"/>
      <c r="D734" s="94"/>
      <c r="E734" s="95"/>
      <c r="F734" s="70"/>
      <c r="G734" s="138"/>
      <c r="H734" s="70"/>
      <c r="I734" s="70"/>
      <c r="J734" s="70"/>
      <c r="K734" s="70"/>
    </row>
    <row r="735" spans="1:11" ht="20.25" customHeight="1" x14ac:dyDescent="0.3">
      <c r="A735" s="101"/>
      <c r="B735" s="93"/>
      <c r="C735" s="7"/>
      <c r="D735" s="94"/>
      <c r="E735" s="95"/>
      <c r="F735" s="70"/>
      <c r="G735" s="138"/>
      <c r="H735" s="70"/>
      <c r="I735" s="70"/>
      <c r="J735" s="70"/>
      <c r="K735" s="70"/>
    </row>
    <row r="736" spans="1:11" ht="20.25" customHeight="1" x14ac:dyDescent="0.3">
      <c r="A736" s="101"/>
      <c r="B736" s="93"/>
      <c r="C736" s="7"/>
      <c r="D736" s="94"/>
      <c r="E736" s="95"/>
      <c r="F736" s="70"/>
      <c r="G736" s="138"/>
      <c r="H736" s="70"/>
      <c r="I736" s="70"/>
      <c r="J736" s="70"/>
      <c r="K736" s="70"/>
    </row>
    <row r="737" spans="1:11" ht="20.25" customHeight="1" x14ac:dyDescent="0.3">
      <c r="A737" s="101"/>
      <c r="B737" s="93"/>
      <c r="C737" s="7"/>
      <c r="D737" s="94"/>
      <c r="E737" s="95"/>
      <c r="F737" s="70"/>
      <c r="G737" s="138"/>
      <c r="H737" s="70"/>
      <c r="I737" s="70"/>
      <c r="J737" s="70"/>
      <c r="K737" s="70"/>
    </row>
    <row r="738" spans="1:11" ht="20.25" customHeight="1" x14ac:dyDescent="0.3">
      <c r="A738" s="101"/>
      <c r="B738" s="93"/>
      <c r="C738" s="7"/>
      <c r="D738" s="94"/>
      <c r="E738" s="95"/>
      <c r="F738" s="70"/>
      <c r="G738" s="138"/>
      <c r="H738" s="70"/>
      <c r="I738" s="70"/>
      <c r="J738" s="70"/>
      <c r="K738" s="70"/>
    </row>
    <row r="739" spans="1:11" ht="20.25" customHeight="1" x14ac:dyDescent="0.3">
      <c r="A739" s="101"/>
      <c r="B739" s="93"/>
      <c r="C739" s="7"/>
      <c r="D739" s="94"/>
      <c r="E739" s="95"/>
      <c r="F739" s="70"/>
      <c r="G739" s="138"/>
      <c r="H739" s="70"/>
      <c r="I739" s="70"/>
      <c r="J739" s="70"/>
      <c r="K739" s="70"/>
    </row>
    <row r="740" spans="1:11" ht="20.25" customHeight="1" x14ac:dyDescent="0.3">
      <c r="A740" s="101"/>
      <c r="B740" s="93"/>
      <c r="C740" s="7"/>
      <c r="D740" s="94"/>
      <c r="E740" s="95"/>
      <c r="F740" s="70"/>
      <c r="G740" s="138"/>
      <c r="H740" s="70"/>
      <c r="I740" s="70"/>
      <c r="J740" s="70"/>
      <c r="K740" s="70"/>
    </row>
    <row r="741" spans="1:11" ht="20.25" customHeight="1" x14ac:dyDescent="0.3">
      <c r="A741" s="101"/>
      <c r="B741" s="93"/>
      <c r="C741" s="7"/>
      <c r="D741" s="94"/>
      <c r="E741" s="95"/>
      <c r="F741" s="70"/>
      <c r="G741" s="138"/>
      <c r="H741" s="70"/>
      <c r="I741" s="70"/>
      <c r="J741" s="70"/>
      <c r="K741" s="70"/>
    </row>
    <row r="742" spans="1:11" ht="20.25" customHeight="1" x14ac:dyDescent="0.3">
      <c r="A742" s="101"/>
      <c r="B742" s="93"/>
      <c r="C742" s="7"/>
      <c r="D742" s="94"/>
      <c r="E742" s="95"/>
      <c r="F742" s="70"/>
      <c r="G742" s="138"/>
      <c r="H742" s="70"/>
      <c r="I742" s="70"/>
      <c r="J742" s="70"/>
      <c r="K742" s="70"/>
    </row>
    <row r="743" spans="1:11" ht="20.25" customHeight="1" x14ac:dyDescent="0.3">
      <c r="A743" s="101"/>
      <c r="B743" s="93"/>
      <c r="C743" s="7"/>
      <c r="D743" s="94"/>
      <c r="E743" s="95"/>
      <c r="F743" s="70"/>
      <c r="G743" s="138"/>
      <c r="H743" s="70"/>
      <c r="I743" s="70"/>
      <c r="J743" s="70"/>
      <c r="K743" s="70"/>
    </row>
    <row r="744" spans="1:11" ht="20.25" customHeight="1" x14ac:dyDescent="0.3">
      <c r="A744" s="101"/>
      <c r="B744" s="93"/>
      <c r="C744" s="7"/>
      <c r="D744" s="94"/>
      <c r="E744" s="95"/>
      <c r="F744" s="70"/>
      <c r="G744" s="138"/>
      <c r="H744" s="70"/>
      <c r="I744" s="70"/>
      <c r="J744" s="70"/>
      <c r="K744" s="70"/>
    </row>
    <row r="745" spans="1:11" ht="20.25" customHeight="1" x14ac:dyDescent="0.3">
      <c r="A745" s="101"/>
      <c r="B745" s="93"/>
      <c r="C745" s="7"/>
      <c r="D745" s="94"/>
      <c r="E745" s="95"/>
      <c r="F745" s="70"/>
      <c r="G745" s="138"/>
      <c r="H745" s="70"/>
      <c r="I745" s="70"/>
      <c r="J745" s="70"/>
      <c r="K745" s="70"/>
    </row>
    <row r="746" spans="1:11" ht="20.25" customHeight="1" x14ac:dyDescent="0.3">
      <c r="A746" s="101"/>
      <c r="B746" s="93"/>
      <c r="C746" s="7"/>
      <c r="D746" s="94"/>
      <c r="E746" s="95"/>
      <c r="F746" s="70"/>
      <c r="G746" s="138"/>
      <c r="H746" s="70"/>
      <c r="I746" s="70"/>
      <c r="J746" s="70"/>
      <c r="K746" s="70"/>
    </row>
    <row r="747" spans="1:11" ht="20.25" customHeight="1" x14ac:dyDescent="0.3">
      <c r="A747" s="101"/>
      <c r="B747" s="93"/>
      <c r="C747" s="7"/>
      <c r="D747" s="94"/>
      <c r="E747" s="95"/>
      <c r="F747" s="70"/>
      <c r="G747" s="138"/>
      <c r="H747" s="70"/>
      <c r="I747" s="70"/>
      <c r="J747" s="70"/>
      <c r="K747" s="70"/>
    </row>
    <row r="748" spans="1:11" ht="20.25" customHeight="1" x14ac:dyDescent="0.3">
      <c r="A748" s="101"/>
      <c r="B748" s="93"/>
      <c r="C748" s="7"/>
      <c r="D748" s="94"/>
      <c r="E748" s="95"/>
      <c r="F748" s="70"/>
      <c r="G748" s="138"/>
      <c r="H748" s="70"/>
      <c r="I748" s="70"/>
      <c r="J748" s="70"/>
      <c r="K748" s="70"/>
    </row>
    <row r="749" spans="1:11" ht="20.25" customHeight="1" x14ac:dyDescent="0.3">
      <c r="A749" s="101"/>
      <c r="B749" s="93"/>
      <c r="C749" s="7"/>
      <c r="D749" s="94"/>
      <c r="E749" s="95"/>
      <c r="F749" s="70"/>
      <c r="G749" s="138"/>
      <c r="H749" s="70"/>
      <c r="I749" s="70"/>
      <c r="J749" s="70"/>
      <c r="K749" s="70"/>
    </row>
    <row r="750" spans="1:11" ht="20.25" customHeight="1" x14ac:dyDescent="0.3">
      <c r="A750" s="101"/>
      <c r="B750" s="93"/>
      <c r="C750" s="7"/>
      <c r="D750" s="94"/>
      <c r="E750" s="95"/>
      <c r="F750" s="70"/>
      <c r="G750" s="138"/>
      <c r="H750" s="70"/>
      <c r="I750" s="70"/>
      <c r="J750" s="70"/>
      <c r="K750" s="70"/>
    </row>
    <row r="751" spans="1:11" ht="20.25" customHeight="1" x14ac:dyDescent="0.3">
      <c r="A751" s="101"/>
      <c r="B751" s="93"/>
      <c r="C751" s="7"/>
      <c r="D751" s="94"/>
      <c r="E751" s="95"/>
      <c r="F751" s="70"/>
      <c r="G751" s="138"/>
      <c r="H751" s="70"/>
      <c r="I751" s="70"/>
      <c r="J751" s="70"/>
      <c r="K751" s="70"/>
    </row>
    <row r="752" spans="1:11" ht="20.25" customHeight="1" x14ac:dyDescent="0.3">
      <c r="A752" s="101"/>
      <c r="B752" s="93"/>
      <c r="C752" s="7"/>
      <c r="D752" s="94"/>
      <c r="E752" s="95"/>
      <c r="F752" s="70"/>
      <c r="G752" s="138"/>
      <c r="H752" s="70"/>
      <c r="I752" s="70"/>
      <c r="J752" s="70"/>
      <c r="K752" s="70"/>
    </row>
    <row r="753" spans="1:11" ht="20.25" customHeight="1" x14ac:dyDescent="0.3">
      <c r="A753" s="101"/>
      <c r="B753" s="93"/>
      <c r="C753" s="7"/>
      <c r="D753" s="94"/>
      <c r="E753" s="95"/>
      <c r="F753" s="70"/>
      <c r="G753" s="138"/>
      <c r="H753" s="70"/>
      <c r="I753" s="70"/>
      <c r="J753" s="70"/>
      <c r="K753" s="70"/>
    </row>
    <row r="754" spans="1:11" ht="20.25" customHeight="1" x14ac:dyDescent="0.3">
      <c r="A754" s="101"/>
      <c r="B754" s="93"/>
      <c r="C754" s="7"/>
      <c r="D754" s="94"/>
      <c r="E754" s="95"/>
      <c r="F754" s="70"/>
      <c r="G754" s="138"/>
      <c r="H754" s="70"/>
      <c r="I754" s="70"/>
      <c r="J754" s="70"/>
      <c r="K754" s="70"/>
    </row>
    <row r="755" spans="1:11" ht="20.25" customHeight="1" x14ac:dyDescent="0.3">
      <c r="A755" s="101"/>
      <c r="B755" s="93"/>
      <c r="C755" s="7"/>
      <c r="D755" s="94"/>
      <c r="E755" s="95"/>
      <c r="F755" s="70"/>
      <c r="G755" s="138"/>
      <c r="H755" s="70"/>
      <c r="I755" s="70"/>
      <c r="J755" s="70"/>
      <c r="K755" s="70"/>
    </row>
    <row r="756" spans="1:11" ht="20.25" customHeight="1" x14ac:dyDescent="0.3">
      <c r="A756" s="101"/>
      <c r="B756" s="93"/>
      <c r="C756" s="7"/>
      <c r="D756" s="94"/>
      <c r="E756" s="95"/>
      <c r="F756" s="70"/>
      <c r="G756" s="138"/>
      <c r="H756" s="70"/>
      <c r="I756" s="70"/>
      <c r="J756" s="70"/>
      <c r="K756" s="70"/>
    </row>
    <row r="757" spans="1:11" ht="20.25" customHeight="1" x14ac:dyDescent="0.3">
      <c r="A757" s="101"/>
      <c r="B757" s="93"/>
      <c r="C757" s="7"/>
      <c r="D757" s="94"/>
      <c r="E757" s="95"/>
      <c r="F757" s="70"/>
      <c r="G757" s="138"/>
      <c r="H757" s="70"/>
      <c r="I757" s="70"/>
      <c r="J757" s="70"/>
      <c r="K757" s="70"/>
    </row>
    <row r="758" spans="1:11" ht="20.25" customHeight="1" x14ac:dyDescent="0.3">
      <c r="A758" s="101"/>
      <c r="B758" s="93"/>
      <c r="C758" s="7"/>
      <c r="D758" s="94"/>
      <c r="E758" s="95"/>
      <c r="F758" s="70"/>
      <c r="G758" s="138"/>
      <c r="H758" s="70"/>
      <c r="I758" s="70"/>
      <c r="J758" s="70"/>
      <c r="K758" s="70"/>
    </row>
    <row r="759" spans="1:11" ht="20.25" customHeight="1" x14ac:dyDescent="0.3">
      <c r="A759" s="101"/>
      <c r="B759" s="93"/>
      <c r="C759" s="7"/>
      <c r="D759" s="94"/>
      <c r="E759" s="95"/>
      <c r="F759" s="70"/>
      <c r="G759" s="138"/>
      <c r="H759" s="70"/>
      <c r="I759" s="70"/>
      <c r="J759" s="70"/>
      <c r="K759" s="70"/>
    </row>
    <row r="760" spans="1:11" ht="20.25" customHeight="1" x14ac:dyDescent="0.3">
      <c r="A760" s="101"/>
      <c r="B760" s="93"/>
      <c r="C760" s="7"/>
      <c r="D760" s="94"/>
      <c r="E760" s="95"/>
      <c r="F760" s="70"/>
      <c r="G760" s="138"/>
      <c r="H760" s="70"/>
      <c r="I760" s="70"/>
      <c r="J760" s="70"/>
      <c r="K760" s="70"/>
    </row>
    <row r="761" spans="1:11" ht="20.25" customHeight="1" x14ac:dyDescent="0.3">
      <c r="A761" s="101"/>
      <c r="B761" s="93"/>
      <c r="C761" s="7"/>
      <c r="D761" s="94"/>
      <c r="E761" s="95"/>
      <c r="F761" s="70"/>
      <c r="G761" s="138"/>
      <c r="H761" s="70"/>
      <c r="I761" s="70"/>
      <c r="J761" s="70"/>
      <c r="K761" s="70"/>
    </row>
    <row r="762" spans="1:11" ht="20.25" customHeight="1" x14ac:dyDescent="0.3">
      <c r="A762" s="101"/>
      <c r="B762" s="93"/>
      <c r="C762" s="7"/>
      <c r="D762" s="94"/>
      <c r="E762" s="95"/>
      <c r="F762" s="70"/>
      <c r="G762" s="138"/>
      <c r="H762" s="70"/>
      <c r="I762" s="70"/>
      <c r="J762" s="70"/>
      <c r="K762" s="70"/>
    </row>
    <row r="763" spans="1:11" ht="20.25" customHeight="1" x14ac:dyDescent="0.3">
      <c r="A763" s="101"/>
      <c r="B763" s="93"/>
      <c r="C763" s="7"/>
      <c r="D763" s="94"/>
      <c r="E763" s="95"/>
      <c r="F763" s="70"/>
      <c r="G763" s="138"/>
      <c r="H763" s="70"/>
      <c r="I763" s="70"/>
      <c r="J763" s="70"/>
      <c r="K763" s="70"/>
    </row>
    <row r="764" spans="1:11" ht="20.25" customHeight="1" x14ac:dyDescent="0.3">
      <c r="A764" s="101"/>
      <c r="B764" s="93"/>
      <c r="C764" s="7"/>
      <c r="D764" s="94"/>
      <c r="E764" s="95"/>
      <c r="F764" s="70"/>
      <c r="G764" s="138"/>
      <c r="H764" s="70"/>
      <c r="I764" s="70"/>
      <c r="J764" s="70"/>
      <c r="K764" s="70"/>
    </row>
    <row r="765" spans="1:11" ht="20.25" customHeight="1" x14ac:dyDescent="0.3">
      <c r="A765" s="101"/>
      <c r="B765" s="93"/>
      <c r="C765" s="7"/>
      <c r="D765" s="94"/>
      <c r="E765" s="95"/>
      <c r="F765" s="70"/>
      <c r="G765" s="138"/>
      <c r="H765" s="70"/>
      <c r="I765" s="70"/>
      <c r="J765" s="70"/>
      <c r="K765" s="70"/>
    </row>
    <row r="766" spans="1:11" ht="20.25" customHeight="1" x14ac:dyDescent="0.3">
      <c r="A766" s="101"/>
      <c r="B766" s="93"/>
      <c r="C766" s="7"/>
      <c r="D766" s="94"/>
      <c r="E766" s="95"/>
      <c r="F766" s="70"/>
      <c r="G766" s="138"/>
      <c r="H766" s="70"/>
      <c r="I766" s="70"/>
      <c r="J766" s="70"/>
      <c r="K766" s="70"/>
    </row>
    <row r="767" spans="1:11" ht="20.25" customHeight="1" x14ac:dyDescent="0.3">
      <c r="A767" s="101"/>
      <c r="B767" s="93"/>
      <c r="C767" s="7"/>
      <c r="D767" s="94"/>
      <c r="E767" s="95"/>
      <c r="F767" s="70"/>
      <c r="G767" s="138"/>
      <c r="H767" s="70"/>
      <c r="I767" s="70"/>
      <c r="J767" s="70"/>
      <c r="K767" s="70"/>
    </row>
    <row r="768" spans="1:11" ht="20.25" customHeight="1" x14ac:dyDescent="0.3">
      <c r="A768" s="101"/>
      <c r="B768" s="93"/>
      <c r="C768" s="7"/>
      <c r="D768" s="94"/>
      <c r="E768" s="95"/>
      <c r="F768" s="70"/>
      <c r="G768" s="138"/>
      <c r="H768" s="70"/>
      <c r="I768" s="70"/>
      <c r="J768" s="70"/>
      <c r="K768" s="70"/>
    </row>
    <row r="769" spans="1:11" ht="20.25" customHeight="1" x14ac:dyDescent="0.3">
      <c r="A769" s="101"/>
      <c r="B769" s="93"/>
      <c r="C769" s="7"/>
      <c r="D769" s="94"/>
      <c r="E769" s="95"/>
      <c r="F769" s="70"/>
      <c r="G769" s="138"/>
      <c r="H769" s="70"/>
      <c r="I769" s="70"/>
      <c r="J769" s="70"/>
      <c r="K769" s="70"/>
    </row>
    <row r="770" spans="1:11" ht="20.25" customHeight="1" x14ac:dyDescent="0.3">
      <c r="A770" s="101"/>
      <c r="B770" s="93"/>
      <c r="C770" s="7"/>
      <c r="D770" s="94"/>
      <c r="E770" s="95"/>
      <c r="F770" s="70"/>
      <c r="G770" s="138"/>
      <c r="H770" s="70"/>
      <c r="I770" s="70"/>
      <c r="J770" s="70"/>
      <c r="K770" s="70"/>
    </row>
    <row r="771" spans="1:11" ht="20.25" customHeight="1" x14ac:dyDescent="0.3">
      <c r="A771" s="101"/>
      <c r="B771" s="93"/>
      <c r="C771" s="7"/>
      <c r="D771" s="94"/>
      <c r="E771" s="95"/>
      <c r="F771" s="70"/>
      <c r="G771" s="138"/>
      <c r="H771" s="70"/>
      <c r="I771" s="70"/>
      <c r="J771" s="70"/>
      <c r="K771" s="70"/>
    </row>
    <row r="772" spans="1:11" ht="20.25" customHeight="1" x14ac:dyDescent="0.3">
      <c r="A772" s="101"/>
      <c r="B772" s="93"/>
      <c r="C772" s="7"/>
      <c r="D772" s="94"/>
      <c r="E772" s="95"/>
      <c r="F772" s="70"/>
      <c r="G772" s="138"/>
      <c r="H772" s="70"/>
      <c r="I772" s="70"/>
      <c r="J772" s="70"/>
      <c r="K772" s="70"/>
    </row>
    <row r="773" spans="1:11" ht="20.25" customHeight="1" x14ac:dyDescent="0.3">
      <c r="A773" s="101"/>
      <c r="B773" s="93"/>
      <c r="C773" s="7"/>
      <c r="D773" s="94"/>
      <c r="E773" s="95"/>
      <c r="F773" s="70"/>
      <c r="G773" s="138"/>
      <c r="H773" s="70"/>
      <c r="I773" s="70"/>
      <c r="J773" s="70"/>
      <c r="K773" s="70"/>
    </row>
    <row r="774" spans="1:11" ht="20.25" customHeight="1" x14ac:dyDescent="0.3">
      <c r="A774" s="101"/>
      <c r="B774" s="93"/>
      <c r="C774" s="7"/>
      <c r="D774" s="94"/>
      <c r="E774" s="95"/>
      <c r="F774" s="70"/>
      <c r="G774" s="138"/>
      <c r="H774" s="70"/>
      <c r="I774" s="70"/>
      <c r="J774" s="70"/>
      <c r="K774" s="70"/>
    </row>
    <row r="775" spans="1:11" ht="20.25" customHeight="1" x14ac:dyDescent="0.3">
      <c r="A775" s="101"/>
      <c r="B775" s="93"/>
      <c r="C775" s="7"/>
      <c r="D775" s="94"/>
      <c r="E775" s="95"/>
      <c r="F775" s="70"/>
      <c r="G775" s="138"/>
      <c r="H775" s="70"/>
      <c r="I775" s="70"/>
      <c r="J775" s="70"/>
      <c r="K775" s="70"/>
    </row>
    <row r="776" spans="1:11" ht="20.25" customHeight="1" x14ac:dyDescent="0.3">
      <c r="A776" s="101"/>
      <c r="B776" s="93"/>
      <c r="C776" s="7"/>
      <c r="D776" s="94"/>
      <c r="E776" s="95"/>
      <c r="F776" s="70"/>
      <c r="G776" s="138"/>
      <c r="H776" s="70"/>
      <c r="I776" s="70"/>
      <c r="J776" s="70"/>
      <c r="K776" s="70"/>
    </row>
    <row r="777" spans="1:11" ht="20.25" customHeight="1" x14ac:dyDescent="0.3">
      <c r="A777" s="101"/>
      <c r="B777" s="93"/>
      <c r="C777" s="7"/>
      <c r="D777" s="94"/>
      <c r="E777" s="95"/>
      <c r="F777" s="70"/>
      <c r="G777" s="138"/>
      <c r="H777" s="70"/>
      <c r="I777" s="70"/>
      <c r="J777" s="70"/>
      <c r="K777" s="70"/>
    </row>
    <row r="778" spans="1:11" ht="20.25" customHeight="1" x14ac:dyDescent="0.3">
      <c r="A778" s="101"/>
      <c r="B778" s="93"/>
      <c r="C778" s="7"/>
      <c r="D778" s="94"/>
      <c r="E778" s="95"/>
      <c r="F778" s="70"/>
      <c r="G778" s="138"/>
      <c r="H778" s="70"/>
      <c r="I778" s="70"/>
      <c r="J778" s="70"/>
      <c r="K778" s="70"/>
    </row>
    <row r="779" spans="1:11" ht="20.25" customHeight="1" x14ac:dyDescent="0.3">
      <c r="A779" s="101"/>
      <c r="B779" s="93"/>
      <c r="C779" s="7"/>
      <c r="D779" s="94"/>
      <c r="E779" s="95"/>
      <c r="F779" s="70"/>
      <c r="G779" s="138"/>
      <c r="H779" s="70"/>
      <c r="I779" s="70"/>
      <c r="J779" s="70"/>
      <c r="K779" s="70"/>
    </row>
    <row r="780" spans="1:11" ht="20.25" customHeight="1" x14ac:dyDescent="0.3">
      <c r="A780" s="101"/>
      <c r="B780" s="93"/>
      <c r="C780" s="7"/>
      <c r="D780" s="94"/>
      <c r="E780" s="95"/>
      <c r="F780" s="70"/>
      <c r="G780" s="138"/>
      <c r="H780" s="70"/>
      <c r="I780" s="70"/>
      <c r="J780" s="70"/>
      <c r="K780" s="70"/>
    </row>
    <row r="781" spans="1:11" ht="20.25" customHeight="1" x14ac:dyDescent="0.3">
      <c r="A781" s="101"/>
      <c r="B781" s="93"/>
      <c r="C781" s="7"/>
      <c r="D781" s="94"/>
      <c r="E781" s="95"/>
      <c r="F781" s="70"/>
      <c r="G781" s="138"/>
      <c r="H781" s="70"/>
      <c r="I781" s="70"/>
      <c r="J781" s="70"/>
      <c r="K781" s="70"/>
    </row>
    <row r="782" spans="1:11" ht="20.25" customHeight="1" x14ac:dyDescent="0.3">
      <c r="A782" s="101"/>
      <c r="B782" s="93"/>
      <c r="C782" s="7"/>
      <c r="D782" s="94"/>
      <c r="E782" s="95"/>
      <c r="F782" s="70"/>
      <c r="G782" s="138"/>
      <c r="H782" s="70"/>
      <c r="I782" s="70"/>
      <c r="J782" s="70"/>
      <c r="K782" s="70"/>
    </row>
    <row r="783" spans="1:11" ht="20.25" customHeight="1" x14ac:dyDescent="0.3">
      <c r="A783" s="101"/>
      <c r="B783" s="93"/>
      <c r="C783" s="7"/>
      <c r="D783" s="94"/>
      <c r="E783" s="95"/>
      <c r="F783" s="70"/>
      <c r="G783" s="138"/>
      <c r="H783" s="70"/>
      <c r="I783" s="70"/>
      <c r="J783" s="70"/>
      <c r="K783" s="70"/>
    </row>
    <row r="784" spans="1:11" ht="20.25" customHeight="1" x14ac:dyDescent="0.3">
      <c r="A784" s="101"/>
      <c r="B784" s="93"/>
      <c r="C784" s="7"/>
      <c r="D784" s="94"/>
      <c r="E784" s="95"/>
      <c r="F784" s="70"/>
      <c r="G784" s="138"/>
      <c r="H784" s="70"/>
      <c r="I784" s="70"/>
      <c r="J784" s="70"/>
      <c r="K784" s="70"/>
    </row>
    <row r="785" spans="1:11" ht="20.25" customHeight="1" x14ac:dyDescent="0.3">
      <c r="A785" s="101"/>
      <c r="B785" s="93"/>
      <c r="C785" s="7"/>
      <c r="D785" s="94"/>
      <c r="E785" s="95"/>
      <c r="F785" s="70"/>
      <c r="G785" s="138"/>
      <c r="H785" s="70"/>
      <c r="I785" s="70"/>
      <c r="J785" s="70"/>
      <c r="K785" s="70"/>
    </row>
    <row r="786" spans="1:11" ht="20.25" customHeight="1" x14ac:dyDescent="0.3">
      <c r="A786" s="101"/>
      <c r="B786" s="93"/>
      <c r="C786" s="7"/>
      <c r="D786" s="94"/>
      <c r="E786" s="95"/>
      <c r="F786" s="70"/>
      <c r="G786" s="138"/>
      <c r="H786" s="70"/>
      <c r="I786" s="70"/>
      <c r="J786" s="70"/>
      <c r="K786" s="70"/>
    </row>
    <row r="787" spans="1:11" ht="20.25" customHeight="1" x14ac:dyDescent="0.3">
      <c r="A787" s="101"/>
      <c r="B787" s="93"/>
      <c r="C787" s="7"/>
      <c r="D787" s="94"/>
      <c r="E787" s="95"/>
      <c r="F787" s="70"/>
      <c r="G787" s="138"/>
      <c r="H787" s="70"/>
      <c r="I787" s="70"/>
      <c r="J787" s="70"/>
      <c r="K787" s="70"/>
    </row>
    <row r="788" spans="1:11" ht="20.25" customHeight="1" x14ac:dyDescent="0.3">
      <c r="A788" s="101"/>
      <c r="B788" s="93"/>
      <c r="C788" s="7"/>
      <c r="D788" s="94"/>
      <c r="E788" s="95"/>
      <c r="F788" s="70"/>
      <c r="G788" s="138"/>
      <c r="H788" s="70"/>
      <c r="I788" s="70"/>
      <c r="J788" s="70"/>
      <c r="K788" s="70"/>
    </row>
    <row r="789" spans="1:11" ht="20.25" customHeight="1" x14ac:dyDescent="0.3">
      <c r="A789" s="101"/>
      <c r="B789" s="93"/>
      <c r="C789" s="7"/>
      <c r="D789" s="94"/>
      <c r="E789" s="95"/>
      <c r="F789" s="70"/>
      <c r="G789" s="138"/>
      <c r="H789" s="70"/>
      <c r="I789" s="70"/>
      <c r="J789" s="70"/>
      <c r="K789" s="70"/>
    </row>
    <row r="790" spans="1:11" ht="20.25" customHeight="1" x14ac:dyDescent="0.3">
      <c r="A790" s="101"/>
      <c r="B790" s="93"/>
      <c r="C790" s="7"/>
      <c r="D790" s="94"/>
      <c r="E790" s="95"/>
      <c r="F790" s="70"/>
      <c r="G790" s="138"/>
      <c r="H790" s="70"/>
      <c r="I790" s="70"/>
      <c r="J790" s="70"/>
      <c r="K790" s="70"/>
    </row>
    <row r="791" spans="1:11" ht="20.25" customHeight="1" x14ac:dyDescent="0.3">
      <c r="A791" s="101"/>
      <c r="B791" s="93"/>
      <c r="C791" s="7"/>
      <c r="D791" s="94"/>
      <c r="E791" s="95"/>
      <c r="F791" s="70"/>
      <c r="G791" s="138"/>
      <c r="H791" s="70"/>
      <c r="I791" s="70"/>
      <c r="J791" s="70"/>
      <c r="K791" s="70"/>
    </row>
    <row r="792" spans="1:11" ht="20.25" customHeight="1" x14ac:dyDescent="0.3">
      <c r="A792" s="101"/>
      <c r="B792" s="93"/>
      <c r="C792" s="7"/>
      <c r="D792" s="94"/>
      <c r="E792" s="95"/>
      <c r="F792" s="70"/>
      <c r="G792" s="138"/>
      <c r="H792" s="70"/>
      <c r="I792" s="70"/>
      <c r="J792" s="70"/>
      <c r="K792" s="70"/>
    </row>
    <row r="793" spans="1:11" ht="20.25" customHeight="1" x14ac:dyDescent="0.3">
      <c r="A793" s="101"/>
      <c r="B793" s="93"/>
      <c r="C793" s="7"/>
      <c r="D793" s="94"/>
      <c r="E793" s="95"/>
      <c r="F793" s="70"/>
      <c r="G793" s="138"/>
      <c r="H793" s="70"/>
      <c r="I793" s="70"/>
      <c r="J793" s="70"/>
      <c r="K793" s="70"/>
    </row>
    <row r="794" spans="1:11" ht="20.25" customHeight="1" x14ac:dyDescent="0.3">
      <c r="A794" s="101"/>
      <c r="B794" s="93"/>
      <c r="C794" s="7"/>
      <c r="D794" s="94"/>
      <c r="E794" s="95"/>
      <c r="F794" s="70"/>
      <c r="G794" s="138"/>
      <c r="H794" s="70"/>
      <c r="I794" s="70"/>
      <c r="J794" s="70"/>
      <c r="K794" s="70"/>
    </row>
    <row r="795" spans="1:11" ht="20.25" customHeight="1" x14ac:dyDescent="0.3">
      <c r="A795" s="101"/>
      <c r="B795" s="93"/>
      <c r="C795" s="7"/>
      <c r="D795" s="94"/>
      <c r="E795" s="95"/>
      <c r="F795" s="70"/>
      <c r="G795" s="138"/>
      <c r="H795" s="70"/>
      <c r="I795" s="70"/>
      <c r="J795" s="70"/>
      <c r="K795" s="70"/>
    </row>
    <row r="796" spans="1:11" ht="20.25" customHeight="1" x14ac:dyDescent="0.3">
      <c r="A796" s="101"/>
      <c r="B796" s="93"/>
      <c r="C796" s="7"/>
      <c r="D796" s="94"/>
      <c r="E796" s="95"/>
      <c r="F796" s="70"/>
      <c r="G796" s="138"/>
      <c r="H796" s="70"/>
      <c r="I796" s="70"/>
      <c r="J796" s="70"/>
      <c r="K796" s="70"/>
    </row>
    <row r="797" spans="1:11" ht="20.25" customHeight="1" x14ac:dyDescent="0.3">
      <c r="A797" s="101"/>
      <c r="B797" s="93"/>
      <c r="C797" s="7"/>
      <c r="D797" s="94"/>
      <c r="E797" s="95"/>
      <c r="F797" s="70"/>
      <c r="G797" s="138"/>
      <c r="H797" s="70"/>
      <c r="I797" s="70"/>
      <c r="J797" s="70"/>
      <c r="K797" s="70"/>
    </row>
    <row r="798" spans="1:11" ht="20.25" customHeight="1" x14ac:dyDescent="0.3">
      <c r="A798" s="101"/>
      <c r="B798" s="93"/>
      <c r="C798" s="7"/>
      <c r="D798" s="94"/>
      <c r="E798" s="95"/>
      <c r="F798" s="70"/>
      <c r="G798" s="138"/>
      <c r="H798" s="70"/>
      <c r="I798" s="70"/>
      <c r="J798" s="70"/>
      <c r="K798" s="70"/>
    </row>
    <row r="799" spans="1:11" ht="20.25" customHeight="1" x14ac:dyDescent="0.3">
      <c r="A799" s="101"/>
      <c r="B799" s="93"/>
      <c r="C799" s="7"/>
      <c r="D799" s="94"/>
      <c r="E799" s="95"/>
      <c r="F799" s="70"/>
      <c r="G799" s="138"/>
      <c r="H799" s="70"/>
      <c r="I799" s="70"/>
      <c r="J799" s="70"/>
      <c r="K799" s="70"/>
    </row>
    <row r="800" spans="1:11" ht="20.25" customHeight="1" x14ac:dyDescent="0.3">
      <c r="A800" s="101"/>
      <c r="B800" s="93"/>
      <c r="C800" s="7"/>
      <c r="D800" s="94"/>
      <c r="E800" s="95"/>
      <c r="F800" s="70"/>
      <c r="G800" s="138"/>
      <c r="H800" s="70"/>
      <c r="I800" s="70"/>
      <c r="J800" s="70"/>
      <c r="K800" s="70"/>
    </row>
    <row r="801" spans="1:11" ht="20.25" customHeight="1" x14ac:dyDescent="0.3">
      <c r="A801" s="101"/>
      <c r="B801" s="93"/>
      <c r="C801" s="7"/>
      <c r="D801" s="94"/>
      <c r="E801" s="95"/>
      <c r="F801" s="70"/>
      <c r="G801" s="138"/>
      <c r="H801" s="70"/>
      <c r="I801" s="70"/>
      <c r="J801" s="70"/>
      <c r="K801" s="70"/>
    </row>
    <row r="802" spans="1:11" ht="20.25" customHeight="1" x14ac:dyDescent="0.3">
      <c r="A802" s="101"/>
      <c r="B802" s="93"/>
      <c r="C802" s="7"/>
      <c r="D802" s="94"/>
      <c r="E802" s="95"/>
      <c r="F802" s="70"/>
      <c r="G802" s="138"/>
      <c r="H802" s="70"/>
      <c r="I802" s="70"/>
      <c r="J802" s="70"/>
      <c r="K802" s="70"/>
    </row>
    <row r="803" spans="1:11" ht="20.25" customHeight="1" x14ac:dyDescent="0.3">
      <c r="A803" s="101"/>
      <c r="B803" s="93"/>
      <c r="C803" s="7"/>
      <c r="D803" s="94"/>
      <c r="E803" s="95"/>
      <c r="F803" s="70"/>
      <c r="G803" s="138"/>
      <c r="H803" s="70"/>
      <c r="I803" s="70"/>
      <c r="J803" s="70"/>
      <c r="K803" s="70"/>
    </row>
    <row r="804" spans="1:11" ht="20.25" customHeight="1" x14ac:dyDescent="0.3">
      <c r="A804" s="101"/>
      <c r="B804" s="93"/>
      <c r="C804" s="7"/>
      <c r="D804" s="94"/>
      <c r="E804" s="95"/>
      <c r="F804" s="70"/>
      <c r="G804" s="138"/>
      <c r="H804" s="70"/>
      <c r="I804" s="70"/>
      <c r="J804" s="70"/>
      <c r="K804" s="70"/>
    </row>
    <row r="805" spans="1:11" ht="20.25" customHeight="1" x14ac:dyDescent="0.3">
      <c r="A805" s="101"/>
      <c r="B805" s="93"/>
      <c r="C805" s="7"/>
      <c r="D805" s="94"/>
      <c r="E805" s="95"/>
      <c r="F805" s="70"/>
      <c r="G805" s="138"/>
      <c r="H805" s="70"/>
      <c r="I805" s="70"/>
      <c r="J805" s="70"/>
      <c r="K805" s="70"/>
    </row>
    <row r="806" spans="1:11" ht="20.25" customHeight="1" x14ac:dyDescent="0.3">
      <c r="A806" s="101"/>
      <c r="B806" s="93"/>
      <c r="C806" s="7"/>
      <c r="D806" s="94"/>
      <c r="E806" s="95"/>
      <c r="F806" s="70"/>
      <c r="G806" s="138"/>
      <c r="H806" s="70"/>
      <c r="I806" s="70"/>
      <c r="J806" s="70"/>
      <c r="K806" s="70"/>
    </row>
    <row r="807" spans="1:11" ht="20.25" customHeight="1" x14ac:dyDescent="0.3">
      <c r="A807" s="101"/>
      <c r="B807" s="93"/>
      <c r="C807" s="7"/>
      <c r="D807" s="94"/>
      <c r="E807" s="95"/>
      <c r="F807" s="70"/>
      <c r="G807" s="138"/>
      <c r="H807" s="70"/>
      <c r="I807" s="70"/>
      <c r="J807" s="70"/>
      <c r="K807" s="70"/>
    </row>
    <row r="808" spans="1:11" ht="20.25" customHeight="1" x14ac:dyDescent="0.3">
      <c r="A808" s="101"/>
      <c r="B808" s="93"/>
      <c r="C808" s="7"/>
      <c r="D808" s="94"/>
      <c r="E808" s="95"/>
      <c r="F808" s="70"/>
      <c r="G808" s="138"/>
      <c r="H808" s="70"/>
      <c r="I808" s="70"/>
      <c r="J808" s="70"/>
      <c r="K808" s="70"/>
    </row>
    <row r="809" spans="1:11" ht="20.25" customHeight="1" x14ac:dyDescent="0.3">
      <c r="A809" s="101"/>
      <c r="B809" s="93"/>
      <c r="C809" s="7"/>
      <c r="D809" s="94"/>
      <c r="E809" s="95"/>
      <c r="F809" s="70"/>
      <c r="G809" s="138"/>
      <c r="H809" s="70"/>
      <c r="I809" s="70"/>
      <c r="J809" s="70"/>
      <c r="K809" s="70"/>
    </row>
    <row r="810" spans="1:11" ht="20.25" customHeight="1" x14ac:dyDescent="0.3">
      <c r="A810" s="101"/>
      <c r="B810" s="93"/>
      <c r="C810" s="7"/>
      <c r="D810" s="94"/>
      <c r="E810" s="95"/>
      <c r="F810" s="70"/>
      <c r="G810" s="138"/>
      <c r="H810" s="70"/>
      <c r="I810" s="70"/>
      <c r="J810" s="70"/>
      <c r="K810" s="70"/>
    </row>
    <row r="811" spans="1:11" ht="20.25" customHeight="1" x14ac:dyDescent="0.3">
      <c r="A811" s="101"/>
      <c r="B811" s="93"/>
      <c r="C811" s="7"/>
      <c r="D811" s="94"/>
      <c r="E811" s="95"/>
      <c r="F811" s="70"/>
      <c r="G811" s="138"/>
      <c r="H811" s="70"/>
      <c r="I811" s="70"/>
      <c r="J811" s="70"/>
      <c r="K811" s="70"/>
    </row>
    <row r="812" spans="1:11" ht="20.25" customHeight="1" x14ac:dyDescent="0.3">
      <c r="A812" s="101"/>
      <c r="B812" s="93"/>
      <c r="C812" s="7"/>
      <c r="D812" s="94"/>
      <c r="E812" s="95"/>
      <c r="F812" s="70"/>
      <c r="G812" s="138"/>
      <c r="H812" s="70"/>
      <c r="I812" s="70"/>
      <c r="J812" s="70"/>
      <c r="K812" s="70"/>
    </row>
    <row r="813" spans="1:11" ht="20.25" customHeight="1" x14ac:dyDescent="0.3">
      <c r="A813" s="101"/>
      <c r="B813" s="93"/>
      <c r="C813" s="7"/>
      <c r="D813" s="94"/>
      <c r="E813" s="95"/>
      <c r="F813" s="70"/>
      <c r="G813" s="138"/>
      <c r="H813" s="70"/>
      <c r="I813" s="70"/>
      <c r="J813" s="70"/>
      <c r="K813" s="70"/>
    </row>
    <row r="814" spans="1:11" ht="20.25" customHeight="1" x14ac:dyDescent="0.3">
      <c r="A814" s="101"/>
      <c r="B814" s="93"/>
      <c r="C814" s="7"/>
      <c r="D814" s="94"/>
      <c r="E814" s="95"/>
      <c r="F814" s="70"/>
      <c r="G814" s="138"/>
      <c r="H814" s="70"/>
      <c r="I814" s="70"/>
      <c r="J814" s="70"/>
      <c r="K814" s="70"/>
    </row>
    <row r="815" spans="1:11" ht="20.25" customHeight="1" x14ac:dyDescent="0.3">
      <c r="A815" s="101"/>
      <c r="B815" s="93"/>
      <c r="C815" s="7"/>
      <c r="D815" s="94"/>
      <c r="E815" s="95"/>
      <c r="F815" s="70"/>
      <c r="G815" s="138"/>
      <c r="H815" s="70"/>
      <c r="I815" s="70"/>
      <c r="J815" s="70"/>
      <c r="K815" s="70"/>
    </row>
    <row r="816" spans="1:11" ht="20.25" customHeight="1" x14ac:dyDescent="0.3">
      <c r="A816" s="101"/>
      <c r="B816" s="93"/>
      <c r="C816" s="7"/>
      <c r="D816" s="94"/>
      <c r="E816" s="95"/>
      <c r="F816" s="70"/>
      <c r="G816" s="138"/>
      <c r="H816" s="70"/>
      <c r="I816" s="70"/>
      <c r="J816" s="70"/>
      <c r="K816" s="70"/>
    </row>
    <row r="817" spans="1:11" ht="20.25" customHeight="1" x14ac:dyDescent="0.3">
      <c r="A817" s="101"/>
      <c r="B817" s="93"/>
      <c r="C817" s="7"/>
      <c r="D817" s="94"/>
      <c r="E817" s="95"/>
      <c r="F817" s="70"/>
      <c r="G817" s="138"/>
      <c r="H817" s="70"/>
      <c r="I817" s="70"/>
      <c r="J817" s="70"/>
      <c r="K817" s="70"/>
    </row>
    <row r="818" spans="1:11" ht="20.25" customHeight="1" x14ac:dyDescent="0.3">
      <c r="A818" s="101"/>
      <c r="B818" s="93"/>
      <c r="C818" s="7"/>
      <c r="D818" s="94"/>
      <c r="E818" s="95"/>
      <c r="F818" s="70"/>
      <c r="G818" s="138"/>
      <c r="H818" s="70"/>
      <c r="I818" s="70"/>
      <c r="J818" s="70"/>
      <c r="K818" s="70"/>
    </row>
    <row r="819" spans="1:11" ht="20.25" customHeight="1" x14ac:dyDescent="0.3">
      <c r="A819" s="101"/>
      <c r="B819" s="93"/>
      <c r="C819" s="7"/>
      <c r="D819" s="94"/>
      <c r="E819" s="95"/>
      <c r="F819" s="70"/>
      <c r="G819" s="138"/>
      <c r="H819" s="70"/>
      <c r="I819" s="70"/>
      <c r="J819" s="70"/>
      <c r="K819" s="70"/>
    </row>
    <row r="820" spans="1:11" ht="20.25" customHeight="1" x14ac:dyDescent="0.3">
      <c r="A820" s="101"/>
      <c r="B820" s="93"/>
      <c r="C820" s="7"/>
      <c r="D820" s="94"/>
      <c r="E820" s="95"/>
      <c r="F820" s="70"/>
      <c r="G820" s="138"/>
      <c r="H820" s="70"/>
      <c r="I820" s="70"/>
      <c r="J820" s="70"/>
      <c r="K820" s="70"/>
    </row>
    <row r="821" spans="1:11" ht="20.25" customHeight="1" x14ac:dyDescent="0.3">
      <c r="A821" s="101"/>
      <c r="B821" s="93"/>
      <c r="C821" s="7"/>
      <c r="D821" s="94"/>
      <c r="E821" s="95"/>
      <c r="F821" s="70"/>
      <c r="G821" s="138"/>
      <c r="H821" s="70"/>
      <c r="I821" s="70"/>
      <c r="J821" s="70"/>
      <c r="K821" s="70"/>
    </row>
    <row r="822" spans="1:11" ht="20.25" customHeight="1" x14ac:dyDescent="0.3">
      <c r="A822" s="101"/>
      <c r="B822" s="93"/>
      <c r="C822" s="7"/>
      <c r="D822" s="94"/>
      <c r="E822" s="95"/>
      <c r="F822" s="70"/>
      <c r="G822" s="138"/>
      <c r="H822" s="70"/>
      <c r="I822" s="70"/>
      <c r="J822" s="70"/>
      <c r="K822" s="70"/>
    </row>
    <row r="823" spans="1:11" ht="20.25" customHeight="1" x14ac:dyDescent="0.3">
      <c r="A823" s="101"/>
      <c r="B823" s="93"/>
      <c r="C823" s="7"/>
      <c r="D823" s="94"/>
      <c r="E823" s="95"/>
      <c r="F823" s="70"/>
      <c r="G823" s="138"/>
      <c r="H823" s="70"/>
      <c r="I823" s="70"/>
      <c r="J823" s="70"/>
      <c r="K823" s="70"/>
    </row>
    <row r="824" spans="1:11" ht="20.25" customHeight="1" x14ac:dyDescent="0.3">
      <c r="A824" s="101"/>
      <c r="B824" s="93"/>
      <c r="C824" s="7"/>
      <c r="D824" s="94"/>
      <c r="E824" s="95"/>
      <c r="F824" s="70"/>
      <c r="G824" s="138"/>
      <c r="H824" s="70"/>
      <c r="I824" s="70"/>
      <c r="J824" s="70"/>
      <c r="K824" s="70"/>
    </row>
    <row r="825" spans="1:11" ht="20.25" customHeight="1" x14ac:dyDescent="0.3">
      <c r="A825" s="101"/>
      <c r="B825" s="93"/>
      <c r="C825" s="7"/>
      <c r="D825" s="94"/>
      <c r="E825" s="95"/>
      <c r="F825" s="70"/>
      <c r="G825" s="138"/>
      <c r="H825" s="70"/>
      <c r="I825" s="70"/>
      <c r="J825" s="70"/>
      <c r="K825" s="70"/>
    </row>
    <row r="826" spans="1:11" ht="20.25" customHeight="1" x14ac:dyDescent="0.3">
      <c r="A826" s="101"/>
      <c r="B826" s="93"/>
      <c r="C826" s="7"/>
      <c r="D826" s="94"/>
      <c r="E826" s="95"/>
      <c r="F826" s="70"/>
      <c r="G826" s="138"/>
      <c r="H826" s="70"/>
      <c r="I826" s="70"/>
      <c r="J826" s="70"/>
      <c r="K826" s="70"/>
    </row>
    <row r="827" spans="1:11" ht="20.25" customHeight="1" x14ac:dyDescent="0.3">
      <c r="A827" s="101"/>
      <c r="B827" s="93"/>
      <c r="C827" s="7"/>
      <c r="D827" s="94"/>
      <c r="E827" s="95"/>
      <c r="F827" s="70"/>
      <c r="G827" s="138"/>
      <c r="H827" s="70"/>
      <c r="I827" s="70"/>
      <c r="J827" s="70"/>
      <c r="K827" s="70"/>
    </row>
    <row r="828" spans="1:11" ht="20.25" customHeight="1" x14ac:dyDescent="0.3">
      <c r="A828" s="101"/>
      <c r="B828" s="93"/>
      <c r="C828" s="7"/>
      <c r="D828" s="94"/>
      <c r="E828" s="95"/>
      <c r="F828" s="70"/>
      <c r="G828" s="138"/>
      <c r="H828" s="70"/>
      <c r="I828" s="70"/>
      <c r="J828" s="70"/>
      <c r="K828" s="70"/>
    </row>
    <row r="829" spans="1:11" ht="20.25" customHeight="1" x14ac:dyDescent="0.3">
      <c r="A829" s="101"/>
      <c r="B829" s="93"/>
      <c r="C829" s="7"/>
      <c r="D829" s="94"/>
      <c r="E829" s="95"/>
      <c r="F829" s="70"/>
      <c r="G829" s="138"/>
      <c r="H829" s="70"/>
      <c r="I829" s="70"/>
      <c r="J829" s="70"/>
      <c r="K829" s="70"/>
    </row>
    <row r="830" spans="1:11" ht="20.25" customHeight="1" x14ac:dyDescent="0.3">
      <c r="A830" s="101"/>
      <c r="B830" s="93"/>
      <c r="C830" s="7"/>
      <c r="D830" s="94"/>
      <c r="E830" s="95"/>
      <c r="F830" s="70"/>
      <c r="G830" s="138"/>
      <c r="H830" s="70"/>
      <c r="I830" s="70"/>
      <c r="J830" s="70"/>
      <c r="K830" s="70"/>
    </row>
    <row r="831" spans="1:11" ht="20.25" customHeight="1" x14ac:dyDescent="0.3">
      <c r="A831" s="101"/>
      <c r="B831" s="93"/>
      <c r="C831" s="7"/>
      <c r="D831" s="94"/>
      <c r="E831" s="95"/>
      <c r="F831" s="70"/>
      <c r="G831" s="138"/>
      <c r="H831" s="70"/>
      <c r="I831" s="70"/>
      <c r="J831" s="70"/>
      <c r="K831" s="70"/>
    </row>
    <row r="832" spans="1:11" ht="20.25" customHeight="1" x14ac:dyDescent="0.3">
      <c r="A832" s="101"/>
      <c r="B832" s="93"/>
      <c r="C832" s="7"/>
      <c r="D832" s="94"/>
      <c r="E832" s="95"/>
      <c r="F832" s="70"/>
      <c r="G832" s="136"/>
      <c r="H832" s="70"/>
      <c r="I832" s="70"/>
      <c r="J832" s="70"/>
      <c r="K832" s="70"/>
    </row>
    <row r="833" spans="1:11" ht="20.25" customHeight="1" x14ac:dyDescent="0.3">
      <c r="A833" s="101"/>
      <c r="B833" s="93"/>
      <c r="C833" s="7"/>
      <c r="D833" s="94"/>
      <c r="E833" s="95"/>
      <c r="F833" s="70"/>
      <c r="G833" s="136"/>
      <c r="H833" s="70"/>
      <c r="I833" s="70"/>
      <c r="J833" s="70"/>
      <c r="K833" s="70"/>
    </row>
    <row r="834" spans="1:11" ht="20.25" customHeight="1" x14ac:dyDescent="0.3">
      <c r="A834" s="101"/>
      <c r="B834" s="93"/>
      <c r="C834" s="7"/>
      <c r="D834" s="94"/>
      <c r="E834" s="95"/>
      <c r="F834" s="70"/>
      <c r="G834" s="136"/>
      <c r="H834" s="70"/>
      <c r="I834" s="70"/>
      <c r="J834" s="70"/>
      <c r="K834" s="70"/>
    </row>
    <row r="835" spans="1:11" ht="20.25" customHeight="1" x14ac:dyDescent="0.3">
      <c r="A835" s="101"/>
      <c r="B835" s="93"/>
      <c r="C835" s="7"/>
      <c r="D835" s="94"/>
      <c r="E835" s="95"/>
      <c r="F835" s="70"/>
      <c r="G835" s="136"/>
      <c r="H835" s="70"/>
      <c r="I835" s="70"/>
      <c r="J835" s="70"/>
      <c r="K835" s="70"/>
    </row>
    <row r="836" spans="1:11" ht="20.25" customHeight="1" x14ac:dyDescent="0.3">
      <c r="A836" s="101"/>
      <c r="B836" s="93"/>
      <c r="C836" s="7"/>
      <c r="D836" s="94"/>
      <c r="E836" s="95"/>
      <c r="F836" s="70"/>
      <c r="G836" s="136"/>
      <c r="H836" s="70"/>
      <c r="I836" s="70"/>
      <c r="J836" s="70"/>
      <c r="K836" s="70"/>
    </row>
    <row r="837" spans="1:11" ht="20.25" customHeight="1" x14ac:dyDescent="0.3">
      <c r="A837" s="101"/>
      <c r="B837" s="93"/>
      <c r="C837" s="7"/>
      <c r="D837" s="94"/>
      <c r="E837" s="95"/>
      <c r="F837" s="70"/>
      <c r="G837" s="136"/>
      <c r="H837" s="70"/>
      <c r="I837" s="70"/>
      <c r="J837" s="70"/>
      <c r="K837" s="70"/>
    </row>
    <row r="838" spans="1:11" ht="20.25" customHeight="1" x14ac:dyDescent="0.3">
      <c r="A838" s="101"/>
      <c r="B838" s="93"/>
      <c r="C838" s="7"/>
      <c r="D838" s="94"/>
      <c r="E838" s="95"/>
      <c r="F838" s="70"/>
      <c r="G838" s="136"/>
      <c r="H838" s="70"/>
      <c r="I838" s="70"/>
      <c r="J838" s="70"/>
      <c r="K838" s="70"/>
    </row>
    <row r="839" spans="1:11" ht="20.25" customHeight="1" x14ac:dyDescent="0.3">
      <c r="A839" s="101"/>
      <c r="B839" s="93"/>
      <c r="C839" s="7"/>
      <c r="D839" s="94"/>
      <c r="E839" s="95"/>
      <c r="F839" s="70"/>
      <c r="G839" s="136"/>
      <c r="H839" s="70"/>
      <c r="I839" s="70"/>
      <c r="J839" s="70"/>
      <c r="K839" s="70"/>
    </row>
    <row r="840" spans="1:11" ht="20.25" customHeight="1" x14ac:dyDescent="0.3">
      <c r="A840" s="101"/>
      <c r="B840" s="93"/>
      <c r="C840" s="7"/>
      <c r="D840" s="94"/>
      <c r="E840" s="95"/>
      <c r="F840" s="70"/>
      <c r="G840" s="111"/>
      <c r="H840" s="70"/>
      <c r="I840" s="70"/>
      <c r="J840" s="70"/>
      <c r="K840" s="70"/>
    </row>
    <row r="841" spans="1:11" ht="20.25" customHeight="1" x14ac:dyDescent="0.3">
      <c r="A841" s="101"/>
      <c r="B841" s="93"/>
      <c r="C841" s="7"/>
      <c r="D841" s="94"/>
      <c r="E841" s="95"/>
      <c r="F841" s="70"/>
      <c r="G841" s="111"/>
      <c r="H841" s="70"/>
      <c r="I841" s="70"/>
      <c r="J841" s="70"/>
      <c r="K841" s="70"/>
    </row>
    <row r="842" spans="1:11" ht="20.25" customHeight="1" x14ac:dyDescent="0.3">
      <c r="A842" s="101"/>
      <c r="B842" s="93"/>
      <c r="C842" s="7"/>
      <c r="D842" s="94"/>
      <c r="E842" s="95"/>
      <c r="F842" s="70"/>
      <c r="G842" s="111"/>
      <c r="H842" s="70"/>
      <c r="I842" s="70"/>
      <c r="J842" s="70"/>
      <c r="K842" s="70"/>
    </row>
    <row r="843" spans="1:11" ht="20.25" customHeight="1" x14ac:dyDescent="0.3">
      <c r="A843" s="101"/>
      <c r="B843" s="93"/>
      <c r="C843" s="7"/>
      <c r="D843" s="94"/>
      <c r="E843" s="95"/>
      <c r="F843" s="70"/>
      <c r="G843" s="111"/>
      <c r="H843" s="70"/>
      <c r="I843" s="70"/>
      <c r="J843" s="70"/>
      <c r="K843" s="70"/>
    </row>
    <row r="844" spans="1:11" ht="20.25" customHeight="1" x14ac:dyDescent="0.3">
      <c r="A844" s="101"/>
      <c r="B844" s="93"/>
      <c r="C844" s="7"/>
      <c r="D844" s="94"/>
      <c r="E844" s="95"/>
      <c r="F844" s="70"/>
      <c r="G844" s="111"/>
      <c r="H844" s="70"/>
      <c r="I844" s="70"/>
      <c r="J844" s="70"/>
      <c r="K844" s="70"/>
    </row>
    <row r="845" spans="1:11" ht="20.25" customHeight="1" x14ac:dyDescent="0.3">
      <c r="A845" s="101"/>
      <c r="B845" s="93"/>
      <c r="C845" s="7"/>
      <c r="D845" s="94"/>
      <c r="E845" s="95"/>
      <c r="F845" s="70"/>
      <c r="G845" s="111"/>
      <c r="H845" s="70"/>
      <c r="I845" s="70"/>
      <c r="J845" s="70"/>
      <c r="K845" s="70"/>
    </row>
    <row r="846" spans="1:11" ht="20.25" customHeight="1" x14ac:dyDescent="0.3">
      <c r="A846" s="101"/>
      <c r="B846" s="93"/>
      <c r="C846" s="7"/>
      <c r="D846" s="94"/>
      <c r="E846" s="95"/>
      <c r="F846" s="70"/>
      <c r="G846" s="111"/>
      <c r="H846" s="70"/>
      <c r="I846" s="70"/>
      <c r="J846" s="70"/>
      <c r="K846" s="70"/>
    </row>
    <row r="847" spans="1:11" ht="20.25" customHeight="1" x14ac:dyDescent="0.3">
      <c r="A847" s="101"/>
      <c r="B847" s="93"/>
      <c r="C847" s="7"/>
      <c r="D847" s="94"/>
      <c r="E847" s="95"/>
      <c r="F847" s="70"/>
      <c r="G847" s="111"/>
      <c r="H847" s="70"/>
      <c r="I847" s="70"/>
      <c r="J847" s="70"/>
      <c r="K847" s="70"/>
    </row>
    <row r="848" spans="1:11" ht="20.25" customHeight="1" x14ac:dyDescent="0.3">
      <c r="A848" s="101"/>
      <c r="B848" s="93"/>
      <c r="C848" s="7"/>
      <c r="D848" s="94"/>
      <c r="E848" s="95"/>
      <c r="F848" s="70"/>
      <c r="G848" s="111"/>
      <c r="H848" s="70"/>
      <c r="I848" s="70"/>
      <c r="J848" s="70"/>
      <c r="K848" s="70"/>
    </row>
    <row r="849" spans="1:11" ht="20.25" customHeight="1" x14ac:dyDescent="0.3">
      <c r="A849" s="101"/>
      <c r="B849" s="93"/>
      <c r="C849" s="7"/>
      <c r="D849" s="94"/>
      <c r="E849" s="95"/>
      <c r="F849" s="70"/>
      <c r="G849" s="111"/>
      <c r="H849" s="70"/>
      <c r="I849" s="70"/>
      <c r="J849" s="70"/>
      <c r="K849" s="70"/>
    </row>
    <row r="850" spans="1:11" ht="20.25" customHeight="1" x14ac:dyDescent="0.3">
      <c r="A850" s="101"/>
      <c r="B850" s="93"/>
      <c r="C850" s="7"/>
      <c r="D850" s="94"/>
      <c r="E850" s="95"/>
      <c r="F850" s="70"/>
      <c r="G850" s="111"/>
      <c r="H850" s="70"/>
      <c r="I850" s="70"/>
      <c r="J850" s="70"/>
      <c r="K850" s="70"/>
    </row>
    <row r="851" spans="1:11" ht="20.25" customHeight="1" x14ac:dyDescent="0.3">
      <c r="A851" s="101"/>
      <c r="B851" s="93"/>
      <c r="C851" s="7"/>
      <c r="D851" s="94"/>
      <c r="E851" s="95"/>
      <c r="F851" s="70"/>
      <c r="G851" s="111"/>
      <c r="H851" s="70"/>
      <c r="I851" s="70"/>
      <c r="J851" s="70"/>
      <c r="K851" s="70"/>
    </row>
    <row r="852" spans="1:11" ht="20.25" customHeight="1" x14ac:dyDescent="0.3">
      <c r="A852" s="101"/>
      <c r="B852" s="93"/>
      <c r="C852" s="7"/>
      <c r="D852" s="94"/>
      <c r="E852" s="95"/>
      <c r="F852" s="70"/>
      <c r="G852" s="111"/>
      <c r="H852" s="70"/>
      <c r="I852" s="70"/>
      <c r="J852" s="70"/>
      <c r="K852" s="70"/>
    </row>
    <row r="853" spans="1:11" ht="20.25" customHeight="1" x14ac:dyDescent="0.3">
      <c r="A853" s="101"/>
      <c r="B853" s="93"/>
      <c r="C853" s="7"/>
      <c r="D853" s="94"/>
      <c r="E853" s="95"/>
      <c r="F853" s="70"/>
      <c r="G853" s="111"/>
      <c r="H853" s="70"/>
      <c r="I853" s="70"/>
      <c r="J853" s="70"/>
      <c r="K853" s="70"/>
    </row>
    <row r="854" spans="1:11" ht="20.25" customHeight="1" x14ac:dyDescent="0.3">
      <c r="A854" s="101"/>
      <c r="B854" s="93"/>
      <c r="C854" s="7"/>
      <c r="D854" s="94"/>
      <c r="E854" s="95"/>
      <c r="F854" s="70"/>
      <c r="G854" s="111"/>
      <c r="H854" s="70"/>
      <c r="I854" s="70"/>
      <c r="J854" s="70"/>
      <c r="K854" s="70"/>
    </row>
    <row r="855" spans="1:11" ht="20.25" customHeight="1" x14ac:dyDescent="0.3">
      <c r="A855" s="101"/>
      <c r="B855" s="93"/>
      <c r="C855" s="7"/>
      <c r="D855" s="94"/>
      <c r="E855" s="95"/>
      <c r="F855" s="70"/>
      <c r="G855" s="111"/>
      <c r="H855" s="70"/>
      <c r="I855" s="70"/>
      <c r="J855" s="70"/>
      <c r="K855" s="70"/>
    </row>
    <row r="856" spans="1:11" ht="20.25" customHeight="1" x14ac:dyDescent="0.3">
      <c r="A856" s="101"/>
      <c r="B856" s="93"/>
      <c r="C856" s="7"/>
      <c r="D856" s="94"/>
      <c r="E856" s="95"/>
      <c r="F856" s="70"/>
      <c r="G856" s="111"/>
      <c r="H856" s="70"/>
      <c r="I856" s="70"/>
      <c r="J856" s="70"/>
      <c r="K856" s="70"/>
    </row>
    <row r="857" spans="1:11" ht="20.25" customHeight="1" x14ac:dyDescent="0.3">
      <c r="A857" s="101"/>
      <c r="B857" s="93"/>
      <c r="C857" s="7"/>
      <c r="D857" s="94"/>
      <c r="E857" s="95"/>
      <c r="F857" s="70"/>
      <c r="G857" s="111"/>
      <c r="H857" s="70"/>
      <c r="I857" s="70"/>
      <c r="J857" s="70"/>
      <c r="K857" s="70"/>
    </row>
    <row r="858" spans="1:11" ht="20.25" customHeight="1" x14ac:dyDescent="0.3">
      <c r="A858" s="101"/>
      <c r="B858" s="93"/>
      <c r="C858" s="7"/>
      <c r="D858" s="94"/>
      <c r="E858" s="95"/>
      <c r="F858" s="70"/>
      <c r="G858" s="111"/>
      <c r="H858" s="70"/>
      <c r="I858" s="70"/>
      <c r="J858" s="70"/>
      <c r="K858" s="70"/>
    </row>
    <row r="859" spans="1:11" ht="20.25" customHeight="1" x14ac:dyDescent="0.3">
      <c r="A859" s="101"/>
      <c r="B859" s="93"/>
      <c r="C859" s="7"/>
      <c r="D859" s="94"/>
      <c r="E859" s="95"/>
      <c r="F859" s="70"/>
      <c r="G859" s="111"/>
      <c r="H859" s="70"/>
      <c r="I859" s="70"/>
      <c r="J859" s="70"/>
      <c r="K859" s="70"/>
    </row>
    <row r="860" spans="1:11" ht="20.25" customHeight="1" x14ac:dyDescent="0.3">
      <c r="A860" s="101"/>
      <c r="B860" s="93"/>
      <c r="C860" s="7"/>
      <c r="D860" s="94"/>
      <c r="E860" s="95"/>
      <c r="F860" s="70"/>
      <c r="G860" s="111"/>
      <c r="H860" s="70"/>
      <c r="I860" s="70"/>
      <c r="J860" s="70"/>
      <c r="K860" s="70"/>
    </row>
    <row r="861" spans="1:11" ht="20.25" customHeight="1" x14ac:dyDescent="0.3">
      <c r="A861" s="101"/>
      <c r="B861" s="93"/>
      <c r="C861" s="7"/>
      <c r="D861" s="94"/>
      <c r="E861" s="95"/>
      <c r="F861" s="70"/>
      <c r="G861" s="111"/>
      <c r="H861" s="70"/>
      <c r="I861" s="70"/>
      <c r="J861" s="70"/>
      <c r="K861" s="70"/>
    </row>
    <row r="862" spans="1:11" ht="20.25" customHeight="1" x14ac:dyDescent="0.3">
      <c r="A862" s="101"/>
      <c r="B862" s="93"/>
      <c r="C862" s="7"/>
      <c r="D862" s="94"/>
      <c r="E862" s="95"/>
      <c r="F862" s="70"/>
      <c r="G862" s="111"/>
      <c r="H862" s="70"/>
      <c r="I862" s="70"/>
      <c r="J862" s="70"/>
      <c r="K862" s="70"/>
    </row>
    <row r="863" spans="1:11" ht="20.25" customHeight="1" x14ac:dyDescent="0.3">
      <c r="A863" s="101"/>
      <c r="B863" s="93"/>
      <c r="C863" s="7"/>
      <c r="D863" s="94"/>
      <c r="E863" s="95"/>
      <c r="F863" s="70"/>
      <c r="G863" s="111"/>
      <c r="H863" s="70"/>
      <c r="I863" s="70"/>
      <c r="J863" s="70"/>
      <c r="K863" s="70"/>
    </row>
    <row r="864" spans="1:11" ht="20.25" customHeight="1" x14ac:dyDescent="0.3">
      <c r="A864" s="101"/>
      <c r="B864" s="93"/>
      <c r="C864" s="7"/>
      <c r="D864" s="94"/>
      <c r="E864" s="95"/>
      <c r="F864" s="70"/>
      <c r="G864" s="111"/>
      <c r="H864" s="70"/>
      <c r="I864" s="70"/>
      <c r="J864" s="70"/>
      <c r="K864" s="70"/>
    </row>
    <row r="865" spans="1:11" ht="20.25" customHeight="1" x14ac:dyDescent="0.3">
      <c r="A865" s="101"/>
      <c r="B865" s="93"/>
      <c r="C865" s="7"/>
      <c r="D865" s="94"/>
      <c r="E865" s="95"/>
      <c r="F865" s="70"/>
      <c r="G865" s="111"/>
      <c r="H865" s="70"/>
      <c r="I865" s="70"/>
      <c r="J865" s="70"/>
      <c r="K865" s="70"/>
    </row>
    <row r="866" spans="1:11" ht="20.25" customHeight="1" x14ac:dyDescent="0.3">
      <c r="A866" s="101"/>
      <c r="B866" s="93"/>
      <c r="C866" s="7"/>
      <c r="D866" s="94"/>
      <c r="E866" s="95"/>
      <c r="F866" s="70"/>
      <c r="G866" s="111"/>
      <c r="H866" s="70"/>
      <c r="I866" s="70"/>
      <c r="J866" s="70"/>
      <c r="K866" s="70"/>
    </row>
    <row r="867" spans="1:11" ht="20.25" customHeight="1" x14ac:dyDescent="0.3">
      <c r="A867" s="101"/>
      <c r="B867" s="93"/>
      <c r="C867" s="7"/>
      <c r="D867" s="94"/>
      <c r="E867" s="95"/>
      <c r="F867" s="70"/>
      <c r="G867" s="111"/>
      <c r="H867" s="70"/>
      <c r="I867" s="70"/>
      <c r="J867" s="70"/>
      <c r="K867" s="70"/>
    </row>
    <row r="868" spans="1:11" ht="20.25" customHeight="1" x14ac:dyDescent="0.3">
      <c r="A868" s="101"/>
      <c r="B868" s="93"/>
      <c r="C868" s="7"/>
      <c r="D868" s="94"/>
      <c r="E868" s="95"/>
      <c r="F868" s="70"/>
      <c r="G868" s="111"/>
      <c r="H868" s="70"/>
      <c r="I868" s="70"/>
      <c r="J868" s="70"/>
      <c r="K868" s="70"/>
    </row>
    <row r="869" spans="1:11" ht="20.25" customHeight="1" x14ac:dyDescent="0.3">
      <c r="A869" s="101"/>
      <c r="B869" s="93"/>
      <c r="C869" s="7"/>
      <c r="D869" s="94"/>
      <c r="E869" s="95"/>
      <c r="F869" s="70"/>
      <c r="G869" s="111"/>
      <c r="H869" s="70"/>
      <c r="I869" s="70"/>
      <c r="J869" s="70"/>
      <c r="K869" s="70"/>
    </row>
    <row r="870" spans="1:11" ht="20.25" customHeight="1" x14ac:dyDescent="0.3">
      <c r="A870" s="101"/>
      <c r="B870" s="93"/>
      <c r="C870" s="7"/>
      <c r="D870" s="94"/>
      <c r="E870" s="95"/>
      <c r="F870" s="70"/>
      <c r="G870" s="111"/>
      <c r="H870" s="70"/>
      <c r="I870" s="70"/>
      <c r="J870" s="70"/>
      <c r="K870" s="70"/>
    </row>
    <row r="871" spans="1:11" ht="20.25" customHeight="1" x14ac:dyDescent="0.3">
      <c r="A871" s="101"/>
      <c r="B871" s="93"/>
      <c r="C871" s="7"/>
      <c r="D871" s="94"/>
      <c r="E871" s="95"/>
      <c r="F871" s="70"/>
      <c r="G871" s="111"/>
      <c r="H871" s="70"/>
      <c r="I871" s="70"/>
      <c r="J871" s="70"/>
      <c r="K871" s="70"/>
    </row>
    <row r="872" spans="1:11" ht="20.25" customHeight="1" x14ac:dyDescent="0.3">
      <c r="A872" s="101"/>
      <c r="B872" s="93"/>
      <c r="C872" s="7"/>
      <c r="D872" s="94"/>
      <c r="E872" s="95"/>
      <c r="F872" s="70"/>
      <c r="G872" s="111"/>
      <c r="H872" s="70"/>
      <c r="I872" s="70"/>
      <c r="J872" s="70"/>
      <c r="K872" s="70"/>
    </row>
    <row r="873" spans="1:11" ht="20.25" customHeight="1" x14ac:dyDescent="0.3">
      <c r="A873" s="101"/>
      <c r="B873" s="93"/>
      <c r="C873" s="7"/>
      <c r="D873" s="94"/>
      <c r="E873" s="95"/>
      <c r="F873" s="70"/>
      <c r="G873" s="111"/>
      <c r="H873" s="70"/>
      <c r="I873" s="70"/>
      <c r="J873" s="70"/>
      <c r="K873" s="70"/>
    </row>
    <row r="874" spans="1:11" ht="20.25" customHeight="1" x14ac:dyDescent="0.3">
      <c r="A874" s="101"/>
      <c r="B874" s="93"/>
      <c r="C874" s="7"/>
      <c r="D874" s="94"/>
      <c r="E874" s="95"/>
      <c r="F874" s="70"/>
      <c r="G874" s="111"/>
      <c r="H874" s="70"/>
      <c r="I874" s="70"/>
      <c r="J874" s="70"/>
      <c r="K874" s="70"/>
    </row>
    <row r="875" spans="1:11" ht="20.25" customHeight="1" x14ac:dyDescent="0.3">
      <c r="A875" s="101"/>
      <c r="B875" s="93"/>
      <c r="C875" s="7"/>
      <c r="D875" s="94"/>
      <c r="E875" s="95"/>
      <c r="F875" s="70"/>
      <c r="G875" s="111"/>
      <c r="H875" s="70"/>
      <c r="I875" s="70"/>
      <c r="J875" s="70"/>
      <c r="K875" s="70"/>
    </row>
    <row r="876" spans="1:11" ht="20.25" customHeight="1" x14ac:dyDescent="0.3">
      <c r="A876" s="101"/>
      <c r="B876" s="93"/>
      <c r="C876" s="7"/>
      <c r="D876" s="94"/>
      <c r="E876" s="95"/>
      <c r="F876" s="70"/>
      <c r="G876" s="111"/>
      <c r="H876" s="70"/>
      <c r="I876" s="70"/>
      <c r="J876" s="70"/>
      <c r="K876" s="70"/>
    </row>
    <row r="877" spans="1:11" ht="20.25" customHeight="1" x14ac:dyDescent="0.3">
      <c r="A877" s="101"/>
      <c r="B877" s="93"/>
      <c r="C877" s="7"/>
      <c r="D877" s="94"/>
      <c r="E877" s="95"/>
      <c r="F877" s="70"/>
      <c r="G877" s="111"/>
      <c r="H877" s="70"/>
      <c r="I877" s="70"/>
      <c r="J877" s="70"/>
      <c r="K877" s="70"/>
    </row>
    <row r="878" spans="1:11" ht="20.25" customHeight="1" x14ac:dyDescent="0.3">
      <c r="A878" s="101"/>
      <c r="B878" s="93"/>
      <c r="C878" s="7"/>
      <c r="D878" s="94"/>
      <c r="E878" s="95"/>
      <c r="F878" s="70"/>
      <c r="G878" s="111"/>
      <c r="H878" s="70"/>
      <c r="I878" s="70"/>
      <c r="J878" s="70"/>
      <c r="K878" s="70"/>
    </row>
    <row r="879" spans="1:11" ht="20.25" customHeight="1" x14ac:dyDescent="0.3">
      <c r="A879" s="101"/>
      <c r="B879" s="93"/>
      <c r="C879" s="7"/>
      <c r="D879" s="94"/>
      <c r="E879" s="95"/>
      <c r="F879" s="70"/>
      <c r="G879" s="111"/>
      <c r="H879" s="70"/>
      <c r="I879" s="70"/>
      <c r="J879" s="70"/>
      <c r="K879" s="70"/>
    </row>
    <row r="880" spans="1:11" ht="20.25" customHeight="1" x14ac:dyDescent="0.3">
      <c r="A880" s="101"/>
      <c r="B880" s="93"/>
      <c r="C880" s="7"/>
      <c r="D880" s="94"/>
      <c r="E880" s="95"/>
      <c r="F880" s="70"/>
      <c r="G880" s="111"/>
      <c r="H880" s="70"/>
      <c r="I880" s="70"/>
      <c r="J880" s="70"/>
      <c r="K880" s="70"/>
    </row>
    <row r="881" spans="1:11" ht="20.25" customHeight="1" x14ac:dyDescent="0.3">
      <c r="A881" s="101"/>
      <c r="B881" s="93"/>
      <c r="C881" s="7"/>
      <c r="D881" s="94"/>
      <c r="E881" s="95"/>
      <c r="F881" s="70"/>
      <c r="G881" s="111"/>
      <c r="H881" s="70"/>
      <c r="I881" s="70"/>
      <c r="J881" s="70"/>
      <c r="K881" s="70"/>
    </row>
    <row r="882" spans="1:11" ht="20.25" customHeight="1" x14ac:dyDescent="0.3">
      <c r="A882" s="101"/>
      <c r="B882" s="93"/>
      <c r="C882" s="7"/>
      <c r="D882" s="94"/>
      <c r="E882" s="95"/>
      <c r="F882" s="70"/>
      <c r="G882" s="111"/>
      <c r="H882" s="70"/>
      <c r="I882" s="70"/>
      <c r="J882" s="70"/>
      <c r="K882" s="70"/>
    </row>
    <row r="883" spans="1:11" ht="20.25" customHeight="1" x14ac:dyDescent="0.3">
      <c r="A883" s="101"/>
      <c r="B883" s="93"/>
      <c r="C883" s="7"/>
      <c r="D883" s="94"/>
      <c r="E883" s="95"/>
      <c r="F883" s="70"/>
      <c r="G883" s="111"/>
      <c r="H883" s="70"/>
      <c r="I883" s="70"/>
      <c r="J883" s="70"/>
      <c r="K883" s="70"/>
    </row>
    <row r="884" spans="1:11" ht="20.25" customHeight="1" x14ac:dyDescent="0.3">
      <c r="A884" s="101"/>
      <c r="B884" s="93"/>
      <c r="C884" s="7"/>
      <c r="D884" s="94"/>
      <c r="E884" s="95"/>
      <c r="F884" s="70"/>
      <c r="G884" s="111"/>
      <c r="H884" s="70"/>
      <c r="I884" s="70"/>
      <c r="J884" s="70"/>
      <c r="K884" s="70"/>
    </row>
    <row r="885" spans="1:11" ht="20.25" customHeight="1" x14ac:dyDescent="0.3">
      <c r="A885" s="101"/>
      <c r="B885" s="93"/>
      <c r="C885" s="7"/>
      <c r="D885" s="94"/>
      <c r="E885" s="95"/>
      <c r="F885" s="70"/>
      <c r="G885" s="111"/>
      <c r="H885" s="70"/>
      <c r="I885" s="70"/>
      <c r="J885" s="70"/>
      <c r="K885" s="70"/>
    </row>
    <row r="886" spans="1:11" ht="20.25" customHeight="1" x14ac:dyDescent="0.3">
      <c r="A886" s="101"/>
      <c r="B886" s="93"/>
      <c r="C886" s="7"/>
      <c r="D886" s="94"/>
      <c r="E886" s="95"/>
      <c r="F886" s="70"/>
      <c r="G886" s="111"/>
      <c r="H886" s="70"/>
      <c r="I886" s="70"/>
      <c r="J886" s="70"/>
      <c r="K886" s="70"/>
    </row>
    <row r="887" spans="1:11" ht="20.25" customHeight="1" x14ac:dyDescent="0.3">
      <c r="A887" s="101"/>
      <c r="B887" s="93"/>
      <c r="C887" s="7"/>
      <c r="D887" s="94"/>
      <c r="E887" s="95"/>
      <c r="F887" s="70"/>
      <c r="G887" s="111"/>
      <c r="H887" s="70"/>
      <c r="I887" s="70"/>
      <c r="J887" s="70"/>
      <c r="K887" s="70"/>
    </row>
    <row r="888" spans="1:11" ht="20.25" customHeight="1" x14ac:dyDescent="0.3">
      <c r="A888" s="101"/>
      <c r="B888" s="93"/>
      <c r="C888" s="7"/>
      <c r="D888" s="94"/>
      <c r="E888" s="95"/>
      <c r="F888" s="70"/>
      <c r="G888" s="111"/>
      <c r="H888" s="70"/>
      <c r="I888" s="70"/>
      <c r="J888" s="70"/>
      <c r="K888" s="70"/>
    </row>
    <row r="889" spans="1:11" ht="20.25" customHeight="1" x14ac:dyDescent="0.3">
      <c r="A889" s="101"/>
      <c r="B889" s="93"/>
      <c r="C889" s="7"/>
      <c r="D889" s="94"/>
      <c r="E889" s="95"/>
      <c r="F889" s="70"/>
      <c r="G889" s="111"/>
      <c r="H889" s="70"/>
      <c r="I889" s="70"/>
      <c r="J889" s="70"/>
      <c r="K889" s="70"/>
    </row>
    <row r="890" spans="1:11" ht="20.25" customHeight="1" x14ac:dyDescent="0.3">
      <c r="A890" s="101"/>
      <c r="B890" s="93"/>
      <c r="C890" s="7"/>
      <c r="D890" s="94"/>
      <c r="E890" s="95"/>
      <c r="F890" s="70"/>
      <c r="G890" s="111"/>
      <c r="H890" s="70"/>
      <c r="I890" s="70"/>
      <c r="J890" s="70"/>
      <c r="K890" s="70"/>
    </row>
    <row r="891" spans="1:11" ht="20.25" customHeight="1" x14ac:dyDescent="0.3">
      <c r="A891" s="101"/>
      <c r="B891" s="93"/>
      <c r="C891" s="7"/>
      <c r="D891" s="94"/>
      <c r="E891" s="95"/>
      <c r="F891" s="70"/>
      <c r="G891" s="111"/>
      <c r="H891" s="70"/>
      <c r="I891" s="70"/>
      <c r="J891" s="70"/>
      <c r="K891" s="70"/>
    </row>
    <row r="892" spans="1:11" ht="20.25" customHeight="1" x14ac:dyDescent="0.3">
      <c r="A892" s="101"/>
      <c r="B892" s="93"/>
      <c r="C892" s="7"/>
      <c r="D892" s="94"/>
      <c r="E892" s="95"/>
      <c r="F892" s="70"/>
      <c r="G892" s="111"/>
      <c r="H892" s="70"/>
      <c r="I892" s="70"/>
      <c r="J892" s="70"/>
      <c r="K892" s="70"/>
    </row>
    <row r="893" spans="1:11" ht="20.25" customHeight="1" x14ac:dyDescent="0.3">
      <c r="A893" s="101"/>
      <c r="B893" s="93"/>
      <c r="C893" s="7"/>
      <c r="D893" s="94"/>
      <c r="E893" s="95"/>
      <c r="F893" s="70"/>
      <c r="G893" s="111"/>
      <c r="H893" s="70"/>
      <c r="I893" s="70"/>
      <c r="J893" s="70"/>
      <c r="K893" s="70"/>
    </row>
    <row r="894" spans="1:11" ht="20.25" customHeight="1" x14ac:dyDescent="0.3">
      <c r="A894" s="101"/>
      <c r="B894" s="93"/>
      <c r="C894" s="7"/>
      <c r="D894" s="94"/>
      <c r="E894" s="95"/>
      <c r="F894" s="70"/>
      <c r="G894" s="111"/>
      <c r="H894" s="70"/>
      <c r="I894" s="70"/>
      <c r="J894" s="70"/>
      <c r="K894" s="70"/>
    </row>
    <row r="895" spans="1:11" ht="20.25" customHeight="1" x14ac:dyDescent="0.3">
      <c r="A895" s="101"/>
      <c r="B895" s="93"/>
      <c r="C895" s="7"/>
      <c r="D895" s="94"/>
      <c r="E895" s="95"/>
      <c r="F895" s="70"/>
      <c r="G895" s="111"/>
      <c r="H895" s="70"/>
      <c r="I895" s="70"/>
      <c r="J895" s="70"/>
      <c r="K895" s="70"/>
    </row>
    <row r="896" spans="1:11" ht="20.25" customHeight="1" x14ac:dyDescent="0.3">
      <c r="A896" s="101"/>
      <c r="B896" s="93"/>
      <c r="C896" s="7"/>
      <c r="D896" s="94"/>
      <c r="E896" s="95"/>
      <c r="F896" s="70"/>
      <c r="G896" s="111"/>
      <c r="H896" s="70"/>
      <c r="I896" s="70"/>
      <c r="J896" s="70"/>
      <c r="K896" s="70"/>
    </row>
    <row r="897" spans="1:11" ht="20.25" customHeight="1" x14ac:dyDescent="0.3">
      <c r="A897" s="101"/>
      <c r="B897" s="93"/>
      <c r="C897" s="7"/>
      <c r="D897" s="94"/>
      <c r="E897" s="95"/>
      <c r="F897" s="70"/>
      <c r="G897" s="111"/>
      <c r="H897" s="70"/>
      <c r="I897" s="70"/>
      <c r="J897" s="70"/>
      <c r="K897" s="70"/>
    </row>
    <row r="898" spans="1:11" ht="20.25" customHeight="1" x14ac:dyDescent="0.3">
      <c r="A898" s="101"/>
      <c r="B898" s="93"/>
      <c r="C898" s="7"/>
      <c r="D898" s="94"/>
      <c r="E898" s="95"/>
      <c r="F898" s="70"/>
      <c r="G898" s="111"/>
      <c r="H898" s="70"/>
      <c r="I898" s="70"/>
      <c r="J898" s="70"/>
      <c r="K898" s="70"/>
    </row>
    <row r="899" spans="1:11" ht="20.25" customHeight="1" x14ac:dyDescent="0.3">
      <c r="A899" s="101"/>
      <c r="B899" s="93"/>
      <c r="C899" s="7"/>
      <c r="D899" s="94"/>
      <c r="E899" s="95"/>
      <c r="F899" s="70"/>
      <c r="G899" s="111"/>
      <c r="H899" s="70"/>
      <c r="I899" s="70"/>
      <c r="J899" s="70"/>
      <c r="K899" s="70"/>
    </row>
    <row r="900" spans="1:11" ht="20.25" customHeight="1" x14ac:dyDescent="0.3">
      <c r="A900" s="101"/>
      <c r="B900" s="93"/>
      <c r="C900" s="7"/>
      <c r="D900" s="94"/>
      <c r="E900" s="95"/>
      <c r="F900" s="70"/>
      <c r="G900" s="111"/>
      <c r="H900" s="70"/>
      <c r="I900" s="70"/>
      <c r="J900" s="70"/>
      <c r="K900" s="70"/>
    </row>
    <row r="901" spans="1:11" ht="20.25" customHeight="1" x14ac:dyDescent="0.3">
      <c r="A901" s="101"/>
      <c r="B901" s="93"/>
      <c r="C901" s="7"/>
      <c r="D901" s="94"/>
      <c r="E901" s="95"/>
      <c r="F901" s="70"/>
      <c r="G901" s="111"/>
      <c r="H901" s="70"/>
      <c r="I901" s="70"/>
      <c r="J901" s="70"/>
      <c r="K901" s="70"/>
    </row>
    <row r="902" spans="1:11" ht="20.25" customHeight="1" x14ac:dyDescent="0.3">
      <c r="A902" s="101"/>
      <c r="B902" s="93"/>
      <c r="C902" s="7"/>
      <c r="D902" s="94"/>
      <c r="E902" s="95"/>
      <c r="F902" s="70"/>
      <c r="G902" s="111"/>
      <c r="H902" s="70"/>
      <c r="I902" s="70"/>
      <c r="J902" s="70"/>
      <c r="K902" s="70"/>
    </row>
    <row r="903" spans="1:11" ht="20.25" customHeight="1" x14ac:dyDescent="0.3">
      <c r="A903" s="101"/>
      <c r="B903" s="93"/>
      <c r="C903" s="7"/>
      <c r="D903" s="94"/>
      <c r="E903" s="95"/>
      <c r="F903" s="70"/>
      <c r="G903" s="111"/>
      <c r="H903" s="70"/>
      <c r="I903" s="70"/>
      <c r="J903" s="70"/>
      <c r="K903" s="70"/>
    </row>
    <row r="904" spans="1:11" ht="20.25" customHeight="1" x14ac:dyDescent="0.3">
      <c r="A904" s="101"/>
      <c r="B904" s="93"/>
      <c r="C904" s="7"/>
      <c r="D904" s="94"/>
      <c r="E904" s="95"/>
      <c r="F904" s="70"/>
      <c r="G904" s="111"/>
      <c r="H904" s="70"/>
      <c r="I904" s="70"/>
      <c r="J904" s="70"/>
      <c r="K904" s="70"/>
    </row>
    <row r="905" spans="1:11" ht="20.25" customHeight="1" x14ac:dyDescent="0.3">
      <c r="A905" s="101"/>
      <c r="B905" s="93"/>
      <c r="C905" s="7"/>
      <c r="D905" s="94"/>
      <c r="E905" s="95"/>
      <c r="F905" s="70"/>
      <c r="G905" s="111"/>
      <c r="H905" s="70"/>
      <c r="I905" s="70"/>
      <c r="J905" s="70"/>
      <c r="K905" s="70"/>
    </row>
    <row r="906" spans="1:11" ht="20.25" customHeight="1" x14ac:dyDescent="0.3">
      <c r="A906" s="101"/>
      <c r="B906" s="93"/>
      <c r="C906" s="7"/>
      <c r="D906" s="94"/>
      <c r="E906" s="95"/>
      <c r="F906" s="70"/>
      <c r="G906" s="111"/>
      <c r="H906" s="70"/>
      <c r="I906" s="70"/>
      <c r="J906" s="70"/>
      <c r="K906" s="70"/>
    </row>
    <row r="907" spans="1:11" ht="20.25" customHeight="1" x14ac:dyDescent="0.3">
      <c r="A907" s="101"/>
      <c r="B907" s="93"/>
      <c r="C907" s="7"/>
      <c r="D907" s="94"/>
      <c r="E907" s="95"/>
      <c r="F907" s="70"/>
      <c r="G907" s="111"/>
      <c r="H907" s="70"/>
      <c r="I907" s="70"/>
      <c r="J907" s="70"/>
      <c r="K907" s="70"/>
    </row>
    <row r="908" spans="1:11" ht="20.25" customHeight="1" x14ac:dyDescent="0.3">
      <c r="A908" s="101"/>
      <c r="B908" s="93"/>
      <c r="C908" s="7"/>
      <c r="D908" s="94"/>
      <c r="E908" s="95"/>
      <c r="F908" s="70"/>
      <c r="G908" s="111"/>
      <c r="H908" s="70"/>
      <c r="I908" s="70"/>
      <c r="J908" s="70"/>
      <c r="K908" s="70"/>
    </row>
    <row r="909" spans="1:11" ht="20.25" customHeight="1" x14ac:dyDescent="0.3">
      <c r="A909" s="101"/>
      <c r="B909" s="93"/>
      <c r="C909" s="7"/>
      <c r="D909" s="94"/>
      <c r="E909" s="95"/>
      <c r="F909" s="70"/>
      <c r="G909" s="111"/>
      <c r="H909" s="70"/>
      <c r="I909" s="70"/>
      <c r="J909" s="70"/>
      <c r="K909" s="70"/>
    </row>
    <row r="910" spans="1:11" ht="20.25" customHeight="1" x14ac:dyDescent="0.3">
      <c r="A910" s="101"/>
      <c r="B910" s="93"/>
      <c r="C910" s="7"/>
      <c r="D910" s="94"/>
      <c r="E910" s="95"/>
      <c r="F910" s="70"/>
      <c r="G910" s="111"/>
      <c r="H910" s="70"/>
      <c r="I910" s="70"/>
      <c r="J910" s="70"/>
      <c r="K910" s="70"/>
    </row>
    <row r="911" spans="1:11" ht="20.25" customHeight="1" x14ac:dyDescent="0.3">
      <c r="A911" s="101"/>
      <c r="B911" s="93"/>
      <c r="C911" s="7"/>
      <c r="D911" s="94"/>
      <c r="E911" s="95"/>
      <c r="F911" s="70"/>
      <c r="G911" s="111"/>
      <c r="H911" s="70"/>
      <c r="I911" s="70"/>
      <c r="J911" s="70"/>
      <c r="K911" s="70"/>
    </row>
    <row r="912" spans="1:11" ht="20.25" customHeight="1" x14ac:dyDescent="0.3">
      <c r="A912" s="101"/>
      <c r="B912" s="93"/>
      <c r="C912" s="7"/>
      <c r="D912" s="94"/>
      <c r="E912" s="95"/>
      <c r="F912" s="70"/>
      <c r="G912" s="111"/>
      <c r="H912" s="70"/>
      <c r="I912" s="70"/>
      <c r="J912" s="70"/>
      <c r="K912" s="70"/>
    </row>
    <row r="913" spans="1:11" ht="20.25" customHeight="1" x14ac:dyDescent="0.3">
      <c r="A913" s="101"/>
      <c r="B913" s="93"/>
      <c r="C913" s="7"/>
      <c r="D913" s="94"/>
      <c r="E913" s="95"/>
      <c r="F913" s="70"/>
      <c r="G913" s="111"/>
      <c r="H913" s="70"/>
      <c r="I913" s="70"/>
      <c r="J913" s="70"/>
      <c r="K913" s="70"/>
    </row>
    <row r="914" spans="1:11" ht="20.25" customHeight="1" x14ac:dyDescent="0.3">
      <c r="A914" s="101"/>
      <c r="B914" s="93"/>
      <c r="C914" s="7"/>
      <c r="D914" s="94"/>
      <c r="E914" s="95"/>
      <c r="F914" s="70"/>
      <c r="G914" s="111"/>
      <c r="H914" s="70"/>
      <c r="I914" s="70"/>
      <c r="J914" s="70"/>
      <c r="K914" s="70"/>
    </row>
    <row r="915" spans="1:11" ht="20.25" customHeight="1" x14ac:dyDescent="0.3">
      <c r="A915" s="101"/>
      <c r="B915" s="93"/>
      <c r="C915" s="7"/>
      <c r="D915" s="94"/>
      <c r="E915" s="95"/>
      <c r="F915" s="70"/>
      <c r="G915" s="111"/>
      <c r="H915" s="70"/>
      <c r="I915" s="70"/>
      <c r="J915" s="70"/>
      <c r="K915" s="70"/>
    </row>
    <row r="916" spans="1:11" ht="20.25" customHeight="1" x14ac:dyDescent="0.3">
      <c r="A916" s="101"/>
      <c r="B916" s="93"/>
      <c r="C916" s="7"/>
      <c r="D916" s="94"/>
      <c r="E916" s="95"/>
      <c r="F916" s="70"/>
      <c r="G916" s="111"/>
      <c r="H916" s="70"/>
      <c r="I916" s="70"/>
      <c r="J916" s="70"/>
      <c r="K916" s="70"/>
    </row>
    <row r="917" spans="1:11" ht="20.25" customHeight="1" x14ac:dyDescent="0.3">
      <c r="A917" s="101"/>
      <c r="B917" s="93"/>
      <c r="C917" s="7"/>
      <c r="D917" s="94"/>
      <c r="E917" s="95"/>
      <c r="F917" s="70"/>
      <c r="G917" s="111"/>
      <c r="H917" s="70"/>
      <c r="I917" s="70"/>
      <c r="J917" s="70"/>
      <c r="K917" s="70"/>
    </row>
    <row r="918" spans="1:11" ht="20.25" customHeight="1" x14ac:dyDescent="0.3">
      <c r="A918" s="101"/>
      <c r="B918" s="93"/>
      <c r="C918" s="7"/>
      <c r="D918" s="94"/>
      <c r="E918" s="95"/>
      <c r="F918" s="70"/>
      <c r="G918" s="111"/>
      <c r="H918" s="70"/>
      <c r="I918" s="70"/>
      <c r="J918" s="70"/>
      <c r="K918" s="70"/>
    </row>
    <row r="919" spans="1:11" ht="20.25" customHeight="1" x14ac:dyDescent="0.3">
      <c r="A919" s="101"/>
      <c r="B919" s="93"/>
      <c r="C919" s="7"/>
      <c r="D919" s="94"/>
      <c r="E919" s="95"/>
      <c r="F919" s="70"/>
      <c r="G919" s="111"/>
      <c r="H919" s="70"/>
      <c r="I919" s="70"/>
      <c r="J919" s="70"/>
      <c r="K919" s="70"/>
    </row>
    <row r="920" spans="1:11" ht="20.25" customHeight="1" x14ac:dyDescent="0.3">
      <c r="A920" s="101"/>
      <c r="B920" s="93"/>
      <c r="C920" s="7"/>
      <c r="D920" s="94"/>
      <c r="E920" s="95"/>
      <c r="F920" s="70"/>
      <c r="G920" s="111"/>
      <c r="H920" s="70"/>
      <c r="I920" s="70"/>
      <c r="J920" s="70"/>
      <c r="K920" s="70"/>
    </row>
    <row r="921" spans="1:11" ht="20.25" customHeight="1" x14ac:dyDescent="0.3">
      <c r="A921" s="101"/>
      <c r="B921" s="93"/>
      <c r="C921" s="7"/>
      <c r="D921" s="94"/>
      <c r="E921" s="95"/>
      <c r="F921" s="70"/>
      <c r="G921" s="111"/>
      <c r="H921" s="70"/>
      <c r="I921" s="70"/>
      <c r="J921" s="70"/>
      <c r="K921" s="70"/>
    </row>
    <row r="922" spans="1:11" ht="20.25" customHeight="1" x14ac:dyDescent="0.3">
      <c r="A922" s="101"/>
      <c r="B922" s="93"/>
      <c r="C922" s="7"/>
      <c r="D922" s="94"/>
      <c r="E922" s="95"/>
      <c r="F922" s="70"/>
      <c r="G922" s="111"/>
      <c r="H922" s="70"/>
      <c r="I922" s="70"/>
      <c r="J922" s="70"/>
      <c r="K922" s="70"/>
    </row>
    <row r="923" spans="1:11" ht="20.25" customHeight="1" x14ac:dyDescent="0.3">
      <c r="A923" s="101"/>
      <c r="B923" s="93"/>
      <c r="C923" s="7"/>
      <c r="D923" s="94"/>
      <c r="E923" s="95"/>
      <c r="F923" s="70"/>
      <c r="G923" s="111"/>
      <c r="H923" s="70"/>
      <c r="I923" s="70"/>
      <c r="J923" s="70"/>
      <c r="K923" s="70"/>
    </row>
    <row r="924" spans="1:11" ht="20.25" customHeight="1" x14ac:dyDescent="0.3">
      <c r="A924" s="101"/>
      <c r="B924" s="93"/>
      <c r="C924" s="7"/>
      <c r="D924" s="94"/>
      <c r="E924" s="95"/>
      <c r="F924" s="70"/>
      <c r="G924" s="111"/>
      <c r="H924" s="70"/>
      <c r="I924" s="70"/>
      <c r="J924" s="70"/>
      <c r="K924" s="70"/>
    </row>
    <row r="925" spans="1:11" ht="20.25" customHeight="1" x14ac:dyDescent="0.3">
      <c r="A925" s="101"/>
      <c r="B925" s="93"/>
      <c r="C925" s="7"/>
      <c r="D925" s="94"/>
      <c r="E925" s="95"/>
      <c r="F925" s="70"/>
      <c r="G925" s="111"/>
      <c r="H925" s="70"/>
      <c r="I925" s="70"/>
      <c r="J925" s="70"/>
      <c r="K925" s="70"/>
    </row>
    <row r="926" spans="1:11" ht="20.25" customHeight="1" x14ac:dyDescent="0.3">
      <c r="A926" s="101"/>
      <c r="B926" s="93"/>
      <c r="C926" s="7"/>
      <c r="D926" s="94"/>
      <c r="E926" s="95"/>
      <c r="F926" s="70"/>
      <c r="G926" s="111"/>
      <c r="H926" s="70"/>
      <c r="I926" s="70"/>
      <c r="J926" s="70"/>
      <c r="K926" s="70"/>
    </row>
    <row r="927" spans="1:11" ht="20.25" customHeight="1" x14ac:dyDescent="0.3">
      <c r="A927" s="101"/>
      <c r="B927" s="93"/>
      <c r="C927" s="7"/>
      <c r="D927" s="94"/>
      <c r="E927" s="95"/>
      <c r="F927" s="70"/>
      <c r="G927" s="111"/>
      <c r="H927" s="70"/>
      <c r="I927" s="70"/>
      <c r="J927" s="70"/>
      <c r="K927" s="70"/>
    </row>
    <row r="928" spans="1:11" ht="20.25" customHeight="1" x14ac:dyDescent="0.3">
      <c r="A928" s="101"/>
      <c r="B928" s="93"/>
      <c r="C928" s="7"/>
      <c r="D928" s="94"/>
      <c r="E928" s="95"/>
      <c r="F928" s="70"/>
      <c r="G928" s="111"/>
      <c r="H928" s="70"/>
      <c r="I928" s="70"/>
      <c r="J928" s="70"/>
      <c r="K928" s="70"/>
    </row>
    <row r="929" spans="1:11" ht="20.25" customHeight="1" x14ac:dyDescent="0.3">
      <c r="A929" s="101"/>
      <c r="B929" s="93"/>
      <c r="C929" s="7"/>
      <c r="D929" s="94"/>
      <c r="E929" s="95"/>
      <c r="F929" s="70"/>
      <c r="G929" s="111"/>
      <c r="H929" s="70"/>
      <c r="I929" s="70"/>
      <c r="J929" s="70"/>
      <c r="K929" s="70"/>
    </row>
    <row r="930" spans="1:11" ht="20.25" customHeight="1" x14ac:dyDescent="0.3">
      <c r="A930" s="101"/>
      <c r="B930" s="93"/>
      <c r="C930" s="7"/>
      <c r="D930" s="94"/>
      <c r="E930" s="95"/>
      <c r="F930" s="70"/>
      <c r="G930" s="111"/>
      <c r="H930" s="70"/>
      <c r="I930" s="70"/>
      <c r="J930" s="70"/>
      <c r="K930" s="70"/>
    </row>
    <row r="931" spans="1:11" ht="20.25" customHeight="1" x14ac:dyDescent="0.3">
      <c r="A931" s="101"/>
      <c r="B931" s="93"/>
      <c r="C931" s="7"/>
      <c r="D931" s="94"/>
      <c r="E931" s="95"/>
      <c r="F931" s="70"/>
      <c r="G931" s="111"/>
      <c r="H931" s="70"/>
      <c r="I931" s="70"/>
      <c r="J931" s="70"/>
      <c r="K931" s="70"/>
    </row>
    <row r="932" spans="1:11" ht="20.25" customHeight="1" x14ac:dyDescent="0.3">
      <c r="A932" s="101"/>
      <c r="B932" s="93"/>
      <c r="C932" s="7"/>
      <c r="D932" s="94"/>
      <c r="E932" s="95"/>
      <c r="F932" s="70"/>
      <c r="G932" s="111"/>
      <c r="H932" s="70"/>
      <c r="I932" s="70"/>
      <c r="J932" s="70"/>
      <c r="K932" s="70"/>
    </row>
    <row r="933" spans="1:11" ht="20.25" customHeight="1" x14ac:dyDescent="0.3">
      <c r="A933" s="101"/>
      <c r="B933" s="93"/>
      <c r="C933" s="7"/>
      <c r="D933" s="94"/>
      <c r="E933" s="95"/>
      <c r="F933" s="70"/>
      <c r="G933" s="111"/>
      <c r="H933" s="70"/>
      <c r="I933" s="70"/>
      <c r="J933" s="70"/>
      <c r="K933" s="70"/>
    </row>
    <row r="934" spans="1:11" ht="20.25" customHeight="1" x14ac:dyDescent="0.3">
      <c r="A934" s="101"/>
      <c r="B934" s="93"/>
      <c r="C934" s="7"/>
      <c r="D934" s="94"/>
      <c r="E934" s="95"/>
      <c r="F934" s="70"/>
      <c r="G934" s="111"/>
      <c r="H934" s="70"/>
      <c r="I934" s="70"/>
      <c r="J934" s="70"/>
      <c r="K934" s="70"/>
    </row>
    <row r="935" spans="1:11" ht="20.25" customHeight="1" x14ac:dyDescent="0.3">
      <c r="A935" s="101"/>
      <c r="B935" s="93"/>
      <c r="C935" s="7"/>
      <c r="D935" s="94"/>
      <c r="E935" s="95"/>
      <c r="F935" s="70"/>
      <c r="G935" s="111"/>
      <c r="H935" s="70"/>
      <c r="I935" s="70"/>
      <c r="J935" s="70"/>
      <c r="K935" s="70"/>
    </row>
    <row r="936" spans="1:11" ht="20.25" customHeight="1" x14ac:dyDescent="0.3">
      <c r="A936" s="101"/>
      <c r="B936" s="93"/>
      <c r="C936" s="7"/>
      <c r="D936" s="94"/>
      <c r="E936" s="95"/>
      <c r="F936" s="70"/>
      <c r="G936" s="111"/>
      <c r="H936" s="70"/>
      <c r="I936" s="70"/>
      <c r="J936" s="70"/>
      <c r="K936" s="70"/>
    </row>
    <row r="937" spans="1:11" ht="20.25" customHeight="1" x14ac:dyDescent="0.3">
      <c r="A937" s="101"/>
      <c r="B937" s="93"/>
      <c r="C937" s="7"/>
      <c r="D937" s="94"/>
      <c r="E937" s="95"/>
      <c r="F937" s="70"/>
      <c r="G937" s="111"/>
      <c r="H937" s="70"/>
      <c r="I937" s="70"/>
      <c r="J937" s="70"/>
      <c r="K937" s="70"/>
    </row>
    <row r="938" spans="1:11" ht="20.25" customHeight="1" x14ac:dyDescent="0.3">
      <c r="A938" s="101"/>
      <c r="B938" s="93"/>
      <c r="C938" s="7"/>
      <c r="D938" s="94"/>
      <c r="E938" s="95"/>
      <c r="F938" s="70"/>
      <c r="G938" s="111"/>
      <c r="H938" s="70"/>
      <c r="I938" s="70"/>
      <c r="J938" s="70"/>
      <c r="K938" s="70"/>
    </row>
    <row r="939" spans="1:11" ht="20.25" customHeight="1" x14ac:dyDescent="0.3">
      <c r="A939" s="101"/>
      <c r="B939" s="93"/>
      <c r="C939" s="7"/>
      <c r="D939" s="94"/>
      <c r="E939" s="95"/>
      <c r="F939" s="70"/>
      <c r="G939" s="111"/>
      <c r="H939" s="70"/>
      <c r="I939" s="70"/>
      <c r="J939" s="70"/>
      <c r="K939" s="70"/>
    </row>
    <row r="940" spans="1:11" ht="20.25" customHeight="1" x14ac:dyDescent="0.3">
      <c r="A940" s="101"/>
      <c r="B940" s="93"/>
      <c r="C940" s="7"/>
      <c r="D940" s="94"/>
      <c r="E940" s="95"/>
      <c r="F940" s="70"/>
      <c r="G940" s="111"/>
      <c r="H940" s="70"/>
      <c r="I940" s="70"/>
      <c r="J940" s="70"/>
      <c r="K940" s="70"/>
    </row>
    <row r="941" spans="1:11" ht="20.25" customHeight="1" x14ac:dyDescent="0.3">
      <c r="A941" s="101"/>
      <c r="B941" s="93"/>
      <c r="C941" s="7"/>
      <c r="D941" s="94"/>
      <c r="E941" s="95"/>
      <c r="F941" s="70"/>
      <c r="G941" s="111"/>
      <c r="H941" s="70"/>
      <c r="I941" s="70"/>
      <c r="J941" s="70"/>
      <c r="K941" s="70"/>
    </row>
    <row r="942" spans="1:11" ht="20.25" customHeight="1" x14ac:dyDescent="0.3">
      <c r="A942" s="101"/>
      <c r="B942" s="93"/>
      <c r="C942" s="7"/>
      <c r="D942" s="94"/>
      <c r="E942" s="95"/>
      <c r="F942" s="70"/>
      <c r="G942" s="111"/>
      <c r="H942" s="70"/>
      <c r="I942" s="70"/>
      <c r="J942" s="70"/>
      <c r="K942" s="70"/>
    </row>
    <row r="943" spans="1:11" ht="20.25" customHeight="1" x14ac:dyDescent="0.3">
      <c r="A943" s="101"/>
      <c r="B943" s="93"/>
      <c r="C943" s="7"/>
      <c r="D943" s="94"/>
      <c r="E943" s="95"/>
      <c r="F943" s="70"/>
      <c r="G943" s="111"/>
      <c r="H943" s="70"/>
      <c r="I943" s="70"/>
      <c r="J943" s="70"/>
      <c r="K943" s="70"/>
    </row>
    <row r="944" spans="1:11" ht="20.25" customHeight="1" x14ac:dyDescent="0.3">
      <c r="A944" s="101"/>
      <c r="B944" s="93"/>
      <c r="C944" s="7"/>
      <c r="D944" s="94"/>
      <c r="E944" s="95"/>
      <c r="F944" s="70"/>
      <c r="G944" s="111"/>
      <c r="H944" s="70"/>
      <c r="I944" s="70"/>
      <c r="J944" s="70"/>
      <c r="K944" s="70"/>
    </row>
    <row r="945" spans="1:11" ht="20.25" customHeight="1" x14ac:dyDescent="0.3">
      <c r="A945" s="101"/>
      <c r="B945" s="93"/>
      <c r="C945" s="7"/>
      <c r="D945" s="94"/>
      <c r="E945" s="95"/>
      <c r="F945" s="70"/>
      <c r="G945" s="111"/>
      <c r="H945" s="70"/>
      <c r="I945" s="70"/>
      <c r="J945" s="70"/>
      <c r="K945" s="70"/>
    </row>
    <row r="946" spans="1:11" ht="20.25" customHeight="1" x14ac:dyDescent="0.3">
      <c r="A946" s="101"/>
      <c r="B946" s="93"/>
      <c r="C946" s="7"/>
      <c r="D946" s="94"/>
      <c r="E946" s="95"/>
      <c r="F946" s="70"/>
      <c r="G946" s="111"/>
      <c r="H946" s="70"/>
      <c r="I946" s="70"/>
      <c r="J946" s="70"/>
      <c r="K946" s="70"/>
    </row>
    <row r="947" spans="1:11" ht="20.25" customHeight="1" x14ac:dyDescent="0.3">
      <c r="A947" s="101"/>
      <c r="B947" s="93"/>
      <c r="C947" s="7"/>
      <c r="D947" s="94"/>
      <c r="E947" s="95"/>
      <c r="F947" s="70"/>
      <c r="G947" s="111"/>
      <c r="H947" s="70"/>
      <c r="I947" s="70"/>
      <c r="J947" s="70"/>
      <c r="K947" s="70"/>
    </row>
    <row r="948" spans="1:11" ht="20.25" customHeight="1" x14ac:dyDescent="0.3">
      <c r="A948" s="101"/>
      <c r="B948" s="93"/>
      <c r="C948" s="7"/>
      <c r="D948" s="94"/>
      <c r="E948" s="95"/>
      <c r="F948" s="70"/>
      <c r="G948" s="111"/>
      <c r="H948" s="70"/>
      <c r="I948" s="70"/>
      <c r="J948" s="70"/>
      <c r="K948" s="70"/>
    </row>
    <row r="949" spans="1:11" ht="20.25" customHeight="1" x14ac:dyDescent="0.3">
      <c r="A949" s="101"/>
      <c r="B949" s="93"/>
      <c r="C949" s="7"/>
      <c r="D949" s="94"/>
      <c r="E949" s="95"/>
      <c r="F949" s="70"/>
      <c r="G949" s="111"/>
      <c r="H949" s="70"/>
      <c r="I949" s="70"/>
      <c r="J949" s="70"/>
      <c r="K949" s="70"/>
    </row>
    <row r="950" spans="1:11" ht="20.25" customHeight="1" x14ac:dyDescent="0.3">
      <c r="A950" s="101"/>
      <c r="B950" s="93"/>
      <c r="C950" s="7"/>
      <c r="D950" s="94"/>
      <c r="E950" s="95"/>
      <c r="F950" s="70"/>
      <c r="G950" s="111"/>
      <c r="H950" s="70"/>
      <c r="I950" s="70"/>
      <c r="J950" s="70"/>
      <c r="K950" s="70"/>
    </row>
    <row r="951" spans="1:11" ht="20.25" customHeight="1" x14ac:dyDescent="0.3">
      <c r="A951" s="101"/>
      <c r="B951" s="93"/>
      <c r="C951" s="7"/>
      <c r="D951" s="94"/>
      <c r="E951" s="95"/>
      <c r="F951" s="70"/>
      <c r="G951" s="111"/>
      <c r="H951" s="70"/>
      <c r="I951" s="70"/>
      <c r="J951" s="70"/>
      <c r="K951" s="70"/>
    </row>
    <row r="952" spans="1:11" ht="20.25" customHeight="1" x14ac:dyDescent="0.3">
      <c r="A952" s="101"/>
      <c r="B952" s="93"/>
      <c r="C952" s="7"/>
      <c r="D952" s="94"/>
      <c r="E952" s="95"/>
      <c r="F952" s="70"/>
      <c r="G952" s="111"/>
      <c r="H952" s="70"/>
      <c r="I952" s="70"/>
      <c r="J952" s="70"/>
      <c r="K952" s="70"/>
    </row>
    <row r="953" spans="1:11" ht="20.25" customHeight="1" x14ac:dyDescent="0.3">
      <c r="A953" s="101"/>
      <c r="B953" s="93"/>
      <c r="C953" s="7"/>
      <c r="D953" s="94"/>
      <c r="E953" s="95"/>
      <c r="F953" s="70"/>
      <c r="G953" s="111"/>
      <c r="H953" s="70"/>
      <c r="I953" s="70"/>
      <c r="J953" s="70"/>
      <c r="K953" s="70"/>
    </row>
    <row r="954" spans="1:11" ht="20.25" customHeight="1" x14ac:dyDescent="0.3">
      <c r="A954" s="101"/>
      <c r="B954" s="93"/>
      <c r="C954" s="7"/>
      <c r="D954" s="94"/>
      <c r="E954" s="95"/>
      <c r="F954" s="70"/>
      <c r="G954" s="111"/>
      <c r="H954" s="70"/>
      <c r="I954" s="70"/>
      <c r="J954" s="70"/>
      <c r="K954" s="70"/>
    </row>
    <row r="955" spans="1:11" ht="20.25" customHeight="1" x14ac:dyDescent="0.3">
      <c r="A955" s="101"/>
      <c r="B955" s="93"/>
      <c r="C955" s="7"/>
      <c r="D955" s="94"/>
      <c r="E955" s="95"/>
      <c r="F955" s="70"/>
      <c r="G955" s="111"/>
      <c r="H955" s="70"/>
      <c r="I955" s="70"/>
      <c r="J955" s="70"/>
      <c r="K955" s="70"/>
    </row>
    <row r="956" spans="1:11" ht="20.25" customHeight="1" x14ac:dyDescent="0.3">
      <c r="A956" s="101"/>
      <c r="B956" s="93"/>
      <c r="C956" s="7"/>
      <c r="D956" s="94"/>
      <c r="E956" s="95"/>
      <c r="F956" s="70"/>
      <c r="G956" s="111"/>
      <c r="H956" s="70"/>
      <c r="I956" s="70"/>
      <c r="J956" s="70"/>
      <c r="K956" s="70"/>
    </row>
    <row r="957" spans="1:11" ht="20.25" customHeight="1" x14ac:dyDescent="0.3">
      <c r="A957" s="101"/>
      <c r="B957" s="93"/>
      <c r="C957" s="7"/>
      <c r="D957" s="94"/>
      <c r="E957" s="95"/>
      <c r="F957" s="70"/>
      <c r="G957" s="111"/>
      <c r="H957" s="70"/>
      <c r="I957" s="70"/>
      <c r="J957" s="70"/>
      <c r="K957" s="70"/>
    </row>
    <row r="958" spans="1:11" ht="20.25" customHeight="1" x14ac:dyDescent="0.3">
      <c r="A958" s="101"/>
      <c r="B958" s="93"/>
      <c r="C958" s="7"/>
      <c r="D958" s="94"/>
      <c r="E958" s="95"/>
      <c r="F958" s="70"/>
      <c r="G958" s="111"/>
      <c r="H958" s="70"/>
      <c r="I958" s="70"/>
      <c r="J958" s="70"/>
      <c r="K958" s="70"/>
    </row>
    <row r="959" spans="1:11" ht="20.25" customHeight="1" x14ac:dyDescent="0.3">
      <c r="A959" s="101"/>
      <c r="B959" s="93"/>
      <c r="C959" s="7"/>
      <c r="D959" s="94"/>
      <c r="E959" s="95"/>
      <c r="F959" s="70"/>
      <c r="G959" s="111"/>
      <c r="H959" s="70"/>
      <c r="I959" s="70"/>
      <c r="J959" s="70"/>
      <c r="K959" s="70"/>
    </row>
    <row r="960" spans="1:11" ht="20.25" customHeight="1" x14ac:dyDescent="0.3">
      <c r="A960" s="101"/>
      <c r="B960" s="93"/>
      <c r="C960" s="7"/>
      <c r="D960" s="94"/>
      <c r="E960" s="95"/>
      <c r="F960" s="70"/>
      <c r="G960" s="111"/>
      <c r="H960" s="70"/>
      <c r="I960" s="70"/>
      <c r="J960" s="70"/>
      <c r="K960" s="70"/>
    </row>
    <row r="961" spans="1:11" ht="20.25" customHeight="1" x14ac:dyDescent="0.3">
      <c r="A961" s="101"/>
      <c r="B961" s="93"/>
      <c r="C961" s="7"/>
      <c r="D961" s="94"/>
      <c r="E961" s="95"/>
      <c r="F961" s="70"/>
      <c r="G961" s="111"/>
      <c r="H961" s="70"/>
      <c r="I961" s="70"/>
      <c r="J961" s="70"/>
      <c r="K961" s="70"/>
    </row>
    <row r="962" spans="1:11" ht="20.25" customHeight="1" x14ac:dyDescent="0.3">
      <c r="A962" s="101"/>
      <c r="B962" s="93"/>
      <c r="C962" s="7"/>
      <c r="D962" s="94"/>
      <c r="E962" s="95"/>
      <c r="F962" s="70"/>
      <c r="G962" s="111"/>
      <c r="H962" s="70"/>
      <c r="I962" s="70"/>
      <c r="J962" s="70"/>
      <c r="K962" s="70"/>
    </row>
    <row r="963" spans="1:11" ht="20.25" customHeight="1" x14ac:dyDescent="0.3">
      <c r="A963" s="101"/>
      <c r="B963" s="93"/>
      <c r="C963" s="7"/>
      <c r="D963" s="94"/>
      <c r="E963" s="95"/>
      <c r="F963" s="70"/>
      <c r="G963" s="111"/>
      <c r="H963" s="70"/>
      <c r="I963" s="70"/>
      <c r="J963" s="70"/>
      <c r="K963" s="70"/>
    </row>
    <row r="964" spans="1:11" ht="20.25" customHeight="1" x14ac:dyDescent="0.3">
      <c r="A964" s="101"/>
      <c r="B964" s="93"/>
      <c r="C964" s="7"/>
      <c r="D964" s="94"/>
      <c r="E964" s="95"/>
      <c r="F964" s="70"/>
      <c r="G964" s="111"/>
      <c r="H964" s="70"/>
      <c r="I964" s="70"/>
      <c r="J964" s="70"/>
      <c r="K964" s="70"/>
    </row>
    <row r="965" spans="1:11" ht="20.25" customHeight="1" x14ac:dyDescent="0.3">
      <c r="A965" s="101"/>
      <c r="B965" s="93"/>
      <c r="C965" s="7"/>
      <c r="D965" s="94"/>
      <c r="E965" s="95"/>
      <c r="F965" s="70"/>
      <c r="G965" s="111"/>
      <c r="H965" s="70"/>
      <c r="I965" s="70"/>
      <c r="J965" s="70"/>
      <c r="K965" s="70"/>
    </row>
    <row r="966" spans="1:11" ht="20.25" customHeight="1" x14ac:dyDescent="0.3">
      <c r="A966" s="101"/>
      <c r="B966" s="93"/>
      <c r="C966" s="7"/>
      <c r="D966" s="94"/>
      <c r="E966" s="95"/>
      <c r="F966" s="70"/>
      <c r="G966" s="111"/>
      <c r="H966" s="70"/>
      <c r="I966" s="70"/>
      <c r="J966" s="70"/>
      <c r="K966" s="70"/>
    </row>
    <row r="967" spans="1:11" ht="20.25" customHeight="1" x14ac:dyDescent="0.3">
      <c r="A967" s="101"/>
      <c r="B967" s="93"/>
      <c r="C967" s="7"/>
      <c r="D967" s="94"/>
      <c r="E967" s="95"/>
      <c r="F967" s="70"/>
      <c r="G967" s="111"/>
      <c r="H967" s="70"/>
      <c r="I967" s="70"/>
      <c r="J967" s="70"/>
      <c r="K967" s="70"/>
    </row>
    <row r="968" spans="1:11" ht="20.25" customHeight="1" x14ac:dyDescent="0.3">
      <c r="A968" s="101"/>
      <c r="B968" s="93"/>
      <c r="C968" s="7"/>
      <c r="D968" s="94"/>
      <c r="E968" s="95"/>
      <c r="F968" s="70"/>
      <c r="G968" s="111"/>
      <c r="H968" s="70"/>
      <c r="I968" s="70"/>
      <c r="J968" s="70"/>
      <c r="K968" s="70"/>
    </row>
    <row r="969" spans="1:11" ht="20.25" customHeight="1" x14ac:dyDescent="0.3">
      <c r="A969" s="101"/>
      <c r="B969" s="93"/>
      <c r="C969" s="7"/>
      <c r="D969" s="94"/>
      <c r="E969" s="95"/>
      <c r="F969" s="70"/>
      <c r="G969" s="111"/>
      <c r="H969" s="70"/>
      <c r="I969" s="70"/>
      <c r="J969" s="70"/>
      <c r="K969" s="70"/>
    </row>
    <row r="970" spans="1:11" ht="20.25" customHeight="1" x14ac:dyDescent="0.3">
      <c r="A970" s="101"/>
      <c r="B970" s="93"/>
      <c r="C970" s="7"/>
      <c r="D970" s="94"/>
      <c r="E970" s="95"/>
      <c r="F970" s="70"/>
      <c r="G970" s="111"/>
      <c r="H970" s="70"/>
      <c r="I970" s="70"/>
      <c r="J970" s="70"/>
      <c r="K970" s="70"/>
    </row>
    <row r="971" spans="1:11" ht="20.25" customHeight="1" x14ac:dyDescent="0.3">
      <c r="A971" s="101"/>
      <c r="B971" s="93"/>
      <c r="C971" s="7"/>
      <c r="D971" s="94"/>
      <c r="E971" s="95"/>
      <c r="F971" s="70"/>
      <c r="G971" s="111"/>
      <c r="H971" s="70"/>
      <c r="I971" s="70"/>
      <c r="J971" s="70"/>
      <c r="K971" s="70"/>
    </row>
    <row r="972" spans="1:11" ht="20.25" customHeight="1" x14ac:dyDescent="0.3">
      <c r="A972" s="101"/>
      <c r="B972" s="93"/>
      <c r="C972" s="7"/>
      <c r="D972" s="94"/>
      <c r="E972" s="95"/>
      <c r="F972" s="70"/>
      <c r="G972" s="111"/>
      <c r="H972" s="70"/>
      <c r="I972" s="70"/>
      <c r="J972" s="70"/>
      <c r="K972" s="70"/>
    </row>
    <row r="973" spans="1:11" ht="20.25" customHeight="1" x14ac:dyDescent="0.3">
      <c r="A973" s="101"/>
      <c r="B973" s="93"/>
      <c r="C973" s="7"/>
      <c r="D973" s="94"/>
      <c r="E973" s="95"/>
      <c r="F973" s="70"/>
      <c r="G973" s="111"/>
      <c r="H973" s="70"/>
      <c r="I973" s="70"/>
      <c r="J973" s="70"/>
      <c r="K973" s="70"/>
    </row>
    <row r="974" spans="1:11" ht="20.25" customHeight="1" x14ac:dyDescent="0.3">
      <c r="A974" s="101"/>
      <c r="B974" s="93"/>
      <c r="C974" s="7"/>
      <c r="D974" s="94"/>
      <c r="E974" s="95"/>
      <c r="F974" s="70"/>
      <c r="G974" s="111"/>
      <c r="H974" s="70"/>
      <c r="I974" s="70"/>
      <c r="J974" s="70"/>
      <c r="K974" s="70"/>
    </row>
    <row r="975" spans="1:11" ht="20.25" customHeight="1" x14ac:dyDescent="0.3">
      <c r="A975" s="101"/>
      <c r="B975" s="93"/>
      <c r="C975" s="7"/>
      <c r="D975" s="94"/>
      <c r="E975" s="95"/>
      <c r="F975" s="70"/>
      <c r="G975" s="111"/>
      <c r="H975" s="70"/>
      <c r="I975" s="70"/>
      <c r="J975" s="70"/>
      <c r="K975" s="70"/>
    </row>
    <row r="976" spans="1:11" ht="20.25" customHeight="1" x14ac:dyDescent="0.3">
      <c r="A976" s="101"/>
      <c r="B976" s="93"/>
      <c r="C976" s="7"/>
      <c r="D976" s="94"/>
      <c r="E976" s="95"/>
      <c r="F976" s="70"/>
      <c r="G976" s="111"/>
      <c r="H976" s="70"/>
      <c r="I976" s="70"/>
      <c r="J976" s="70"/>
      <c r="K976" s="70"/>
    </row>
    <row r="977" spans="1:11" ht="20.25" customHeight="1" x14ac:dyDescent="0.3">
      <c r="A977" s="101"/>
      <c r="B977" s="93"/>
      <c r="C977" s="7"/>
      <c r="D977" s="94"/>
      <c r="E977" s="95"/>
      <c r="F977" s="70"/>
      <c r="G977" s="111"/>
      <c r="H977" s="70"/>
      <c r="I977" s="70"/>
      <c r="J977" s="70"/>
      <c r="K977" s="70"/>
    </row>
    <row r="978" spans="1:11" ht="20.25" customHeight="1" x14ac:dyDescent="0.3">
      <c r="A978" s="101"/>
      <c r="B978" s="93"/>
      <c r="C978" s="7"/>
      <c r="D978" s="94"/>
      <c r="E978" s="95"/>
      <c r="F978" s="70"/>
      <c r="G978" s="111"/>
      <c r="H978" s="70"/>
      <c r="I978" s="70"/>
      <c r="J978" s="70"/>
      <c r="K978" s="70"/>
    </row>
    <row r="979" spans="1:11" ht="20.25" customHeight="1" x14ac:dyDescent="0.3">
      <c r="A979" s="101"/>
      <c r="B979" s="93"/>
      <c r="C979" s="7"/>
      <c r="D979" s="94"/>
      <c r="E979" s="95"/>
      <c r="F979" s="70"/>
      <c r="G979" s="111"/>
      <c r="H979" s="70"/>
      <c r="I979" s="70"/>
      <c r="J979" s="70"/>
      <c r="K979" s="70"/>
    </row>
    <row r="980" spans="1:11" ht="20.25" customHeight="1" x14ac:dyDescent="0.3">
      <c r="A980" s="101"/>
      <c r="B980" s="93"/>
      <c r="C980" s="7"/>
      <c r="D980" s="94"/>
      <c r="E980" s="95"/>
      <c r="F980" s="70"/>
      <c r="G980" s="111"/>
      <c r="H980" s="70"/>
      <c r="I980" s="70"/>
      <c r="J980" s="70"/>
      <c r="K980" s="70"/>
    </row>
    <row r="981" spans="1:11" ht="20.25" customHeight="1" x14ac:dyDescent="0.3">
      <c r="A981" s="101"/>
      <c r="B981" s="93"/>
      <c r="C981" s="7"/>
      <c r="D981" s="94"/>
      <c r="E981" s="95"/>
      <c r="F981" s="70"/>
      <c r="G981" s="111"/>
      <c r="H981" s="70"/>
      <c r="I981" s="70"/>
      <c r="J981" s="70"/>
      <c r="K981" s="70"/>
    </row>
    <row r="982" spans="1:11" ht="20.25" customHeight="1" x14ac:dyDescent="0.3">
      <c r="A982" s="101"/>
      <c r="B982" s="93"/>
      <c r="C982" s="7"/>
      <c r="D982" s="94"/>
      <c r="E982" s="95"/>
      <c r="F982" s="70"/>
      <c r="G982" s="111"/>
      <c r="H982" s="70"/>
      <c r="I982" s="70"/>
      <c r="J982" s="70"/>
      <c r="K982" s="70"/>
    </row>
    <row r="983" spans="1:11" ht="20.25" customHeight="1" x14ac:dyDescent="0.3">
      <c r="A983" s="101"/>
      <c r="B983" s="93"/>
      <c r="C983" s="7"/>
      <c r="D983" s="94"/>
      <c r="E983" s="95"/>
      <c r="F983" s="70"/>
      <c r="G983" s="111"/>
      <c r="H983" s="70"/>
      <c r="I983" s="70"/>
      <c r="J983" s="70"/>
      <c r="K983" s="70"/>
    </row>
    <row r="984" spans="1:11" ht="20.25" customHeight="1" x14ac:dyDescent="0.3">
      <c r="A984" s="101"/>
      <c r="B984" s="93"/>
      <c r="C984" s="7"/>
      <c r="D984" s="94"/>
      <c r="E984" s="95"/>
      <c r="F984" s="70"/>
      <c r="G984" s="111"/>
      <c r="H984" s="70"/>
      <c r="I984" s="70"/>
      <c r="J984" s="70"/>
      <c r="K984" s="70"/>
    </row>
    <row r="985" spans="1:11" ht="20.25" customHeight="1" x14ac:dyDescent="0.3">
      <c r="A985" s="101"/>
      <c r="B985" s="93"/>
      <c r="C985" s="7"/>
      <c r="D985" s="94"/>
      <c r="E985" s="95"/>
      <c r="F985" s="70"/>
      <c r="G985" s="111"/>
      <c r="H985" s="70"/>
      <c r="I985" s="70"/>
      <c r="J985" s="70"/>
      <c r="K985" s="70"/>
    </row>
    <row r="986" spans="1:11" ht="20.25" customHeight="1" x14ac:dyDescent="0.3">
      <c r="A986" s="101"/>
      <c r="B986" s="93"/>
      <c r="C986" s="7"/>
      <c r="D986" s="94"/>
      <c r="E986" s="95"/>
      <c r="F986" s="70"/>
      <c r="G986" s="111"/>
      <c r="H986" s="70"/>
      <c r="I986" s="70"/>
      <c r="J986" s="70"/>
      <c r="K986" s="70"/>
    </row>
    <row r="987" spans="1:11" ht="20.25" customHeight="1" x14ac:dyDescent="0.3">
      <c r="A987" s="101"/>
      <c r="B987" s="93"/>
      <c r="C987" s="7"/>
      <c r="D987" s="94"/>
      <c r="E987" s="95"/>
      <c r="F987" s="70"/>
      <c r="G987" s="111"/>
      <c r="H987" s="70"/>
      <c r="I987" s="70"/>
      <c r="J987" s="70"/>
      <c r="K987" s="70"/>
    </row>
    <row r="988" spans="1:11" ht="20.25" customHeight="1" x14ac:dyDescent="0.3">
      <c r="A988" s="101"/>
      <c r="B988" s="93"/>
      <c r="C988" s="7"/>
      <c r="D988" s="94"/>
      <c r="E988" s="95"/>
      <c r="F988" s="70"/>
      <c r="G988" s="111"/>
      <c r="H988" s="70"/>
      <c r="I988" s="70"/>
      <c r="J988" s="70"/>
      <c r="K988" s="70"/>
    </row>
    <row r="989" spans="1:11" ht="20.25" customHeight="1" x14ac:dyDescent="0.3">
      <c r="A989" s="101"/>
      <c r="B989" s="93"/>
      <c r="C989" s="7"/>
      <c r="D989" s="94"/>
      <c r="E989" s="95"/>
      <c r="F989" s="70"/>
      <c r="G989" s="111"/>
      <c r="H989" s="70"/>
      <c r="I989" s="70"/>
      <c r="J989" s="70"/>
      <c r="K989" s="70"/>
    </row>
    <row r="990" spans="1:11" ht="20.25" customHeight="1" x14ac:dyDescent="0.3">
      <c r="A990" s="101"/>
      <c r="B990" s="93"/>
      <c r="C990" s="7"/>
      <c r="D990" s="94"/>
      <c r="E990" s="95"/>
      <c r="F990" s="70"/>
      <c r="G990" s="111"/>
      <c r="H990" s="70"/>
      <c r="I990" s="70"/>
      <c r="J990" s="70"/>
      <c r="K990" s="70"/>
    </row>
    <row r="991" spans="1:11" ht="20.25" customHeight="1" x14ac:dyDescent="0.3">
      <c r="A991" s="101"/>
      <c r="B991" s="93"/>
      <c r="C991" s="7"/>
      <c r="D991" s="94"/>
      <c r="E991" s="95"/>
      <c r="F991" s="70"/>
      <c r="G991" s="111"/>
      <c r="H991" s="70"/>
      <c r="I991" s="70"/>
      <c r="J991" s="70"/>
      <c r="K991" s="70"/>
    </row>
    <row r="992" spans="1:11" ht="20.25" customHeight="1" x14ac:dyDescent="0.3">
      <c r="A992" s="101"/>
      <c r="B992" s="93"/>
      <c r="C992" s="7"/>
      <c r="D992" s="94"/>
      <c r="E992" s="95"/>
      <c r="F992" s="70"/>
      <c r="G992" s="111"/>
      <c r="H992" s="70"/>
      <c r="I992" s="70"/>
      <c r="J992" s="70"/>
      <c r="K992" s="70"/>
    </row>
    <row r="993" spans="1:11" ht="20.25" customHeight="1" x14ac:dyDescent="0.3">
      <c r="A993" s="101"/>
      <c r="B993" s="93"/>
      <c r="C993" s="7"/>
      <c r="D993" s="94"/>
      <c r="E993" s="95"/>
      <c r="F993" s="70"/>
      <c r="G993" s="111"/>
      <c r="H993" s="70"/>
      <c r="I993" s="70"/>
      <c r="J993" s="70"/>
      <c r="K993" s="70"/>
    </row>
    <row r="994" spans="1:11" ht="20.25" customHeight="1" x14ac:dyDescent="0.3">
      <c r="A994" s="101"/>
      <c r="B994" s="93"/>
      <c r="C994" s="7"/>
      <c r="D994" s="94"/>
      <c r="E994" s="95"/>
      <c r="F994" s="70"/>
      <c r="G994" s="111"/>
      <c r="H994" s="70"/>
      <c r="I994" s="70"/>
      <c r="J994" s="70"/>
      <c r="K994" s="70"/>
    </row>
    <row r="995" spans="1:11" ht="20.25" customHeight="1" x14ac:dyDescent="0.3">
      <c r="A995" s="101"/>
      <c r="B995" s="93"/>
      <c r="C995" s="7"/>
      <c r="D995" s="94"/>
      <c r="E995" s="95"/>
      <c r="F995" s="70"/>
      <c r="G995" s="111"/>
      <c r="H995" s="70"/>
      <c r="I995" s="70"/>
      <c r="J995" s="70"/>
      <c r="K995" s="70"/>
    </row>
    <row r="996" spans="1:11" ht="20.25" customHeight="1" x14ac:dyDescent="0.3">
      <c r="A996" s="101"/>
      <c r="B996" s="93"/>
      <c r="C996" s="7"/>
      <c r="D996" s="94"/>
      <c r="E996" s="95"/>
      <c r="F996" s="70"/>
      <c r="G996" s="111"/>
      <c r="H996" s="70"/>
      <c r="I996" s="70"/>
      <c r="J996" s="70"/>
      <c r="K996" s="70"/>
    </row>
    <row r="997" spans="1:11" ht="20.25" customHeight="1" x14ac:dyDescent="0.3">
      <c r="A997" s="101"/>
      <c r="B997" s="93"/>
      <c r="C997" s="7"/>
      <c r="D997" s="94"/>
      <c r="E997" s="95"/>
      <c r="F997" s="70"/>
      <c r="G997" s="111"/>
      <c r="H997" s="70"/>
      <c r="I997" s="70"/>
      <c r="J997" s="70"/>
      <c r="K997" s="70"/>
    </row>
    <row r="998" spans="1:11" ht="20.25" customHeight="1" x14ac:dyDescent="0.3">
      <c r="A998" s="101"/>
      <c r="B998" s="93"/>
      <c r="C998" s="7"/>
      <c r="D998" s="94"/>
      <c r="E998" s="95"/>
      <c r="F998" s="70"/>
      <c r="G998" s="111"/>
      <c r="H998" s="70"/>
      <c r="I998" s="70"/>
      <c r="J998" s="70"/>
      <c r="K998" s="70"/>
    </row>
    <row r="999" spans="1:11" ht="20.25" customHeight="1" x14ac:dyDescent="0.3">
      <c r="A999" s="101"/>
      <c r="B999" s="93"/>
      <c r="C999" s="7"/>
      <c r="D999" s="94"/>
      <c r="E999" s="95"/>
      <c r="F999" s="70"/>
      <c r="G999" s="111"/>
      <c r="H999" s="70"/>
      <c r="I999" s="70"/>
      <c r="J999" s="70"/>
      <c r="K999" s="70"/>
    </row>
    <row r="1000" spans="1:11" ht="20.25" customHeight="1" x14ac:dyDescent="0.3">
      <c r="A1000" s="101"/>
      <c r="B1000" s="93"/>
      <c r="C1000" s="7"/>
      <c r="D1000" s="94"/>
      <c r="E1000" s="95"/>
      <c r="F1000" s="70"/>
      <c r="G1000" s="111"/>
      <c r="H1000" s="70"/>
      <c r="I1000" s="70"/>
      <c r="J1000" s="70"/>
      <c r="K1000" s="70"/>
    </row>
    <row r="1001" spans="1:11" ht="20.25" customHeight="1" x14ac:dyDescent="0.3">
      <c r="A1001" s="101"/>
      <c r="B1001" s="93"/>
      <c r="C1001" s="7"/>
      <c r="D1001" s="94"/>
      <c r="E1001" s="95"/>
      <c r="F1001" s="70"/>
      <c r="G1001" s="111"/>
      <c r="H1001" s="70"/>
      <c r="I1001" s="70"/>
      <c r="J1001" s="70"/>
      <c r="K1001" s="70"/>
    </row>
    <row r="1002" spans="1:11" ht="20.25" customHeight="1" x14ac:dyDescent="0.3">
      <c r="A1002" s="101"/>
      <c r="B1002" s="93"/>
      <c r="C1002" s="7"/>
      <c r="D1002" s="94"/>
      <c r="E1002" s="95"/>
      <c r="F1002" s="70"/>
      <c r="G1002" s="111"/>
      <c r="H1002" s="70"/>
      <c r="I1002" s="70"/>
      <c r="J1002" s="70"/>
      <c r="K1002" s="70"/>
    </row>
    <row r="1003" spans="1:11" ht="20.25" customHeight="1" x14ac:dyDescent="0.3">
      <c r="A1003" s="101"/>
      <c r="B1003" s="93"/>
      <c r="C1003" s="7"/>
      <c r="D1003" s="94"/>
      <c r="E1003" s="95"/>
      <c r="F1003" s="70"/>
      <c r="G1003" s="111"/>
      <c r="H1003" s="70"/>
      <c r="I1003" s="70"/>
      <c r="J1003" s="70"/>
      <c r="K1003" s="70"/>
    </row>
    <row r="1004" spans="1:11" ht="20.25" customHeight="1" x14ac:dyDescent="0.3">
      <c r="A1004" s="101"/>
      <c r="B1004" s="93"/>
      <c r="C1004" s="7"/>
      <c r="D1004" s="94"/>
      <c r="E1004" s="95"/>
      <c r="F1004" s="70"/>
      <c r="G1004" s="111"/>
      <c r="H1004" s="70"/>
      <c r="I1004" s="70"/>
      <c r="J1004" s="70"/>
      <c r="K1004" s="70"/>
    </row>
    <row r="1005" spans="1:11" ht="20.25" customHeight="1" x14ac:dyDescent="0.3">
      <c r="A1005" s="101"/>
      <c r="B1005" s="93"/>
      <c r="C1005" s="7"/>
      <c r="D1005" s="94"/>
      <c r="E1005" s="95"/>
      <c r="F1005" s="70"/>
      <c r="G1005" s="111"/>
      <c r="H1005" s="70"/>
      <c r="I1005" s="70"/>
      <c r="J1005" s="70"/>
      <c r="K1005" s="70"/>
    </row>
    <row r="1006" spans="1:11" ht="20.25" customHeight="1" x14ac:dyDescent="0.3">
      <c r="A1006" s="101"/>
      <c r="B1006" s="93"/>
      <c r="C1006" s="7"/>
      <c r="D1006" s="94"/>
      <c r="E1006" s="95"/>
      <c r="F1006" s="70"/>
      <c r="G1006" s="111"/>
      <c r="H1006" s="70"/>
      <c r="I1006" s="70"/>
      <c r="J1006" s="70"/>
      <c r="K1006" s="70"/>
    </row>
    <row r="1007" spans="1:11" ht="20.25" customHeight="1" x14ac:dyDescent="0.3">
      <c r="A1007" s="101"/>
      <c r="B1007" s="93"/>
      <c r="C1007" s="7"/>
      <c r="D1007" s="94"/>
      <c r="E1007" s="95"/>
      <c r="F1007" s="70"/>
      <c r="G1007" s="111"/>
      <c r="H1007" s="70"/>
      <c r="I1007" s="70"/>
      <c r="J1007" s="70"/>
      <c r="K1007" s="70"/>
    </row>
    <row r="1008" spans="1:11" ht="20.25" customHeight="1" x14ac:dyDescent="0.3">
      <c r="A1008" s="101"/>
      <c r="B1008" s="93"/>
      <c r="C1008" s="7"/>
      <c r="D1008" s="94"/>
      <c r="E1008" s="95"/>
      <c r="F1008" s="70"/>
      <c r="G1008" s="111"/>
      <c r="H1008" s="70"/>
      <c r="I1008" s="70"/>
      <c r="J1008" s="70"/>
      <c r="K1008" s="70"/>
    </row>
    <row r="1009" spans="1:11" ht="20.25" customHeight="1" x14ac:dyDescent="0.3">
      <c r="A1009" s="101"/>
      <c r="B1009" s="93"/>
      <c r="C1009" s="7"/>
      <c r="D1009" s="94"/>
      <c r="E1009" s="95"/>
      <c r="F1009" s="70"/>
      <c r="G1009" s="111"/>
      <c r="H1009" s="70"/>
      <c r="I1009" s="70"/>
      <c r="J1009" s="70"/>
      <c r="K1009" s="70"/>
    </row>
    <row r="1010" spans="1:11" ht="20.25" customHeight="1" x14ac:dyDescent="0.3">
      <c r="A1010" s="101"/>
      <c r="B1010" s="93"/>
      <c r="C1010" s="7"/>
      <c r="D1010" s="94"/>
      <c r="E1010" s="95"/>
      <c r="F1010" s="70"/>
      <c r="G1010" s="111"/>
      <c r="H1010" s="70"/>
      <c r="I1010" s="70"/>
      <c r="J1010" s="70"/>
      <c r="K1010" s="70"/>
    </row>
    <row r="1011" spans="1:11" ht="20.25" customHeight="1" x14ac:dyDescent="0.3">
      <c r="A1011" s="101"/>
      <c r="B1011" s="93"/>
      <c r="C1011" s="7"/>
      <c r="D1011" s="94"/>
      <c r="E1011" s="95"/>
      <c r="F1011" s="70"/>
      <c r="G1011" s="111"/>
      <c r="H1011" s="70"/>
      <c r="I1011" s="70"/>
      <c r="J1011" s="70"/>
      <c r="K1011" s="70"/>
    </row>
    <row r="1012" spans="1:11" ht="20.25" customHeight="1" x14ac:dyDescent="0.3">
      <c r="A1012" s="101"/>
      <c r="B1012" s="93"/>
      <c r="C1012" s="7"/>
      <c r="D1012" s="94"/>
      <c r="E1012" s="95"/>
      <c r="F1012" s="70"/>
      <c r="G1012" s="111"/>
      <c r="H1012" s="70"/>
      <c r="I1012" s="70"/>
      <c r="J1012" s="70"/>
      <c r="K1012" s="70"/>
    </row>
    <row r="1013" spans="1:11" ht="20.25" customHeight="1" x14ac:dyDescent="0.3">
      <c r="A1013" s="101"/>
      <c r="B1013" s="93"/>
      <c r="C1013" s="7"/>
      <c r="D1013" s="94"/>
      <c r="E1013" s="95"/>
      <c r="F1013" s="70"/>
      <c r="G1013" s="111"/>
      <c r="H1013" s="70"/>
      <c r="I1013" s="70"/>
      <c r="J1013" s="70"/>
      <c r="K1013" s="70"/>
    </row>
    <row r="1014" spans="1:11" ht="20.25" customHeight="1" x14ac:dyDescent="0.3">
      <c r="A1014" s="101"/>
      <c r="B1014" s="93"/>
      <c r="C1014" s="7"/>
      <c r="D1014" s="94"/>
      <c r="E1014" s="95"/>
      <c r="F1014" s="70"/>
      <c r="G1014" s="111"/>
      <c r="H1014" s="70"/>
      <c r="I1014" s="70"/>
      <c r="J1014" s="70"/>
      <c r="K1014" s="70"/>
    </row>
    <row r="1015" spans="1:11" ht="20.25" customHeight="1" x14ac:dyDescent="0.3">
      <c r="A1015" s="101"/>
      <c r="B1015" s="93"/>
      <c r="C1015" s="7"/>
      <c r="D1015" s="94"/>
      <c r="E1015" s="95"/>
      <c r="F1015" s="70"/>
      <c r="G1015" s="111"/>
      <c r="H1015" s="70"/>
      <c r="I1015" s="70"/>
      <c r="J1015" s="70"/>
      <c r="K1015" s="70"/>
    </row>
    <row r="1016" spans="1:11" ht="20.25" customHeight="1" x14ac:dyDescent="0.3">
      <c r="A1016" s="101"/>
      <c r="B1016" s="93"/>
      <c r="C1016" s="7"/>
      <c r="D1016" s="94"/>
      <c r="E1016" s="95"/>
      <c r="F1016" s="70"/>
      <c r="G1016" s="111"/>
      <c r="H1016" s="70"/>
      <c r="I1016" s="70"/>
      <c r="J1016" s="70"/>
      <c r="K1016" s="70"/>
    </row>
    <row r="1017" spans="1:11" ht="20.25" customHeight="1" x14ac:dyDescent="0.3">
      <c r="A1017" s="101"/>
      <c r="B1017" s="93"/>
      <c r="C1017" s="7"/>
      <c r="D1017" s="94"/>
      <c r="E1017" s="95"/>
      <c r="F1017" s="70"/>
      <c r="G1017" s="111"/>
      <c r="H1017" s="70"/>
      <c r="I1017" s="70"/>
      <c r="J1017" s="70"/>
      <c r="K1017" s="70"/>
    </row>
    <row r="1018" spans="1:11" ht="20.25" customHeight="1" x14ac:dyDescent="0.3">
      <c r="A1018" s="101"/>
      <c r="B1018" s="93"/>
      <c r="C1018" s="7"/>
      <c r="D1018" s="94"/>
      <c r="E1018" s="95"/>
      <c r="F1018" s="70"/>
      <c r="G1018" s="111"/>
      <c r="H1018" s="70"/>
      <c r="I1018" s="70"/>
      <c r="J1018" s="70"/>
      <c r="K1018" s="70"/>
    </row>
    <row r="1019" spans="1:11" ht="20.25" customHeight="1" x14ac:dyDescent="0.3">
      <c r="A1019" s="101"/>
      <c r="B1019" s="93"/>
      <c r="C1019" s="7"/>
      <c r="D1019" s="94"/>
      <c r="E1019" s="95"/>
      <c r="F1019" s="70"/>
      <c r="G1019" s="111"/>
      <c r="H1019" s="70"/>
      <c r="I1019" s="70"/>
      <c r="J1019" s="70"/>
      <c r="K1019" s="70"/>
    </row>
    <row r="1020" spans="1:11" ht="20.25" customHeight="1" x14ac:dyDescent="0.3">
      <c r="A1020" s="101"/>
      <c r="B1020" s="93"/>
      <c r="C1020" s="7"/>
      <c r="D1020" s="94"/>
      <c r="E1020" s="95"/>
      <c r="F1020" s="70"/>
      <c r="G1020" s="111"/>
      <c r="H1020" s="70"/>
      <c r="I1020" s="70"/>
      <c r="J1020" s="70"/>
      <c r="K1020" s="70"/>
    </row>
    <row r="1021" spans="1:11" ht="20.25" customHeight="1" x14ac:dyDescent="0.3">
      <c r="A1021" s="101"/>
      <c r="B1021" s="93"/>
      <c r="C1021" s="7"/>
      <c r="D1021" s="94"/>
      <c r="E1021" s="95"/>
      <c r="F1021" s="70"/>
      <c r="G1021" s="111"/>
      <c r="H1021" s="70"/>
      <c r="I1021" s="70"/>
      <c r="J1021" s="70"/>
      <c r="K1021" s="70"/>
    </row>
    <row r="1022" spans="1:11" ht="20.25" customHeight="1" x14ac:dyDescent="0.3">
      <c r="A1022" s="101"/>
      <c r="B1022" s="93"/>
      <c r="C1022" s="7"/>
      <c r="D1022" s="94"/>
      <c r="E1022" s="95"/>
      <c r="F1022" s="70"/>
      <c r="G1022" s="111"/>
      <c r="H1022" s="70"/>
      <c r="I1022" s="70"/>
      <c r="J1022" s="70"/>
      <c r="K1022" s="70"/>
    </row>
    <row r="1023" spans="1:11" ht="20.25" customHeight="1" x14ac:dyDescent="0.3">
      <c r="A1023" s="101"/>
      <c r="B1023" s="93"/>
      <c r="C1023" s="7"/>
      <c r="D1023" s="94"/>
      <c r="E1023" s="95"/>
      <c r="F1023" s="70"/>
      <c r="G1023" s="111"/>
      <c r="H1023" s="70"/>
      <c r="I1023" s="70"/>
      <c r="J1023" s="70"/>
      <c r="K1023" s="70"/>
    </row>
    <row r="1024" spans="1:11" ht="20.25" customHeight="1" x14ac:dyDescent="0.3">
      <c r="A1024" s="101"/>
      <c r="B1024" s="93"/>
      <c r="C1024" s="7"/>
      <c r="D1024" s="94"/>
      <c r="E1024" s="95"/>
      <c r="F1024" s="70"/>
      <c r="G1024" s="111"/>
      <c r="H1024" s="70"/>
      <c r="I1024" s="70"/>
      <c r="J1024" s="70"/>
      <c r="K1024" s="70"/>
    </row>
    <row r="1025" spans="1:11" ht="20.25" customHeight="1" x14ac:dyDescent="0.3">
      <c r="A1025" s="101"/>
      <c r="B1025" s="93"/>
      <c r="C1025" s="7"/>
      <c r="D1025" s="94"/>
      <c r="E1025" s="95"/>
      <c r="F1025" s="70"/>
      <c r="G1025" s="111"/>
      <c r="H1025" s="70"/>
      <c r="I1025" s="70"/>
      <c r="J1025" s="70"/>
      <c r="K1025" s="70"/>
    </row>
    <row r="1026" spans="1:11" ht="20.25" customHeight="1" x14ac:dyDescent="0.3">
      <c r="A1026" s="101"/>
      <c r="B1026" s="93"/>
      <c r="C1026" s="7"/>
      <c r="D1026" s="94"/>
      <c r="E1026" s="95"/>
      <c r="F1026" s="70"/>
      <c r="G1026" s="111"/>
      <c r="H1026" s="70"/>
      <c r="I1026" s="70"/>
      <c r="J1026" s="70"/>
      <c r="K1026" s="70"/>
    </row>
    <row r="1027" spans="1:11" ht="20.25" customHeight="1" x14ac:dyDescent="0.3">
      <c r="A1027" s="101"/>
      <c r="B1027" s="93"/>
      <c r="C1027" s="7"/>
      <c r="D1027" s="94"/>
      <c r="E1027" s="95"/>
      <c r="F1027" s="70"/>
      <c r="G1027" s="111"/>
      <c r="H1027" s="70"/>
      <c r="I1027" s="70"/>
      <c r="J1027" s="70"/>
      <c r="K1027" s="70"/>
    </row>
    <row r="1028" spans="1:11" ht="20.25" customHeight="1" x14ac:dyDescent="0.3">
      <c r="A1028" s="101"/>
      <c r="B1028" s="93"/>
      <c r="C1028" s="7"/>
      <c r="D1028" s="94"/>
      <c r="E1028" s="95"/>
      <c r="F1028" s="70"/>
      <c r="G1028" s="111"/>
      <c r="H1028" s="70"/>
      <c r="I1028" s="70"/>
      <c r="J1028" s="70"/>
      <c r="K1028" s="70"/>
    </row>
    <row r="1029" spans="1:11" ht="20.25" customHeight="1" x14ac:dyDescent="0.3">
      <c r="A1029" s="101"/>
      <c r="B1029" s="93"/>
      <c r="C1029" s="7"/>
      <c r="D1029" s="94"/>
      <c r="E1029" s="95"/>
      <c r="F1029" s="70"/>
      <c r="G1029" s="111"/>
      <c r="H1029" s="70"/>
      <c r="I1029" s="70"/>
      <c r="J1029" s="70"/>
      <c r="K1029" s="70"/>
    </row>
    <row r="1030" spans="1:11" ht="20.25" customHeight="1" x14ac:dyDescent="0.3">
      <c r="A1030" s="101"/>
      <c r="B1030" s="93"/>
      <c r="C1030" s="7"/>
      <c r="D1030" s="94"/>
      <c r="E1030" s="95"/>
      <c r="F1030" s="70"/>
      <c r="G1030" s="111"/>
      <c r="H1030" s="70"/>
      <c r="I1030" s="70"/>
      <c r="J1030" s="70"/>
      <c r="K1030" s="70"/>
    </row>
    <row r="1031" spans="1:11" ht="20.25" customHeight="1" x14ac:dyDescent="0.3">
      <c r="A1031" s="101"/>
      <c r="B1031" s="93"/>
      <c r="C1031" s="7"/>
      <c r="D1031" s="94"/>
      <c r="E1031" s="95"/>
      <c r="F1031" s="70"/>
      <c r="G1031" s="111"/>
      <c r="H1031" s="70"/>
      <c r="I1031" s="70"/>
      <c r="J1031" s="70"/>
      <c r="K1031" s="70"/>
    </row>
    <row r="1032" spans="1:11" ht="20.25" customHeight="1" x14ac:dyDescent="0.3">
      <c r="A1032" s="101"/>
      <c r="B1032" s="93"/>
      <c r="C1032" s="7"/>
      <c r="D1032" s="94"/>
      <c r="E1032" s="95"/>
      <c r="F1032" s="70"/>
      <c r="G1032" s="111"/>
      <c r="H1032" s="70"/>
      <c r="I1032" s="70"/>
      <c r="J1032" s="70"/>
      <c r="K1032" s="70"/>
    </row>
    <row r="1033" spans="1:11" ht="20.25" customHeight="1" x14ac:dyDescent="0.3">
      <c r="A1033" s="101"/>
      <c r="B1033" s="93"/>
      <c r="C1033" s="7"/>
      <c r="D1033" s="94"/>
      <c r="E1033" s="95"/>
      <c r="F1033" s="70"/>
      <c r="G1033" s="111"/>
      <c r="H1033" s="70"/>
      <c r="I1033" s="70"/>
      <c r="J1033" s="70"/>
      <c r="K1033" s="70"/>
    </row>
    <row r="1034" spans="1:11" ht="20.25" customHeight="1" x14ac:dyDescent="0.3">
      <c r="A1034" s="101"/>
      <c r="B1034" s="93"/>
      <c r="C1034" s="7"/>
      <c r="D1034" s="94"/>
      <c r="E1034" s="95"/>
      <c r="F1034" s="70"/>
      <c r="G1034" s="111"/>
      <c r="H1034" s="70"/>
      <c r="I1034" s="70"/>
      <c r="J1034" s="70"/>
      <c r="K1034" s="70"/>
    </row>
    <row r="1035" spans="1:11" ht="20.25" customHeight="1" x14ac:dyDescent="0.3">
      <c r="A1035" s="101"/>
      <c r="B1035" s="93"/>
      <c r="C1035" s="7"/>
      <c r="D1035" s="94"/>
      <c r="E1035" s="95"/>
      <c r="F1035" s="70"/>
      <c r="G1035" s="111"/>
      <c r="H1035" s="70"/>
      <c r="I1035" s="70"/>
      <c r="J1035" s="70"/>
      <c r="K1035" s="70"/>
    </row>
    <row r="1036" spans="1:11" ht="20.25" customHeight="1" x14ac:dyDescent="0.3">
      <c r="A1036" s="101"/>
      <c r="B1036" s="93"/>
      <c r="C1036" s="7"/>
      <c r="D1036" s="94"/>
      <c r="E1036" s="95"/>
      <c r="F1036" s="70"/>
      <c r="G1036" s="111"/>
      <c r="H1036" s="70"/>
      <c r="I1036" s="70"/>
      <c r="J1036" s="70"/>
      <c r="K1036" s="70"/>
    </row>
    <row r="1037" spans="1:11" ht="20.25" customHeight="1" x14ac:dyDescent="0.3">
      <c r="A1037" s="101"/>
      <c r="B1037" s="93"/>
      <c r="C1037" s="7"/>
      <c r="D1037" s="94"/>
      <c r="E1037" s="95"/>
      <c r="F1037" s="70"/>
      <c r="G1037" s="111"/>
      <c r="H1037" s="70"/>
      <c r="I1037" s="70"/>
      <c r="J1037" s="70"/>
      <c r="K1037" s="70"/>
    </row>
    <row r="1038" spans="1:11" ht="20.25" customHeight="1" x14ac:dyDescent="0.3">
      <c r="A1038" s="101"/>
      <c r="B1038" s="93"/>
      <c r="C1038" s="7"/>
      <c r="D1038" s="94"/>
      <c r="E1038" s="95"/>
      <c r="F1038" s="70"/>
      <c r="G1038" s="111"/>
      <c r="H1038" s="70"/>
      <c r="I1038" s="70"/>
      <c r="J1038" s="70"/>
      <c r="K1038" s="70"/>
    </row>
    <row r="1039" spans="1:11" ht="20.25" customHeight="1" x14ac:dyDescent="0.3">
      <c r="A1039" s="101"/>
      <c r="B1039" s="93"/>
      <c r="C1039" s="7"/>
      <c r="D1039" s="94"/>
      <c r="E1039" s="95"/>
      <c r="F1039" s="70"/>
      <c r="G1039" s="111"/>
      <c r="H1039" s="70"/>
      <c r="I1039" s="70"/>
      <c r="J1039" s="70"/>
      <c r="K1039" s="70"/>
    </row>
    <row r="1040" spans="1:11" ht="20.25" customHeight="1" x14ac:dyDescent="0.3">
      <c r="A1040" s="101"/>
      <c r="B1040" s="93"/>
      <c r="C1040" s="7"/>
      <c r="D1040" s="94"/>
      <c r="E1040" s="95"/>
      <c r="F1040" s="70"/>
      <c r="G1040" s="111"/>
      <c r="H1040" s="70"/>
      <c r="I1040" s="70"/>
      <c r="J1040" s="70"/>
      <c r="K1040" s="70"/>
    </row>
    <row r="1041" spans="1:11" ht="20.25" customHeight="1" x14ac:dyDescent="0.3">
      <c r="A1041" s="101"/>
      <c r="B1041" s="93"/>
      <c r="C1041" s="7"/>
      <c r="D1041" s="94"/>
      <c r="E1041" s="95"/>
      <c r="F1041" s="70"/>
      <c r="G1041" s="111"/>
      <c r="H1041" s="70"/>
      <c r="I1041" s="70"/>
      <c r="J1041" s="70"/>
      <c r="K1041" s="70"/>
    </row>
    <row r="1042" spans="1:11" ht="20.25" customHeight="1" x14ac:dyDescent="0.3">
      <c r="A1042" s="101"/>
      <c r="B1042" s="93"/>
      <c r="C1042" s="7"/>
      <c r="D1042" s="94"/>
      <c r="E1042" s="95"/>
      <c r="F1042" s="70"/>
      <c r="G1042" s="111"/>
      <c r="H1042" s="70"/>
      <c r="I1042" s="70"/>
      <c r="J1042" s="70"/>
      <c r="K1042" s="70"/>
    </row>
    <row r="1043" spans="1:11" ht="20.25" customHeight="1" x14ac:dyDescent="0.3">
      <c r="A1043" s="101"/>
      <c r="B1043" s="93"/>
      <c r="C1043" s="7"/>
      <c r="D1043" s="94"/>
      <c r="E1043" s="95"/>
      <c r="F1043" s="70"/>
      <c r="G1043" s="111"/>
      <c r="H1043" s="70"/>
      <c r="I1043" s="70"/>
      <c r="J1043" s="70"/>
      <c r="K1043" s="70"/>
    </row>
    <row r="1044" spans="1:11" ht="20.25" customHeight="1" x14ac:dyDescent="0.3"/>
    <row r="1045" spans="1:11" ht="9.75" customHeight="1" x14ac:dyDescent="0.3"/>
    <row r="1046" spans="1:11" ht="59.25" customHeight="1" x14ac:dyDescent="0.3"/>
    <row r="1047" spans="1:11" ht="9" customHeight="1" x14ac:dyDescent="0.3"/>
    <row r="1048" spans="1:11" ht="17.25" customHeight="1" x14ac:dyDescent="0.3"/>
    <row r="1049" spans="1:11" ht="33" customHeight="1" x14ac:dyDescent="0.3"/>
    <row r="1050" spans="1:11" ht="17.25" customHeight="1" x14ac:dyDescent="0.3"/>
    <row r="1055" spans="1:11" ht="51" customHeight="1" x14ac:dyDescent="0.3"/>
    <row r="1056" spans="1:11" ht="18" customHeight="1" x14ac:dyDescent="0.3">
      <c r="A1056" s="91"/>
      <c r="B1056" s="91"/>
      <c r="C1056" s="91"/>
      <c r="D1056" s="91"/>
      <c r="E1056" s="91"/>
      <c r="F1056" s="91"/>
    </row>
  </sheetData>
  <mergeCells count="4">
    <mergeCell ref="D13:H13"/>
    <mergeCell ref="A6:B6"/>
    <mergeCell ref="A5:B5"/>
    <mergeCell ref="D2:I2"/>
  </mergeCells>
  <dataValidations disablePrompts="1" count="1">
    <dataValidation type="list" allowBlank="1" showInputMessage="1" showErrorMessage="1" sqref="I6">
      <formula1>ValidPerioder</formula1>
    </dataValidation>
  </dataValidations>
  <printOptions horizontalCentered="1"/>
  <pageMargins left="0.25" right="0.25" top="0.75" bottom="0.75" header="0.3" footer="0.3"/>
  <pageSetup scale="66" fitToHeight="0" orientation="portrait" r:id="rId1"/>
  <headerFooter differentFirst="1">
    <oddFooter>Page &amp;P of &amp;N</oddFooter>
  </headerFooter>
  <drawing r:id="rId2"/>
  <legacyDrawing r:id="rId3"/>
  <controls>
    <mc:AlternateContent xmlns:mc="http://schemas.openxmlformats.org/markup-compatibility/2006">
      <mc:Choice Requires="x14">
        <control shapeId="3074" r:id="rId4" name="CommandButton1">
          <controlPr autoLine="0" r:id="rId5">
            <anchor moveWithCells="1">
              <from>
                <xdr:col>0</xdr:col>
                <xdr:colOff>142875</xdr:colOff>
                <xdr:row>6</xdr:row>
                <xdr:rowOff>66675</xdr:rowOff>
              </from>
              <to>
                <xdr:col>0</xdr:col>
                <xdr:colOff>3019425</xdr:colOff>
                <xdr:row>8</xdr:row>
                <xdr:rowOff>114300</xdr:rowOff>
              </to>
            </anchor>
          </controlPr>
        </control>
      </mc:Choice>
      <mc:Fallback>
        <control shapeId="3074" r:id="rId4" name="CommandButton1"/>
      </mc:Fallback>
    </mc:AlternateContent>
    <mc:AlternateContent xmlns:mc="http://schemas.openxmlformats.org/markup-compatibility/2006">
      <mc:Choice Requires="x14">
        <control shapeId="3086" r:id="rId6" name="Drop Down 14">
          <controlPr defaultSize="0" autoLine="0" autoPict="0" macro="[0]!Nedrullningsbarlistruta14_Ändra">
            <anchor moveWithCells="1">
              <from>
                <xdr:col>0</xdr:col>
                <xdr:colOff>3076575</xdr:colOff>
                <xdr:row>6</xdr:row>
                <xdr:rowOff>171450</xdr:rowOff>
              </from>
              <to>
                <xdr:col>3</xdr:col>
                <xdr:colOff>1266825</xdr:colOff>
                <xdr:row>8</xdr:row>
                <xdr:rowOff>19050</xdr:rowOff>
              </to>
            </anchor>
          </controlPr>
        </control>
      </mc:Choice>
    </mc:AlternateContent>
  </controls>
  <tableParts count="1">
    <tablePart r:id="rId7"/>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Konstanter!$L$6:$L$10</xm:f>
          </x14:formula1>
          <xm:sqref>L6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9">
    <tabColor rgb="FF0070C0"/>
  </sheetPr>
  <dimension ref="A1:T19"/>
  <sheetViews>
    <sheetView workbookViewId="0">
      <selection activeCell="B6" sqref="B6"/>
    </sheetView>
  </sheetViews>
  <sheetFormatPr defaultRowHeight="15" x14ac:dyDescent="0.3"/>
  <cols>
    <col min="1" max="1" width="9" style="24"/>
    <col min="2" max="2" width="32.25" style="24" customWidth="1"/>
    <col min="3" max="3" width="19.625" style="24" customWidth="1"/>
    <col min="4" max="5" width="11.5" style="24" customWidth="1"/>
    <col min="6" max="7" width="12" style="24" customWidth="1"/>
    <col min="8" max="8" width="12.5" style="24" customWidth="1"/>
    <col min="9" max="9" width="11.625" style="24" customWidth="1"/>
    <col min="10" max="16384" width="9" style="24"/>
  </cols>
  <sheetData>
    <row r="1" spans="1:20" ht="9" customHeight="1" x14ac:dyDescent="0.3">
      <c r="A1" s="1"/>
      <c r="B1" s="1"/>
      <c r="C1" s="1"/>
      <c r="D1" s="1"/>
      <c r="E1" s="1"/>
      <c r="F1" s="1"/>
      <c r="G1" s="1"/>
      <c r="H1" s="1"/>
      <c r="I1" s="1"/>
      <c r="J1" s="1"/>
      <c r="K1" s="1"/>
      <c r="L1" s="1"/>
      <c r="M1" s="1"/>
      <c r="N1" s="1"/>
      <c r="O1" s="1"/>
      <c r="P1" s="1"/>
      <c r="Q1" s="1"/>
      <c r="R1" s="1"/>
      <c r="S1" s="1"/>
      <c r="T1" s="1"/>
    </row>
    <row r="2" spans="1:20" ht="51" customHeight="1" x14ac:dyDescent="0.3">
      <c r="A2" s="127" t="s">
        <v>185</v>
      </c>
      <c r="B2" s="4"/>
      <c r="C2" s="4"/>
      <c r="D2" s="4"/>
      <c r="E2" s="4"/>
      <c r="F2" s="1"/>
      <c r="G2" s="6"/>
      <c r="H2" s="232" t="str">
        <f>'Ditt informationsblad'!$E$2</f>
        <v>Civilingenjör i Industriell Ekonomi                                                                                                                                 med inriktning Datateknik och Ekonomiska informationssystem</v>
      </c>
      <c r="I2" s="232"/>
      <c r="J2" s="232"/>
      <c r="K2" s="232"/>
      <c r="L2" s="232"/>
      <c r="M2" s="232"/>
      <c r="N2" s="232"/>
      <c r="O2" s="1"/>
      <c r="P2" s="1"/>
      <c r="Q2" s="1"/>
      <c r="R2" s="1"/>
      <c r="S2" s="1"/>
      <c r="T2" s="1"/>
    </row>
    <row r="3" spans="1:20" ht="9" customHeight="1" x14ac:dyDescent="0.3">
      <c r="A3" s="1"/>
      <c r="B3" s="1"/>
      <c r="C3" s="1"/>
      <c r="D3" s="1"/>
      <c r="E3" s="1"/>
      <c r="F3" s="1"/>
      <c r="G3" s="1"/>
      <c r="H3" s="1"/>
      <c r="I3" s="1"/>
      <c r="J3" s="1"/>
      <c r="K3" s="1"/>
      <c r="L3" s="1"/>
      <c r="M3" s="1"/>
      <c r="N3" s="1"/>
      <c r="O3" s="1"/>
      <c r="P3" s="1"/>
      <c r="Q3" s="1"/>
      <c r="R3" s="1"/>
      <c r="S3" s="1"/>
      <c r="T3" s="1"/>
    </row>
    <row r="5" spans="1:20" x14ac:dyDescent="0.3">
      <c r="D5" s="233" t="s">
        <v>198</v>
      </c>
      <c r="E5" s="233"/>
      <c r="F5" s="233" t="s">
        <v>201</v>
      </c>
      <c r="G5" s="233"/>
      <c r="H5" s="233" t="s">
        <v>202</v>
      </c>
      <c r="I5" s="233"/>
    </row>
    <row r="6" spans="1:20" ht="23.25" customHeight="1" x14ac:dyDescent="0.3">
      <c r="B6" s="96" t="s">
        <v>13</v>
      </c>
      <c r="C6" s="96" t="s">
        <v>12</v>
      </c>
      <c r="D6" s="112" t="s">
        <v>199</v>
      </c>
      <c r="E6" s="112" t="s">
        <v>200</v>
      </c>
      <c r="F6" s="112" t="s">
        <v>199</v>
      </c>
      <c r="G6" s="112" t="s">
        <v>200</v>
      </c>
      <c r="H6" s="112" t="s">
        <v>199</v>
      </c>
      <c r="I6" s="112" t="s">
        <v>200</v>
      </c>
    </row>
    <row r="7" spans="1:20" ht="26.25" customHeight="1" x14ac:dyDescent="0.3"/>
    <row r="17" spans="2:2" x14ac:dyDescent="0.3">
      <c r="B17" s="24" t="s">
        <v>18</v>
      </c>
    </row>
    <row r="18" spans="2:2" x14ac:dyDescent="0.3">
      <c r="B18" s="24" t="s">
        <v>18</v>
      </c>
    </row>
    <row r="19" spans="2:2" x14ac:dyDescent="0.3">
      <c r="B19" s="24" t="s">
        <v>18</v>
      </c>
    </row>
  </sheetData>
  <mergeCells count="4">
    <mergeCell ref="H2:N2"/>
    <mergeCell ref="F5:G5"/>
    <mergeCell ref="H5:I5"/>
    <mergeCell ref="D5:E5"/>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5">
    <tabColor rgb="FF0070C0"/>
    <pageSetUpPr autoPageBreaks="0" fitToPage="1"/>
  </sheetPr>
  <dimension ref="A1:N135"/>
  <sheetViews>
    <sheetView showGridLines="0" topLeftCell="A34" zoomScaleNormal="100" workbookViewId="0">
      <selection activeCell="F10" sqref="F10"/>
    </sheetView>
  </sheetViews>
  <sheetFormatPr defaultRowHeight="18" customHeight="1" x14ac:dyDescent="0.3"/>
  <cols>
    <col min="1" max="1" width="41.25" bestFit="1" customWidth="1"/>
    <col min="2" max="2" width="18.875" customWidth="1"/>
    <col min="3" max="4" width="12" customWidth="1"/>
    <col min="5" max="5" width="42.625" customWidth="1"/>
    <col min="6" max="6" width="35.875" customWidth="1"/>
    <col min="7" max="7" width="16.25" customWidth="1"/>
    <col min="8" max="8" width="9" customWidth="1"/>
    <col min="9" max="9" width="11.125" bestFit="1" customWidth="1"/>
    <col min="10" max="10" width="10.75" bestFit="1" customWidth="1"/>
    <col min="11" max="11" width="23.75" customWidth="1"/>
    <col min="12" max="12" width="14.375" customWidth="1"/>
    <col min="13" max="13" width="15.375" customWidth="1"/>
    <col min="14" max="14" width="13.875" customWidth="1"/>
    <col min="15" max="15" width="16.875" customWidth="1"/>
  </cols>
  <sheetData>
    <row r="1" spans="1:7" ht="6.75" customHeight="1" x14ac:dyDescent="0.3">
      <c r="A1" s="1"/>
      <c r="B1" s="1"/>
      <c r="C1" s="1"/>
      <c r="D1" s="1"/>
      <c r="E1" s="1"/>
      <c r="F1" s="1"/>
      <c r="G1" s="1"/>
    </row>
    <row r="2" spans="1:7" ht="51" customHeight="1" x14ac:dyDescent="0.3">
      <c r="A2" s="10" t="s">
        <v>14</v>
      </c>
      <c r="B2" s="10"/>
      <c r="C2" s="10"/>
      <c r="D2" s="230" t="str">
        <f>CONCATENATE("Just nu finns kursdata för ",COUNTA(ProgramKurser[KURSNAMN])," kurser, inom ",COUNTA(AvailablePrograms[PROGRAMNAMN]), " program och ", COUNTA(Spec[INRIKTNING]), " inriktningar, inlagda i arbetsboken.")</f>
        <v>Just nu finns kursdata för 353 kurser, inom 9 program och 43 inriktningar, inlagda i arbetsboken.</v>
      </c>
      <c r="E2" s="231"/>
      <c r="F2" s="231"/>
      <c r="G2" s="4"/>
    </row>
    <row r="3" spans="1:7" ht="6.75" customHeight="1" x14ac:dyDescent="0.3">
      <c r="A3" s="1"/>
      <c r="B3" s="1"/>
      <c r="C3" s="1"/>
      <c r="D3" s="1"/>
      <c r="E3" s="1"/>
      <c r="F3" s="1"/>
      <c r="G3" s="1"/>
    </row>
    <row r="4" spans="1:7" ht="9" customHeight="1" x14ac:dyDescent="0.3">
      <c r="A4" s="238"/>
      <c r="B4" s="238"/>
      <c r="C4" s="238"/>
      <c r="D4" s="238"/>
    </row>
    <row r="5" spans="1:7" ht="24.75" customHeight="1" x14ac:dyDescent="0.3">
      <c r="A5" s="21" t="s">
        <v>20</v>
      </c>
      <c r="B5" s="21" t="s">
        <v>16</v>
      </c>
      <c r="C5" s="21" t="s">
        <v>17</v>
      </c>
      <c r="D5" s="20"/>
      <c r="E5" s="21" t="s">
        <v>15</v>
      </c>
      <c r="F5" s="21" t="s">
        <v>16</v>
      </c>
      <c r="G5" s="21" t="s">
        <v>17</v>
      </c>
    </row>
    <row r="6" spans="1:7" ht="24.75" customHeight="1" x14ac:dyDescent="0.3">
      <c r="A6" s="41" t="s">
        <v>204</v>
      </c>
      <c r="B6" s="41">
        <v>300</v>
      </c>
      <c r="C6" s="41">
        <v>5</v>
      </c>
      <c r="D6" s="11"/>
      <c r="E6" s="85" t="s">
        <v>203</v>
      </c>
      <c r="F6" s="72">
        <v>300</v>
      </c>
      <c r="G6" s="72">
        <v>5</v>
      </c>
    </row>
    <row r="7" spans="1:7" ht="24.75" customHeight="1" x14ac:dyDescent="0.3">
      <c r="A7" s="20"/>
      <c r="B7" s="20"/>
      <c r="C7" s="20"/>
      <c r="D7" s="11"/>
      <c r="E7" s="85" t="s">
        <v>84</v>
      </c>
      <c r="F7" s="72">
        <v>300</v>
      </c>
      <c r="G7" s="72">
        <v>5</v>
      </c>
    </row>
    <row r="8" spans="1:7" ht="24.75" customHeight="1" x14ac:dyDescent="0.3">
      <c r="A8" s="20"/>
      <c r="B8" s="20"/>
      <c r="C8" s="20"/>
      <c r="D8" s="11"/>
      <c r="E8" s="85" t="s">
        <v>89</v>
      </c>
      <c r="F8" s="72">
        <v>300</v>
      </c>
      <c r="G8" s="72">
        <v>5</v>
      </c>
    </row>
    <row r="9" spans="1:7" ht="24.75" customHeight="1" x14ac:dyDescent="0.3">
      <c r="A9" s="240" t="s">
        <v>197</v>
      </c>
      <c r="B9" s="240"/>
      <c r="C9" s="240"/>
      <c r="D9" s="11"/>
      <c r="E9" s="72" t="s">
        <v>18</v>
      </c>
      <c r="F9" s="72">
        <v>300</v>
      </c>
      <c r="G9" s="72">
        <v>5</v>
      </c>
    </row>
    <row r="10" spans="1:7" ht="24.75" customHeight="1" x14ac:dyDescent="0.3">
      <c r="A10" s="241"/>
      <c r="B10" s="241"/>
      <c r="C10" s="241"/>
      <c r="D10" s="11"/>
      <c r="E10" s="72" t="s">
        <v>19</v>
      </c>
      <c r="F10" s="72">
        <v>300</v>
      </c>
      <c r="G10" s="72">
        <v>5</v>
      </c>
    </row>
    <row r="11" spans="1:7" ht="24.75" customHeight="1" thickBot="1" x14ac:dyDescent="0.35">
      <c r="A11" s="242"/>
      <c r="B11" s="242"/>
      <c r="C11" s="242"/>
      <c r="D11" s="18"/>
      <c r="E11" s="85" t="s">
        <v>204</v>
      </c>
      <c r="F11" s="72">
        <v>300</v>
      </c>
      <c r="G11" s="72">
        <v>5</v>
      </c>
    </row>
    <row r="12" spans="1:7" ht="24.75" customHeight="1" thickTop="1" x14ac:dyDescent="0.3">
      <c r="A12" s="19"/>
      <c r="B12" s="19"/>
      <c r="C12" s="19"/>
      <c r="D12" s="18"/>
      <c r="E12" s="72" t="s">
        <v>75</v>
      </c>
      <c r="F12" s="72">
        <v>300</v>
      </c>
      <c r="G12" s="72">
        <v>5</v>
      </c>
    </row>
    <row r="13" spans="1:7" ht="24.75" customHeight="1" x14ac:dyDescent="0.3">
      <c r="A13" s="19"/>
      <c r="B13" s="19"/>
      <c r="C13" s="19"/>
      <c r="D13" s="18"/>
      <c r="E13" s="72" t="s">
        <v>27</v>
      </c>
      <c r="F13" s="72">
        <v>180</v>
      </c>
      <c r="G13" s="72">
        <v>3</v>
      </c>
    </row>
    <row r="14" spans="1:7" ht="24.75" customHeight="1" x14ac:dyDescent="0.3">
      <c r="A14" s="19"/>
      <c r="B14" s="19"/>
      <c r="C14" s="19"/>
      <c r="D14" s="18"/>
      <c r="E14" s="86" t="s">
        <v>28</v>
      </c>
      <c r="F14" s="86">
        <v>180</v>
      </c>
      <c r="G14" s="86">
        <v>3</v>
      </c>
    </row>
    <row r="15" spans="1:7" ht="24.75" customHeight="1" x14ac:dyDescent="0.3">
      <c r="A15" s="19"/>
      <c r="B15" s="19"/>
      <c r="C15" s="19"/>
      <c r="D15" s="18"/>
      <c r="E15" s="85"/>
      <c r="F15" s="72"/>
      <c r="G15" s="72"/>
    </row>
    <row r="16" spans="1:7" ht="8.25" customHeight="1" x14ac:dyDescent="0.3">
      <c r="A16" s="19"/>
      <c r="B16" s="19"/>
      <c r="C16" s="19"/>
      <c r="D16" s="18"/>
      <c r="E16" s="36"/>
      <c r="F16" s="36"/>
      <c r="G16" s="36"/>
    </row>
    <row r="17" spans="1:14" ht="9" customHeight="1" x14ac:dyDescent="0.3">
      <c r="A17" s="1"/>
      <c r="B17" s="1"/>
      <c r="C17" s="1"/>
      <c r="D17" s="1"/>
      <c r="E17" s="33"/>
      <c r="F17" s="33"/>
      <c r="G17" s="33"/>
    </row>
    <row r="18" spans="1:14" ht="51.75" customHeight="1" x14ac:dyDescent="0.3">
      <c r="A18" s="10" t="s">
        <v>97</v>
      </c>
      <c r="B18" s="10"/>
      <c r="C18" s="10"/>
      <c r="D18" s="234" t="s">
        <v>98</v>
      </c>
      <c r="E18" s="235"/>
      <c r="F18" s="34"/>
      <c r="G18" s="35"/>
    </row>
    <row r="19" spans="1:14" ht="10.5" customHeight="1" x14ac:dyDescent="0.3">
      <c r="A19" s="1"/>
      <c r="B19" s="1"/>
      <c r="C19" s="1"/>
      <c r="D19" s="1"/>
      <c r="E19" s="33"/>
      <c r="F19" s="33"/>
      <c r="G19" s="33"/>
    </row>
    <row r="20" spans="1:14" s="24" customFormat="1" ht="10.5" customHeight="1" x14ac:dyDescent="0.3">
      <c r="A20" s="23"/>
      <c r="B20" s="23"/>
      <c r="C20" s="23"/>
      <c r="D20" s="23"/>
      <c r="E20" s="37"/>
      <c r="F20" s="37"/>
      <c r="G20" s="37"/>
      <c r="K20"/>
      <c r="L20"/>
      <c r="M20"/>
      <c r="N20"/>
    </row>
    <row r="21" spans="1:14" ht="22.5" customHeight="1" x14ac:dyDescent="0.3">
      <c r="G21" s="29"/>
      <c r="H21" s="109" t="s">
        <v>75</v>
      </c>
    </row>
    <row r="22" spans="1:14" ht="34.5" customHeight="1" x14ac:dyDescent="0.3">
      <c r="A22" s="39" t="s">
        <v>26</v>
      </c>
      <c r="E22" s="239" t="s">
        <v>99</v>
      </c>
      <c r="F22" s="239"/>
      <c r="G22" s="32"/>
    </row>
    <row r="23" spans="1:14" ht="22.5" customHeight="1" thickBot="1" x14ac:dyDescent="0.35">
      <c r="E23" s="75"/>
      <c r="F23" s="75"/>
      <c r="G23" s="32"/>
    </row>
    <row r="24" spans="1:14" ht="22.5" customHeight="1" thickTop="1" x14ac:dyDescent="0.3">
      <c r="A24" s="236" t="s">
        <v>25</v>
      </c>
      <c r="B24" s="236"/>
      <c r="C24" s="236"/>
      <c r="G24" s="32"/>
    </row>
    <row r="25" spans="1:14" ht="22.5" customHeight="1" x14ac:dyDescent="0.3">
      <c r="A25" s="237" t="s">
        <v>211</v>
      </c>
      <c r="B25" s="237"/>
      <c r="C25" s="237"/>
      <c r="G25" s="32"/>
    </row>
    <row r="26" spans="1:14" ht="22.5" customHeight="1" x14ac:dyDescent="0.3">
      <c r="E26" s="21" t="s">
        <v>22</v>
      </c>
      <c r="F26" s="22" t="s">
        <v>21</v>
      </c>
      <c r="G26" s="38"/>
    </row>
    <row r="27" spans="1:14" ht="22.5" customHeight="1" x14ac:dyDescent="0.3">
      <c r="E27" s="32" t="s">
        <v>18</v>
      </c>
      <c r="F27" s="40" t="s">
        <v>23</v>
      </c>
    </row>
    <row r="28" spans="1:14" ht="22.5" customHeight="1" x14ac:dyDescent="0.3">
      <c r="E28" s="32" t="s">
        <v>18</v>
      </c>
      <c r="F28" s="40" t="s">
        <v>31</v>
      </c>
    </row>
    <row r="29" spans="1:14" ht="22.5" customHeight="1" x14ac:dyDescent="0.3">
      <c r="E29" s="32" t="s">
        <v>18</v>
      </c>
      <c r="F29" s="40" t="s">
        <v>32</v>
      </c>
    </row>
    <row r="30" spans="1:14" ht="22.5" customHeight="1" x14ac:dyDescent="0.3">
      <c r="E30" s="32" t="s">
        <v>18</v>
      </c>
      <c r="F30" s="40" t="s">
        <v>33</v>
      </c>
    </row>
    <row r="31" spans="1:14" ht="22.5" customHeight="1" x14ac:dyDescent="0.3">
      <c r="E31" s="38" t="s">
        <v>18</v>
      </c>
      <c r="F31" s="42" t="s">
        <v>34</v>
      </c>
    </row>
    <row r="32" spans="1:14" ht="22.5" customHeight="1" x14ac:dyDescent="0.3">
      <c r="E32" s="38" t="s">
        <v>18</v>
      </c>
      <c r="F32" s="42" t="s">
        <v>67</v>
      </c>
    </row>
    <row r="33" spans="5:6" ht="22.5" customHeight="1" x14ac:dyDescent="0.3">
      <c r="E33" s="38" t="s">
        <v>19</v>
      </c>
      <c r="F33" s="42" t="s">
        <v>69</v>
      </c>
    </row>
    <row r="34" spans="5:6" ht="22.5" customHeight="1" x14ac:dyDescent="0.3">
      <c r="E34" s="38" t="s">
        <v>19</v>
      </c>
      <c r="F34" s="42" t="s">
        <v>70</v>
      </c>
    </row>
    <row r="35" spans="5:6" ht="22.5" customHeight="1" x14ac:dyDescent="0.3">
      <c r="E35" s="38" t="s">
        <v>19</v>
      </c>
      <c r="F35" s="42" t="s">
        <v>71</v>
      </c>
    </row>
    <row r="36" spans="5:6" ht="22.5" customHeight="1" x14ac:dyDescent="0.3">
      <c r="E36" s="38" t="s">
        <v>19</v>
      </c>
      <c r="F36" s="42" t="s">
        <v>72</v>
      </c>
    </row>
    <row r="37" spans="5:6" ht="22.5" customHeight="1" x14ac:dyDescent="0.3">
      <c r="E37" s="38" t="s">
        <v>19</v>
      </c>
      <c r="F37" s="42" t="s">
        <v>73</v>
      </c>
    </row>
    <row r="38" spans="5:6" ht="22.5" customHeight="1" x14ac:dyDescent="0.3">
      <c r="E38" s="38" t="s">
        <v>19</v>
      </c>
      <c r="F38" s="42" t="s">
        <v>74</v>
      </c>
    </row>
    <row r="39" spans="5:6" ht="22.5" customHeight="1" x14ac:dyDescent="0.3">
      <c r="E39" s="38" t="s">
        <v>19</v>
      </c>
      <c r="F39" s="42" t="s">
        <v>29</v>
      </c>
    </row>
    <row r="40" spans="5:6" ht="22.5" customHeight="1" x14ac:dyDescent="0.3">
      <c r="E40" s="38" t="s">
        <v>19</v>
      </c>
      <c r="F40" s="42" t="s">
        <v>49</v>
      </c>
    </row>
    <row r="41" spans="5:6" ht="22.5" customHeight="1" x14ac:dyDescent="0.3">
      <c r="E41" s="38" t="s">
        <v>75</v>
      </c>
      <c r="F41" s="42" t="s">
        <v>211</v>
      </c>
    </row>
    <row r="42" spans="5:6" ht="22.5" customHeight="1" x14ac:dyDescent="0.3">
      <c r="E42" s="38" t="s">
        <v>75</v>
      </c>
      <c r="F42" s="42" t="s">
        <v>68</v>
      </c>
    </row>
    <row r="43" spans="5:6" ht="22.5" customHeight="1" x14ac:dyDescent="0.3">
      <c r="E43" s="38" t="s">
        <v>75</v>
      </c>
      <c r="F43" s="42" t="s">
        <v>76</v>
      </c>
    </row>
    <row r="44" spans="5:6" ht="22.5" customHeight="1" x14ac:dyDescent="0.3">
      <c r="E44" s="38" t="s">
        <v>75</v>
      </c>
      <c r="F44" s="42" t="s">
        <v>209</v>
      </c>
    </row>
    <row r="45" spans="5:6" ht="22.5" customHeight="1" x14ac:dyDescent="0.3">
      <c r="E45" s="38" t="s">
        <v>75</v>
      </c>
      <c r="F45" s="42" t="s">
        <v>83</v>
      </c>
    </row>
    <row r="46" spans="5:6" ht="22.5" customHeight="1" x14ac:dyDescent="0.3">
      <c r="E46" s="38" t="s">
        <v>75</v>
      </c>
      <c r="F46" s="42" t="s">
        <v>77</v>
      </c>
    </row>
    <row r="47" spans="5:6" ht="22.5" customHeight="1" x14ac:dyDescent="0.3">
      <c r="E47" s="38" t="s">
        <v>75</v>
      </c>
      <c r="F47" s="42" t="s">
        <v>78</v>
      </c>
    </row>
    <row r="48" spans="5:6" ht="22.5" customHeight="1" x14ac:dyDescent="0.3">
      <c r="E48" s="38" t="s">
        <v>75</v>
      </c>
      <c r="F48" s="42" t="s">
        <v>79</v>
      </c>
    </row>
    <row r="49" spans="1:6" ht="22.5" customHeight="1" x14ac:dyDescent="0.3">
      <c r="E49" s="38"/>
      <c r="F49" s="62" t="s">
        <v>38</v>
      </c>
    </row>
    <row r="50" spans="1:6" ht="22.5" customHeight="1" x14ac:dyDescent="0.3">
      <c r="E50" s="38"/>
      <c r="F50" s="42" t="s">
        <v>47</v>
      </c>
    </row>
    <row r="51" spans="1:6" ht="22.5" customHeight="1" x14ac:dyDescent="0.3">
      <c r="E51" s="38"/>
      <c r="F51" s="42" t="s">
        <v>48</v>
      </c>
    </row>
    <row r="52" spans="1:6" ht="22.5" customHeight="1" x14ac:dyDescent="0.3">
      <c r="E52" s="38" t="s">
        <v>84</v>
      </c>
      <c r="F52" s="42" t="s">
        <v>85</v>
      </c>
    </row>
    <row r="53" spans="1:6" ht="22.5" customHeight="1" x14ac:dyDescent="0.3">
      <c r="E53" s="38" t="s">
        <v>84</v>
      </c>
      <c r="F53" s="42" t="s">
        <v>86</v>
      </c>
    </row>
    <row r="54" spans="1:6" ht="22.5" customHeight="1" x14ac:dyDescent="0.3">
      <c r="E54" s="38" t="s">
        <v>84</v>
      </c>
      <c r="F54" s="42" t="s">
        <v>87</v>
      </c>
    </row>
    <row r="55" spans="1:6" ht="22.5" customHeight="1" x14ac:dyDescent="0.3">
      <c r="E55" s="38" t="s">
        <v>89</v>
      </c>
      <c r="F55" s="42" t="s">
        <v>88</v>
      </c>
    </row>
    <row r="56" spans="1:6" ht="22.5" customHeight="1" x14ac:dyDescent="0.3">
      <c r="E56" s="38" t="s">
        <v>89</v>
      </c>
      <c r="F56" s="42" t="s">
        <v>50</v>
      </c>
    </row>
    <row r="57" spans="1:6" ht="22.5" customHeight="1" x14ac:dyDescent="0.3">
      <c r="A57" s="23"/>
      <c r="B57" s="23"/>
      <c r="C57" s="23"/>
      <c r="D57" s="23"/>
      <c r="E57" s="38" t="s">
        <v>18</v>
      </c>
      <c r="F57" s="42" t="s">
        <v>103</v>
      </c>
    </row>
    <row r="58" spans="1:6" ht="22.5" customHeight="1" x14ac:dyDescent="0.3">
      <c r="A58" s="23"/>
      <c r="B58" s="23"/>
      <c r="C58" s="23"/>
      <c r="D58" s="23"/>
      <c r="E58" s="38" t="s">
        <v>18</v>
      </c>
      <c r="F58" s="42" t="s">
        <v>104</v>
      </c>
    </row>
    <row r="59" spans="1:6" ht="22.5" customHeight="1" x14ac:dyDescent="0.3">
      <c r="A59" s="23"/>
      <c r="B59" s="23"/>
      <c r="C59" s="23"/>
      <c r="D59" s="23"/>
      <c r="E59" s="38" t="s">
        <v>18</v>
      </c>
      <c r="F59" s="42" t="s">
        <v>105</v>
      </c>
    </row>
    <row r="60" spans="1:6" ht="22.5" customHeight="1" x14ac:dyDescent="0.3">
      <c r="A60" s="23"/>
      <c r="B60" s="23"/>
      <c r="C60" s="23"/>
      <c r="D60" s="23"/>
      <c r="E60" s="38" t="s">
        <v>18</v>
      </c>
      <c r="F60" s="42" t="s">
        <v>29</v>
      </c>
    </row>
    <row r="61" spans="1:6" ht="22.5" customHeight="1" x14ac:dyDescent="0.3">
      <c r="A61" s="23"/>
      <c r="B61" s="23"/>
      <c r="C61" s="23"/>
      <c r="D61" s="23"/>
      <c r="E61" s="38" t="s">
        <v>18</v>
      </c>
      <c r="F61" s="42" t="s">
        <v>106</v>
      </c>
    </row>
    <row r="62" spans="1:6" ht="22.5" customHeight="1" x14ac:dyDescent="0.3">
      <c r="A62" s="23"/>
      <c r="B62" s="23"/>
      <c r="C62" s="23"/>
      <c r="D62" s="23"/>
      <c r="E62" s="38" t="s">
        <v>18</v>
      </c>
      <c r="F62" s="42" t="s">
        <v>107</v>
      </c>
    </row>
    <row r="63" spans="1:6" ht="22.5" customHeight="1" x14ac:dyDescent="0.3">
      <c r="A63" s="23"/>
      <c r="B63" s="23"/>
      <c r="C63" s="23"/>
      <c r="D63" s="23"/>
      <c r="E63" s="38" t="s">
        <v>18</v>
      </c>
      <c r="F63" s="42" t="s">
        <v>108</v>
      </c>
    </row>
    <row r="64" spans="1:6" ht="22.5" customHeight="1" x14ac:dyDescent="0.3">
      <c r="A64" s="23"/>
      <c r="B64" s="23"/>
      <c r="C64" s="23"/>
      <c r="D64" s="23"/>
      <c r="E64" s="38" t="s">
        <v>204</v>
      </c>
      <c r="F64" s="42" t="s">
        <v>205</v>
      </c>
    </row>
    <row r="65" spans="1:6" ht="22.5" customHeight="1" x14ac:dyDescent="0.3">
      <c r="A65" s="23"/>
      <c r="B65" s="23"/>
      <c r="C65" s="23"/>
      <c r="D65" s="23"/>
      <c r="E65" s="38" t="s">
        <v>204</v>
      </c>
      <c r="F65" s="42" t="s">
        <v>206</v>
      </c>
    </row>
    <row r="66" spans="1:6" ht="22.5" customHeight="1" x14ac:dyDescent="0.3">
      <c r="A66" s="23"/>
      <c r="B66" s="23"/>
      <c r="C66" s="23"/>
      <c r="D66" s="23"/>
      <c r="E66" s="38" t="s">
        <v>204</v>
      </c>
      <c r="F66" s="42" t="s">
        <v>207</v>
      </c>
    </row>
    <row r="67" spans="1:6" ht="22.5" customHeight="1" x14ac:dyDescent="0.3">
      <c r="A67" s="23"/>
      <c r="B67" s="23"/>
      <c r="C67" s="23"/>
      <c r="D67" s="23"/>
      <c r="E67" s="38" t="s">
        <v>75</v>
      </c>
      <c r="F67" s="42" t="s">
        <v>81</v>
      </c>
    </row>
    <row r="68" spans="1:6" ht="22.5" customHeight="1" x14ac:dyDescent="0.3">
      <c r="A68" s="23"/>
      <c r="B68" s="23"/>
      <c r="C68" s="23"/>
      <c r="D68" s="23"/>
      <c r="E68" s="38" t="s">
        <v>75</v>
      </c>
      <c r="F68" s="42" t="s">
        <v>82</v>
      </c>
    </row>
    <row r="69" spans="1:6" ht="22.5" customHeight="1" x14ac:dyDescent="0.3">
      <c r="A69" s="23"/>
      <c r="B69" s="23"/>
      <c r="C69" s="23"/>
      <c r="D69" s="23"/>
      <c r="E69" s="38" t="s">
        <v>75</v>
      </c>
      <c r="F69" s="42" t="s">
        <v>210</v>
      </c>
    </row>
    <row r="70" spans="1:6" ht="22.5" customHeight="1" x14ac:dyDescent="0.3">
      <c r="A70" s="23"/>
      <c r="B70" s="23"/>
      <c r="C70" s="23"/>
      <c r="D70" s="23"/>
      <c r="E70" s="38"/>
      <c r="F70" s="42"/>
    </row>
    <row r="71" spans="1:6" ht="22.5" customHeight="1" x14ac:dyDescent="0.3">
      <c r="A71" s="23"/>
      <c r="B71" s="23"/>
      <c r="C71" s="23"/>
      <c r="D71" s="23"/>
    </row>
    <row r="72" spans="1:6" ht="9" customHeight="1" x14ac:dyDescent="0.3"/>
    <row r="73" spans="1:6" ht="48" customHeight="1" x14ac:dyDescent="0.3"/>
    <row r="74" spans="1:6" ht="9" customHeight="1" x14ac:dyDescent="0.3"/>
    <row r="75" spans="1:6" ht="22.5" customHeight="1" x14ac:dyDescent="0.3"/>
    <row r="76" spans="1:6" ht="22.5" customHeight="1" x14ac:dyDescent="0.3"/>
    <row r="77" spans="1:6" ht="22.5" customHeight="1" x14ac:dyDescent="0.3"/>
    <row r="78" spans="1:6" ht="22.5" customHeight="1" x14ac:dyDescent="0.3"/>
    <row r="79" spans="1:6" ht="22.5" customHeight="1" x14ac:dyDescent="0.3"/>
    <row r="80" spans="1:6" ht="22.5" customHeight="1" x14ac:dyDescent="0.3"/>
    <row r="81" ht="22.5" customHeight="1" x14ac:dyDescent="0.3"/>
    <row r="82" ht="22.5" customHeight="1" x14ac:dyDescent="0.3"/>
    <row r="83" ht="22.5" customHeight="1" x14ac:dyDescent="0.3"/>
    <row r="84" ht="22.5" customHeight="1" x14ac:dyDescent="0.3"/>
    <row r="85" ht="22.5" customHeight="1" x14ac:dyDescent="0.3"/>
    <row r="86" ht="22.5" customHeight="1" x14ac:dyDescent="0.3"/>
    <row r="87" ht="22.5" customHeight="1" x14ac:dyDescent="0.3"/>
    <row r="88" ht="22.5" customHeight="1" x14ac:dyDescent="0.3"/>
    <row r="89" ht="22.5" customHeight="1" x14ac:dyDescent="0.3"/>
    <row r="90" ht="22.5" customHeight="1" x14ac:dyDescent="0.3"/>
    <row r="91" ht="22.5" customHeight="1" x14ac:dyDescent="0.3"/>
    <row r="92" ht="22.5" customHeight="1" x14ac:dyDescent="0.3"/>
    <row r="93" ht="22.5" customHeight="1" x14ac:dyDescent="0.3"/>
    <row r="94" ht="22.5" customHeight="1" x14ac:dyDescent="0.3"/>
    <row r="95" ht="22.5" customHeight="1" x14ac:dyDescent="0.3"/>
    <row r="96" ht="22.5" customHeight="1" x14ac:dyDescent="0.3"/>
    <row r="97" ht="22.5" customHeight="1" x14ac:dyDescent="0.3"/>
    <row r="98" ht="22.5" customHeight="1" x14ac:dyDescent="0.3"/>
    <row r="99" ht="22.5" customHeight="1" x14ac:dyDescent="0.3"/>
    <row r="100" ht="22.5" customHeight="1" x14ac:dyDescent="0.3"/>
    <row r="101" ht="22.5" customHeight="1" x14ac:dyDescent="0.3"/>
    <row r="102" ht="22.5" customHeight="1" x14ac:dyDescent="0.3"/>
    <row r="103" ht="22.5" customHeight="1" x14ac:dyDescent="0.3"/>
    <row r="104" ht="22.5" customHeight="1" x14ac:dyDescent="0.3"/>
    <row r="105" ht="22.5" customHeight="1" x14ac:dyDescent="0.3"/>
    <row r="106" ht="22.5" customHeight="1" x14ac:dyDescent="0.3"/>
    <row r="107" ht="22.5" customHeight="1" x14ac:dyDescent="0.3"/>
    <row r="108" ht="22.5" customHeight="1" x14ac:dyDescent="0.3"/>
    <row r="109" ht="22.5" customHeight="1" x14ac:dyDescent="0.3"/>
    <row r="110" ht="22.5" customHeight="1" x14ac:dyDescent="0.3"/>
    <row r="111" ht="22.5" customHeight="1" x14ac:dyDescent="0.3"/>
    <row r="112" ht="22.5" customHeight="1" x14ac:dyDescent="0.3"/>
    <row r="113" ht="22.5" customHeight="1" x14ac:dyDescent="0.3"/>
    <row r="114" ht="22.5" customHeight="1" x14ac:dyDescent="0.3"/>
    <row r="115" ht="22.5" customHeight="1" x14ac:dyDescent="0.3"/>
    <row r="116" ht="22.5" customHeight="1" x14ac:dyDescent="0.3"/>
    <row r="117" ht="22.5" customHeight="1" x14ac:dyDescent="0.3"/>
    <row r="118" ht="22.5" customHeight="1" x14ac:dyDescent="0.3"/>
    <row r="119" ht="22.5" customHeight="1" x14ac:dyDescent="0.3"/>
    <row r="120" ht="22.5" customHeight="1" x14ac:dyDescent="0.3"/>
    <row r="121" ht="22.5" customHeight="1" x14ac:dyDescent="0.3"/>
    <row r="122" ht="22.5" customHeight="1" x14ac:dyDescent="0.3"/>
    <row r="123" ht="22.5" customHeight="1" x14ac:dyDescent="0.3"/>
    <row r="124" ht="22.5" customHeight="1" x14ac:dyDescent="0.3"/>
    <row r="125" ht="22.5" customHeight="1" x14ac:dyDescent="0.3"/>
    <row r="126" ht="22.5" customHeight="1" x14ac:dyDescent="0.3"/>
    <row r="127" ht="22.5" customHeight="1" x14ac:dyDescent="0.3"/>
    <row r="128" ht="22.5" customHeight="1" x14ac:dyDescent="0.3"/>
    <row r="129" ht="22.5" customHeight="1" x14ac:dyDescent="0.3"/>
    <row r="130" ht="22.5" customHeight="1" x14ac:dyDescent="0.3"/>
    <row r="131" ht="22.5" customHeight="1" x14ac:dyDescent="0.3"/>
    <row r="132" ht="22.5" customHeight="1" x14ac:dyDescent="0.3"/>
    <row r="133" ht="22.5" customHeight="1" x14ac:dyDescent="0.3"/>
    <row r="134" ht="22.5" customHeight="1" x14ac:dyDescent="0.3"/>
    <row r="135" ht="22.5" customHeight="1" x14ac:dyDescent="0.3"/>
  </sheetData>
  <mergeCells count="7">
    <mergeCell ref="D2:F2"/>
    <mergeCell ref="D18:E18"/>
    <mergeCell ref="A24:C24"/>
    <mergeCell ref="A25:C25"/>
    <mergeCell ref="A4:D4"/>
    <mergeCell ref="E22:F22"/>
    <mergeCell ref="A9:C11"/>
  </mergeCells>
  <conditionalFormatting sqref="F7">
    <cfRule type="dataBar" priority="7">
      <dataBar>
        <cfvo type="num" val="0"/>
        <cfvo type="num" val="#REF!"/>
        <color theme="4"/>
      </dataBar>
      <extLst>
        <ext xmlns:x14="http://schemas.microsoft.com/office/spreadsheetml/2009/9/main" uri="{B025F937-C7B1-47D3-B67F-A62EFF666E3E}">
          <x14:id>{FAA48F41-B3E2-48C9-B5A6-FAE6B6D66A8D}</x14:id>
        </ext>
      </extLst>
    </cfRule>
  </conditionalFormatting>
  <conditionalFormatting sqref="F27">
    <cfRule type="dataBar" priority="2">
      <dataBar>
        <cfvo type="num" val="0"/>
        <cfvo type="num" val="#REF!"/>
        <color theme="4"/>
      </dataBar>
      <extLst>
        <ext xmlns:x14="http://schemas.microsoft.com/office/spreadsheetml/2009/9/main" uri="{B025F937-C7B1-47D3-B67F-A62EFF666E3E}">
          <x14:id>{674AC4C0-59A7-4C28-BEE7-C5AE78DF9CF2}</x14:id>
        </ext>
      </extLst>
    </cfRule>
  </conditionalFormatting>
  <dataValidations disablePrompts="1" count="1">
    <dataValidation type="list" allowBlank="1" showInputMessage="1" showErrorMessage="1" sqref="I10">
      <formula1>DynamicProgramRange</formula1>
    </dataValidation>
  </dataValidations>
  <printOptions horizontalCentered="1"/>
  <pageMargins left="0.25" right="0.25" top="0.75" bottom="0.75" header="0.3" footer="0.3"/>
  <pageSetup scale="66" fitToHeight="0" orientation="portrait" r:id="rId1"/>
  <headerFooter differentFirst="1">
    <oddFooter>Page &amp;P of &amp;N</oddFooter>
  </headerFooter>
  <drawing r:id="rId2"/>
  <legacyDrawing r:id="rId3"/>
  <controls>
    <mc:AlternateContent xmlns:mc="http://schemas.openxmlformats.org/markup-compatibility/2006">
      <mc:Choice Requires="x14">
        <control shapeId="5129" r:id="rId4" name="CommandButton2">
          <controlPr defaultSize="0" autoLine="0" r:id="rId5">
            <anchor moveWithCells="1">
              <from>
                <xdr:col>0</xdr:col>
                <xdr:colOff>3086100</xdr:colOff>
                <xdr:row>25</xdr:row>
                <xdr:rowOff>28575</xdr:rowOff>
              </from>
              <to>
                <xdr:col>3</xdr:col>
                <xdr:colOff>0</xdr:colOff>
                <xdr:row>26</xdr:row>
                <xdr:rowOff>95250</xdr:rowOff>
              </to>
            </anchor>
          </controlPr>
        </control>
      </mc:Choice>
      <mc:Fallback>
        <control shapeId="5129" r:id="rId4" name="CommandButton2"/>
      </mc:Fallback>
    </mc:AlternateContent>
    <mc:AlternateContent xmlns:mc="http://schemas.openxmlformats.org/markup-compatibility/2006">
      <mc:Choice Requires="x14">
        <control shapeId="5127" r:id="rId6" name="CommandButton1">
          <controlPr defaultSize="0" autoLine="0" r:id="rId7">
            <anchor moveWithCells="1">
              <from>
                <xdr:col>1</xdr:col>
                <xdr:colOff>0</xdr:colOff>
                <xdr:row>6</xdr:row>
                <xdr:rowOff>19050</xdr:rowOff>
              </from>
              <to>
                <xdr:col>3</xdr:col>
                <xdr:colOff>57150</xdr:colOff>
                <xdr:row>7</xdr:row>
                <xdr:rowOff>57150</xdr:rowOff>
              </to>
            </anchor>
          </controlPr>
        </control>
      </mc:Choice>
      <mc:Fallback>
        <control shapeId="5127" r:id="rId6" name="CommandButton1"/>
      </mc:Fallback>
    </mc:AlternateContent>
    <mc:AlternateContent xmlns:mc="http://schemas.openxmlformats.org/markup-compatibility/2006">
      <mc:Choice Requires="x14">
        <control shapeId="5128" r:id="rId8" name="Drop Down 8">
          <controlPr defaultSize="0" autoLine="0" autoPict="0" macro="[0]!Blad5.Nedrullningsbarlistruta8_Ändra">
            <anchor moveWithCells="1">
              <from>
                <xdr:col>0</xdr:col>
                <xdr:colOff>1095375</xdr:colOff>
                <xdr:row>21</xdr:row>
                <xdr:rowOff>85725</xdr:rowOff>
              </from>
              <to>
                <xdr:col>1</xdr:col>
                <xdr:colOff>1323975</xdr:colOff>
                <xdr:row>21</xdr:row>
                <xdr:rowOff>390525</xdr:rowOff>
              </to>
            </anchor>
          </controlPr>
        </control>
      </mc:Choice>
    </mc:AlternateContent>
  </controls>
  <tableParts count="2">
    <tablePart r:id="rId9"/>
    <tablePart r:id="rId10"/>
  </tableParts>
  <extLst>
    <ext xmlns:x14="http://schemas.microsoft.com/office/spreadsheetml/2009/9/main" uri="{78C0D931-6437-407d-A8EE-F0AAD7539E65}">
      <x14:conditionalFormattings>
        <x14:conditionalFormatting xmlns:xm="http://schemas.microsoft.com/office/excel/2006/main">
          <x14:cfRule type="dataBar" id="{FAA48F41-B3E2-48C9-B5A6-FAE6B6D66A8D}">
            <x14:dataBar minLength="0" maxLength="100" gradient="0">
              <x14:cfvo type="num">
                <xm:f>0</xm:f>
              </x14:cfvo>
              <x14:cfvo type="num">
                <xm:f>#REF!</xm:f>
              </x14:cfvo>
              <x14:negativeFillColor rgb="FFFF0000"/>
              <x14:axisColor rgb="FF000000"/>
            </x14:dataBar>
          </x14:cfRule>
          <xm:sqref>F7</xm:sqref>
        </x14:conditionalFormatting>
        <x14:conditionalFormatting xmlns:xm="http://schemas.microsoft.com/office/excel/2006/main">
          <x14:cfRule type="dataBar" id="{674AC4C0-59A7-4C28-BEE7-C5AE78DF9CF2}">
            <x14:dataBar minLength="0" maxLength="100" gradient="0">
              <x14:cfvo type="num">
                <xm:f>0</xm:f>
              </x14:cfvo>
              <x14:cfvo type="num">
                <xm:f>#REF!</xm:f>
              </x14:cfvo>
              <x14:negativeFillColor rgb="FFFF0000"/>
              <x14:axisColor rgb="FF000000"/>
            </x14:dataBar>
          </x14:cfRule>
          <xm:sqref>F27</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7">
    <tabColor theme="6"/>
  </sheetPr>
  <dimension ref="A1:R13"/>
  <sheetViews>
    <sheetView topLeftCell="A8" zoomScaleNormal="100" workbookViewId="0">
      <selection activeCell="C11" sqref="C11"/>
    </sheetView>
  </sheetViews>
  <sheetFormatPr defaultRowHeight="15" x14ac:dyDescent="0.3"/>
  <cols>
    <col min="1" max="1" width="9" style="24"/>
    <col min="2" max="2" width="13.75" style="24" customWidth="1"/>
    <col min="3" max="3" width="33.5" style="24" customWidth="1"/>
    <col min="4" max="4" width="28.125" style="24" customWidth="1"/>
    <col min="5" max="5" width="10.5" style="24" customWidth="1"/>
    <col min="6" max="6" width="9.25" style="24" customWidth="1"/>
    <col min="7" max="7" width="11.125" style="24" customWidth="1"/>
    <col min="8" max="8" width="11.5" style="24" customWidth="1"/>
    <col min="9" max="9" width="2.875" style="24" customWidth="1"/>
    <col min="10" max="10" width="15.375" style="24" customWidth="1"/>
    <col min="11" max="11" width="9.75" style="24" customWidth="1"/>
    <col min="12" max="12" width="16.5" style="24" customWidth="1"/>
    <col min="13" max="13" width="6.125" style="24" customWidth="1"/>
    <col min="14" max="14" width="12" style="24" customWidth="1"/>
    <col min="15" max="15" width="18" style="24" customWidth="1"/>
    <col min="16" max="16" width="33.125" style="24" customWidth="1"/>
    <col min="17" max="17" width="20.625" style="24" customWidth="1"/>
    <col min="18" max="16384" width="9" style="24"/>
  </cols>
  <sheetData>
    <row r="1" spans="1:18" ht="9" customHeight="1" x14ac:dyDescent="0.3">
      <c r="A1" s="1"/>
      <c r="B1" s="1"/>
      <c r="C1" s="1"/>
      <c r="D1" s="1"/>
      <c r="E1" s="1"/>
      <c r="F1" s="1"/>
      <c r="G1" s="1"/>
      <c r="H1" s="1"/>
      <c r="I1" s="1"/>
      <c r="J1" s="1"/>
      <c r="K1" s="1"/>
      <c r="L1" s="1"/>
      <c r="M1" s="1"/>
      <c r="N1" s="1"/>
      <c r="O1" s="1"/>
      <c r="P1" s="1"/>
      <c r="Q1" s="8"/>
      <c r="R1" s="8"/>
    </row>
    <row r="2" spans="1:18" ht="51" customHeight="1" x14ac:dyDescent="0.3">
      <c r="A2" s="212" t="s">
        <v>181</v>
      </c>
      <c r="B2" s="212"/>
      <c r="C2" s="212"/>
      <c r="D2" s="212"/>
      <c r="E2" s="248" t="str">
        <f>'Ditt informationsblad'!$E$2</f>
        <v>Civilingenjör i Industriell Ekonomi                                                                                                                                 med inriktning Datateknik och Ekonomiska informationssystem</v>
      </c>
      <c r="F2" s="249"/>
      <c r="G2" s="249"/>
      <c r="H2" s="249"/>
      <c r="I2" s="249"/>
      <c r="J2" s="249"/>
      <c r="K2" s="249"/>
      <c r="L2" s="249"/>
      <c r="M2" s="1"/>
      <c r="N2" s="1"/>
      <c r="O2" s="1"/>
      <c r="P2" s="1"/>
      <c r="Q2" s="1"/>
      <c r="R2" s="1"/>
    </row>
    <row r="3" spans="1:18" ht="9" customHeight="1" x14ac:dyDescent="0.3">
      <c r="A3" s="1"/>
      <c r="B3" s="1"/>
      <c r="C3" s="1"/>
      <c r="D3" s="1"/>
      <c r="E3" s="1"/>
      <c r="F3" s="1"/>
      <c r="G3" s="1"/>
      <c r="H3" s="1"/>
      <c r="I3" s="1"/>
      <c r="J3" s="1"/>
      <c r="K3" s="1"/>
      <c r="L3" s="1"/>
      <c r="M3" s="1"/>
      <c r="N3" s="5"/>
      <c r="O3" s="1"/>
      <c r="P3" s="1"/>
      <c r="Q3" s="8"/>
      <c r="R3" s="8"/>
    </row>
    <row r="4" spans="1:18" ht="16.5" customHeight="1" x14ac:dyDescent="0.3"/>
    <row r="5" spans="1:18" ht="45" customHeight="1" x14ac:dyDescent="0.3">
      <c r="B5" s="250" t="s">
        <v>969</v>
      </c>
      <c r="C5" s="250"/>
      <c r="D5" s="97"/>
      <c r="E5" s="247"/>
      <c r="F5" s="247"/>
      <c r="G5" s="247"/>
      <c r="H5" s="247"/>
      <c r="I5" s="107"/>
      <c r="J5" s="244" t="s">
        <v>174</v>
      </c>
      <c r="K5" s="244"/>
      <c r="L5" s="244"/>
      <c r="M5" s="244"/>
      <c r="N5" s="244"/>
      <c r="O5" s="244"/>
    </row>
    <row r="6" spans="1:18" ht="39" customHeight="1" x14ac:dyDescent="0.3">
      <c r="B6" s="251"/>
      <c r="C6" s="251"/>
      <c r="D6" s="115" t="s">
        <v>183</v>
      </c>
      <c r="E6" s="243" t="s">
        <v>18</v>
      </c>
      <c r="F6" s="243"/>
      <c r="G6" s="243"/>
      <c r="H6" s="243"/>
      <c r="I6" s="107"/>
      <c r="J6" s="245"/>
      <c r="K6" s="245"/>
      <c r="L6" s="245"/>
      <c r="M6" s="245"/>
      <c r="N6" s="245"/>
      <c r="O6" s="245"/>
    </row>
    <row r="7" spans="1:18" ht="39.75" customHeight="1" thickBot="1" x14ac:dyDescent="0.35">
      <c r="B7" s="252"/>
      <c r="C7" s="252"/>
      <c r="D7" s="115" t="s">
        <v>184</v>
      </c>
      <c r="E7" s="243" t="s">
        <v>108</v>
      </c>
      <c r="F7" s="243"/>
      <c r="G7" s="243"/>
      <c r="H7" s="243"/>
      <c r="I7" s="107"/>
      <c r="J7" s="245"/>
      <c r="K7" s="245"/>
      <c r="L7" s="245"/>
      <c r="M7" s="245"/>
      <c r="N7" s="245"/>
      <c r="O7" s="245"/>
    </row>
    <row r="8" spans="1:18" ht="31.5" customHeight="1" thickTop="1" thickBot="1" x14ac:dyDescent="0.35">
      <c r="B8" s="98"/>
      <c r="C8" s="98"/>
      <c r="D8" s="142"/>
      <c r="E8" s="247"/>
      <c r="F8" s="247"/>
      <c r="G8" s="247"/>
      <c r="H8" s="247"/>
      <c r="I8" s="97"/>
      <c r="J8" s="246"/>
      <c r="K8" s="246"/>
      <c r="L8" s="246"/>
      <c r="M8" s="246"/>
      <c r="N8" s="246"/>
      <c r="O8" s="246"/>
    </row>
    <row r="9" spans="1:18" ht="31.5" customHeight="1" thickTop="1" x14ac:dyDescent="0.3">
      <c r="B9" s="166" t="s">
        <v>356</v>
      </c>
      <c r="C9" s="165" t="s">
        <v>929</v>
      </c>
      <c r="D9" s="165"/>
      <c r="E9" s="165"/>
      <c r="F9" s="165"/>
      <c r="G9" s="165"/>
      <c r="H9" s="165"/>
      <c r="I9" s="97"/>
      <c r="J9" s="146"/>
      <c r="K9" s="146"/>
      <c r="L9" s="146"/>
      <c r="M9" s="146"/>
      <c r="N9" s="146"/>
      <c r="O9" s="146"/>
    </row>
    <row r="10" spans="1:18" ht="31.5" customHeight="1" x14ac:dyDescent="0.3">
      <c r="B10" s="148"/>
      <c r="C10" s="165"/>
      <c r="D10" s="165"/>
      <c r="E10" s="165"/>
      <c r="F10" s="165"/>
      <c r="G10" s="165"/>
      <c r="H10" s="165"/>
      <c r="I10" s="97"/>
      <c r="J10" s="146"/>
      <c r="K10" s="146"/>
      <c r="L10" s="146"/>
      <c r="M10" s="146"/>
      <c r="N10" s="146"/>
      <c r="O10" s="146"/>
    </row>
    <row r="11" spans="1:18" ht="31.5" customHeight="1" x14ac:dyDescent="0.3">
      <c r="B11" s="148"/>
      <c r="C11" s="148"/>
      <c r="D11" s="142"/>
      <c r="E11" s="147"/>
      <c r="F11" s="147"/>
      <c r="G11" s="147"/>
      <c r="H11" s="147"/>
      <c r="I11" s="97"/>
      <c r="J11" s="146"/>
      <c r="K11" s="146"/>
      <c r="L11" s="146"/>
      <c r="M11" s="146"/>
      <c r="N11" s="146"/>
      <c r="O11" s="146"/>
    </row>
    <row r="12" spans="1:18" ht="31.5" customHeight="1" x14ac:dyDescent="0.3">
      <c r="B12" s="148"/>
      <c r="C12" s="148"/>
      <c r="D12" s="142"/>
      <c r="E12" s="147"/>
      <c r="F12" s="147"/>
      <c r="G12" s="147"/>
      <c r="H12" s="147"/>
      <c r="I12" s="97"/>
      <c r="J12" s="146"/>
      <c r="K12" s="146"/>
      <c r="L12" s="146"/>
      <c r="M12" s="146"/>
      <c r="N12" s="146"/>
      <c r="O12" s="146"/>
    </row>
    <row r="13" spans="1:18" ht="31.5" customHeight="1" x14ac:dyDescent="0.3">
      <c r="B13" s="148"/>
      <c r="C13" s="148"/>
      <c r="D13" s="142"/>
      <c r="E13" s="147"/>
      <c r="F13" s="147"/>
      <c r="G13" s="147"/>
      <c r="H13" s="147"/>
      <c r="I13" s="97"/>
      <c r="J13" s="146"/>
      <c r="K13" s="146"/>
      <c r="L13" s="146"/>
      <c r="M13" s="146"/>
      <c r="N13" s="146"/>
      <c r="O13" s="146"/>
    </row>
  </sheetData>
  <mergeCells count="8">
    <mergeCell ref="E7:H7"/>
    <mergeCell ref="J5:O8"/>
    <mergeCell ref="E8:H8"/>
    <mergeCell ref="A2:D2"/>
    <mergeCell ref="E2:L2"/>
    <mergeCell ref="B5:C7"/>
    <mergeCell ref="E5:H5"/>
    <mergeCell ref="E6:H6"/>
  </mergeCells>
  <dataValidations count="3">
    <dataValidation type="list" allowBlank="1" showInputMessage="1" showErrorMessage="1" sqref="I7">
      <formula1>DynamicTextRange</formula1>
    </dataValidation>
    <dataValidation type="list" allowBlank="1" showInputMessage="1" showErrorMessage="1" sqref="E6:H6">
      <formula1>DynamicProgramRange</formula1>
    </dataValidation>
    <dataValidation type="list" allowBlank="1" showInputMessage="1" showErrorMessage="1" sqref="E7:H7">
      <formula1>DynamicSpecRange</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7169" r:id="rId4" name="CommandButton1">
          <controlPr defaultSize="0" autoLine="0" r:id="rId5">
            <anchor moveWithCells="1">
              <from>
                <xdr:col>4</xdr:col>
                <xdr:colOff>457200</xdr:colOff>
                <xdr:row>4</xdr:row>
                <xdr:rowOff>57150</xdr:rowOff>
              </from>
              <to>
                <xdr:col>7</xdr:col>
                <xdr:colOff>381000</xdr:colOff>
                <xdr:row>4</xdr:row>
                <xdr:rowOff>390525</xdr:rowOff>
              </to>
            </anchor>
          </controlPr>
        </control>
      </mc:Choice>
      <mc:Fallback>
        <control shapeId="7169" r:id="rId4" name="CommandButton1"/>
      </mc:Fallback>
    </mc:AlternateContent>
    <mc:AlternateContent xmlns:mc="http://schemas.openxmlformats.org/markup-compatibility/2006">
      <mc:Choice Requires="x14">
        <control shapeId="7172" r:id="rId6" name="Option Button 4">
          <controlPr defaultSize="0" autoFill="0" autoLine="0" autoPict="0">
            <anchor moveWithCells="1">
              <from>
                <xdr:col>3</xdr:col>
                <xdr:colOff>104775</xdr:colOff>
                <xdr:row>4</xdr:row>
                <xdr:rowOff>276225</xdr:rowOff>
              </from>
              <to>
                <xdr:col>4</xdr:col>
                <xdr:colOff>209550</xdr:colOff>
                <xdr:row>5</xdr:row>
                <xdr:rowOff>19050</xdr:rowOff>
              </to>
            </anchor>
          </controlPr>
        </control>
      </mc:Choice>
    </mc:AlternateContent>
    <mc:AlternateContent xmlns:mc="http://schemas.openxmlformats.org/markup-compatibility/2006">
      <mc:Choice Requires="x14">
        <control shapeId="7173" r:id="rId7" name="Option Button 5">
          <controlPr defaultSize="0" autoFill="0" autoLine="0" autoPict="0">
            <anchor moveWithCells="1">
              <from>
                <xdr:col>3</xdr:col>
                <xdr:colOff>104775</xdr:colOff>
                <xdr:row>3</xdr:row>
                <xdr:rowOff>171450</xdr:rowOff>
              </from>
              <to>
                <xdr:col>4</xdr:col>
                <xdr:colOff>209550</xdr:colOff>
                <xdr:row>4</xdr:row>
                <xdr:rowOff>323850</xdr:rowOff>
              </to>
            </anchor>
          </controlPr>
        </control>
      </mc:Choice>
    </mc:AlternateContent>
    <mc:AlternateContent xmlns:mc="http://schemas.openxmlformats.org/markup-compatibility/2006">
      <mc:Choice Requires="x14">
        <control shapeId="7188" r:id="rId8" name="Drop Down 20">
          <controlPr defaultSize="0" autoLine="0" autoPict="0" macro="[0]!Nedrullningsbarlistruta20_Ändra">
            <anchor moveWithCells="1">
              <from>
                <xdr:col>4</xdr:col>
                <xdr:colOff>0</xdr:colOff>
                <xdr:row>6</xdr:row>
                <xdr:rowOff>85725</xdr:rowOff>
              </from>
              <to>
                <xdr:col>7</xdr:col>
                <xdr:colOff>628650</xdr:colOff>
                <xdr:row>6</xdr:row>
                <xdr:rowOff>390525</xdr:rowOff>
              </to>
            </anchor>
          </controlPr>
        </control>
      </mc:Choice>
    </mc:AlternateContent>
    <mc:AlternateContent xmlns:mc="http://schemas.openxmlformats.org/markup-compatibility/2006">
      <mc:Choice Requires="x14">
        <control shapeId="7189" r:id="rId9" name="Drop Down 21">
          <controlPr defaultSize="0" autoLine="0" autoPict="0" macro="[0]!Nedrullningsbarlistruta21_Ändra">
            <anchor moveWithCells="1">
              <from>
                <xdr:col>3</xdr:col>
                <xdr:colOff>2133600</xdr:colOff>
                <xdr:row>5</xdr:row>
                <xdr:rowOff>85725</xdr:rowOff>
              </from>
              <to>
                <xdr:col>7</xdr:col>
                <xdr:colOff>619125</xdr:colOff>
                <xdr:row>5</xdr:row>
                <xdr:rowOff>390525</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'Program och examenskrav'!$E$6:$E$12</xm:f>
          </x14:formula1>
          <xm:sqref>I6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0">
    <tabColor rgb="FF0070C0"/>
  </sheetPr>
  <dimension ref="A1:G120"/>
  <sheetViews>
    <sheetView workbookViewId="0">
      <selection activeCell="B21" sqref="B21:G21"/>
    </sheetView>
  </sheetViews>
  <sheetFormatPr defaultRowHeight="15" x14ac:dyDescent="0.3"/>
  <cols>
    <col min="2" max="2" width="40.875" bestFit="1" customWidth="1"/>
    <col min="3" max="3" width="32.375" customWidth="1"/>
    <col min="4" max="4" width="28.25" bestFit="1" customWidth="1"/>
    <col min="5" max="5" width="3.75" bestFit="1" customWidth="1"/>
    <col min="6" max="6" width="4.875" bestFit="1" customWidth="1"/>
    <col min="7" max="7" width="6.5" bestFit="1" customWidth="1"/>
    <col min="8" max="8" width="40.875" bestFit="1" customWidth="1"/>
    <col min="9" max="9" width="32.375" bestFit="1" customWidth="1"/>
    <col min="10" max="10" width="28.25" bestFit="1" customWidth="1"/>
    <col min="11" max="11" width="3.75" bestFit="1" customWidth="1"/>
    <col min="12" max="12" width="4.875" bestFit="1" customWidth="1"/>
    <col min="13" max="13" width="6.5" bestFit="1" customWidth="1"/>
    <col min="14" max="14" width="40.875" bestFit="1" customWidth="1"/>
    <col min="15" max="15" width="32.375" bestFit="1" customWidth="1"/>
    <col min="16" max="16" width="28.25" bestFit="1" customWidth="1"/>
    <col min="17" max="17" width="3.75" bestFit="1" customWidth="1"/>
    <col min="18" max="18" width="4.875" bestFit="1" customWidth="1"/>
    <col min="19" max="19" width="6.5" bestFit="1" customWidth="1"/>
    <col min="20" max="20" width="40.875" bestFit="1" customWidth="1"/>
    <col min="21" max="21" width="32.375" bestFit="1" customWidth="1"/>
    <col min="22" max="22" width="28.25" bestFit="1" customWidth="1"/>
    <col min="23" max="23" width="3.75" customWidth="1"/>
    <col min="24" max="24" width="4.875" customWidth="1"/>
    <col min="25" max="25" width="6.5" customWidth="1"/>
    <col min="26" max="26" width="40.875" bestFit="1" customWidth="1"/>
    <col min="27" max="27" width="32.375" customWidth="1"/>
    <col min="28" max="28" width="28.25" bestFit="1" customWidth="1"/>
    <col min="29" max="29" width="3.75" bestFit="1" customWidth="1"/>
    <col min="30" max="30" width="4.875" bestFit="1" customWidth="1"/>
    <col min="31" max="31" width="6.5" bestFit="1" customWidth="1"/>
  </cols>
  <sheetData>
    <row r="1" spans="1:7" ht="30" x14ac:dyDescent="0.3">
      <c r="A1" s="162"/>
      <c r="B1" s="149" t="s">
        <v>347</v>
      </c>
      <c r="C1" s="162"/>
      <c r="D1" s="150" t="s">
        <v>348</v>
      </c>
    </row>
    <row r="2" spans="1:7" x14ac:dyDescent="0.3">
      <c r="A2" s="151"/>
      <c r="B2" s="152" t="s">
        <v>349</v>
      </c>
      <c r="C2" s="153"/>
      <c r="D2" s="154" t="s">
        <v>348</v>
      </c>
    </row>
    <row r="3" spans="1:7" x14ac:dyDescent="0.3">
      <c r="A3" s="162"/>
      <c r="B3" s="162"/>
      <c r="C3" s="162"/>
      <c r="D3" s="162"/>
      <c r="E3" s="162"/>
      <c r="F3" s="162"/>
      <c r="G3" s="162"/>
    </row>
    <row r="4" spans="1:7" x14ac:dyDescent="0.3">
      <c r="A4" s="162"/>
      <c r="B4" s="253" t="s">
        <v>370</v>
      </c>
      <c r="C4" s="253"/>
      <c r="D4" s="162"/>
      <c r="E4" s="162"/>
      <c r="F4" s="162"/>
      <c r="G4" s="162"/>
    </row>
    <row r="5" spans="1:7" x14ac:dyDescent="0.3">
      <c r="A5" s="162"/>
      <c r="B5" s="253" t="s">
        <v>350</v>
      </c>
      <c r="C5" s="253"/>
      <c r="D5" s="162"/>
      <c r="E5" s="162"/>
      <c r="F5" s="162"/>
      <c r="G5" s="162"/>
    </row>
    <row r="6" spans="1:7" x14ac:dyDescent="0.3">
      <c r="A6" s="162"/>
      <c r="B6" s="253" t="s">
        <v>807</v>
      </c>
      <c r="C6" s="253"/>
      <c r="D6" s="162"/>
      <c r="E6" s="162"/>
      <c r="F6" s="162"/>
      <c r="G6" s="162"/>
    </row>
    <row r="7" spans="1:7" x14ac:dyDescent="0.3">
      <c r="A7" s="162"/>
      <c r="B7" s="253" t="s">
        <v>351</v>
      </c>
      <c r="C7" s="253"/>
      <c r="D7" s="162"/>
      <c r="E7" s="162"/>
      <c r="F7" s="162"/>
      <c r="G7" s="162"/>
    </row>
    <row r="8" spans="1:7" x14ac:dyDescent="0.3">
      <c r="A8" s="162"/>
      <c r="B8" s="254"/>
      <c r="C8" s="254"/>
      <c r="D8" s="254"/>
      <c r="E8" s="254"/>
      <c r="F8" s="254"/>
      <c r="G8" s="254"/>
    </row>
    <row r="9" spans="1:7" x14ac:dyDescent="0.3">
      <c r="A9" s="163"/>
      <c r="B9" s="255"/>
      <c r="C9" s="255"/>
      <c r="D9" s="255"/>
      <c r="E9" s="255"/>
      <c r="F9" s="255"/>
      <c r="G9" s="255"/>
    </row>
    <row r="10" spans="1:7" x14ac:dyDescent="0.3">
      <c r="A10" s="162"/>
      <c r="B10" s="162"/>
      <c r="C10" s="162"/>
      <c r="D10" s="155"/>
      <c r="E10" s="155"/>
      <c r="F10" s="155"/>
      <c r="G10" s="155"/>
    </row>
    <row r="11" spans="1:7" x14ac:dyDescent="0.3">
      <c r="A11" s="162"/>
      <c r="B11" s="156" t="s">
        <v>352</v>
      </c>
      <c r="C11" s="156" t="s">
        <v>111</v>
      </c>
      <c r="D11" s="157" t="s">
        <v>112</v>
      </c>
      <c r="E11" s="157" t="s">
        <v>353</v>
      </c>
      <c r="F11" s="157" t="s">
        <v>113</v>
      </c>
      <c r="G11" s="157" t="s">
        <v>354</v>
      </c>
    </row>
    <row r="12" spans="1:7" x14ac:dyDescent="0.3">
      <c r="A12" s="162"/>
      <c r="B12" s="254"/>
      <c r="C12" s="254"/>
      <c r="D12" s="254"/>
      <c r="E12" s="254"/>
      <c r="F12" s="254"/>
      <c r="G12" s="254"/>
    </row>
    <row r="13" spans="1:7" x14ac:dyDescent="0.3">
      <c r="A13" s="162"/>
      <c r="B13" s="256" t="s">
        <v>304</v>
      </c>
      <c r="C13" s="256"/>
      <c r="D13" s="256"/>
      <c r="E13" s="256"/>
      <c r="F13" s="256"/>
      <c r="G13" s="256"/>
    </row>
    <row r="14" spans="1:7" x14ac:dyDescent="0.3">
      <c r="A14" s="162"/>
      <c r="B14" s="159" t="s">
        <v>133</v>
      </c>
      <c r="C14" s="158" t="s">
        <v>134</v>
      </c>
      <c r="D14" s="160" t="s">
        <v>109</v>
      </c>
      <c r="E14" s="160" t="s">
        <v>215</v>
      </c>
      <c r="F14" s="160"/>
      <c r="G14" s="160" t="s">
        <v>219</v>
      </c>
    </row>
    <row r="15" spans="1:7" x14ac:dyDescent="0.3">
      <c r="A15" s="162"/>
      <c r="B15" s="254"/>
      <c r="C15" s="254"/>
      <c r="D15" s="254"/>
      <c r="E15" s="254"/>
      <c r="F15" s="254"/>
      <c r="G15" s="254"/>
    </row>
    <row r="16" spans="1:7" x14ac:dyDescent="0.3">
      <c r="A16" s="162"/>
      <c r="B16" s="256" t="s">
        <v>305</v>
      </c>
      <c r="C16" s="256"/>
      <c r="D16" s="256"/>
      <c r="E16" s="256"/>
      <c r="F16" s="256"/>
      <c r="G16" s="256"/>
    </row>
    <row r="17" spans="1:7" x14ac:dyDescent="0.3">
      <c r="A17" s="162"/>
      <c r="B17" s="159" t="s">
        <v>135</v>
      </c>
      <c r="C17" s="158" t="s">
        <v>136</v>
      </c>
      <c r="D17" s="160" t="s">
        <v>109</v>
      </c>
      <c r="E17" s="160" t="s">
        <v>215</v>
      </c>
      <c r="F17" s="160">
        <v>2</v>
      </c>
      <c r="G17" s="160" t="s">
        <v>249</v>
      </c>
    </row>
    <row r="18" spans="1:7" x14ac:dyDescent="0.3">
      <c r="A18" s="162"/>
      <c r="B18" s="159" t="s">
        <v>133</v>
      </c>
      <c r="C18" s="158" t="s">
        <v>134</v>
      </c>
      <c r="D18" s="160" t="s">
        <v>109</v>
      </c>
      <c r="E18" s="160" t="s">
        <v>215</v>
      </c>
      <c r="F18" s="160">
        <v>2</v>
      </c>
      <c r="G18" s="160" t="s">
        <v>219</v>
      </c>
    </row>
    <row r="19" spans="1:7" x14ac:dyDescent="0.3">
      <c r="A19" s="162"/>
      <c r="B19" s="159" t="s">
        <v>137</v>
      </c>
      <c r="C19" s="158" t="s">
        <v>138</v>
      </c>
      <c r="D19" s="160" t="s">
        <v>109</v>
      </c>
      <c r="E19" s="160" t="s">
        <v>215</v>
      </c>
      <c r="F19" s="160">
        <v>1</v>
      </c>
      <c r="G19" s="160" t="s">
        <v>306</v>
      </c>
    </row>
    <row r="20" spans="1:7" x14ac:dyDescent="0.3">
      <c r="A20" s="162"/>
      <c r="B20" s="254"/>
      <c r="C20" s="254"/>
      <c r="D20" s="254"/>
      <c r="E20" s="254"/>
      <c r="F20" s="254"/>
      <c r="G20" s="254"/>
    </row>
    <row r="21" spans="1:7" x14ac:dyDescent="0.3">
      <c r="A21" s="162"/>
      <c r="B21" s="256" t="s">
        <v>307</v>
      </c>
      <c r="C21" s="256"/>
      <c r="D21" s="256"/>
      <c r="E21" s="256"/>
      <c r="F21" s="256"/>
      <c r="G21" s="256"/>
    </row>
    <row r="22" spans="1:7" x14ac:dyDescent="0.3">
      <c r="A22" s="162"/>
      <c r="B22" s="159" t="s">
        <v>135</v>
      </c>
      <c r="C22" s="158" t="s">
        <v>136</v>
      </c>
      <c r="D22" s="160" t="s">
        <v>109</v>
      </c>
      <c r="E22" s="160" t="s">
        <v>215</v>
      </c>
      <c r="F22" s="160">
        <v>1</v>
      </c>
      <c r="G22" s="160" t="s">
        <v>249</v>
      </c>
    </row>
    <row r="23" spans="1:7" x14ac:dyDescent="0.3">
      <c r="A23" s="162"/>
      <c r="B23" s="159" t="s">
        <v>139</v>
      </c>
      <c r="C23" s="158" t="s">
        <v>140</v>
      </c>
      <c r="D23" s="160" t="s">
        <v>109</v>
      </c>
      <c r="E23" s="160" t="s">
        <v>215</v>
      </c>
      <c r="F23" s="160">
        <v>3</v>
      </c>
      <c r="G23" s="160">
        <v>6</v>
      </c>
    </row>
    <row r="24" spans="1:7" x14ac:dyDescent="0.3">
      <c r="A24" s="162"/>
      <c r="B24" s="159" t="s">
        <v>137</v>
      </c>
      <c r="C24" s="158" t="s">
        <v>138</v>
      </c>
      <c r="D24" s="160" t="s">
        <v>109</v>
      </c>
      <c r="E24" s="160" t="s">
        <v>215</v>
      </c>
      <c r="F24" s="160" t="s">
        <v>298</v>
      </c>
      <c r="G24" s="160" t="s">
        <v>306</v>
      </c>
    </row>
    <row r="25" spans="1:7" x14ac:dyDescent="0.3">
      <c r="A25" s="162"/>
      <c r="B25" s="254"/>
      <c r="C25" s="254"/>
      <c r="D25" s="254"/>
      <c r="E25" s="254"/>
      <c r="F25" s="254"/>
      <c r="G25" s="254"/>
    </row>
    <row r="26" spans="1:7" x14ac:dyDescent="0.3">
      <c r="A26" s="162"/>
      <c r="B26" s="256" t="s">
        <v>308</v>
      </c>
      <c r="C26" s="256"/>
      <c r="D26" s="256"/>
      <c r="E26" s="256"/>
      <c r="F26" s="256"/>
      <c r="G26" s="256"/>
    </row>
    <row r="27" spans="1:7" x14ac:dyDescent="0.3">
      <c r="A27" s="162"/>
      <c r="B27" s="159" t="s">
        <v>309</v>
      </c>
      <c r="C27" s="158" t="s">
        <v>310</v>
      </c>
      <c r="D27" s="160" t="s">
        <v>109</v>
      </c>
      <c r="E27" s="160" t="s">
        <v>311</v>
      </c>
      <c r="F27" s="160" t="s">
        <v>255</v>
      </c>
      <c r="G27" s="160" t="s">
        <v>116</v>
      </c>
    </row>
    <row r="28" spans="1:7" x14ac:dyDescent="0.3">
      <c r="A28" s="162"/>
      <c r="B28" s="159" t="s">
        <v>141</v>
      </c>
      <c r="C28" s="158" t="s">
        <v>142</v>
      </c>
      <c r="D28" s="160" t="s">
        <v>109</v>
      </c>
      <c r="E28" s="160" t="s">
        <v>215</v>
      </c>
      <c r="F28" s="160">
        <v>2</v>
      </c>
      <c r="G28" s="160">
        <v>6</v>
      </c>
    </row>
    <row r="29" spans="1:7" x14ac:dyDescent="0.3">
      <c r="A29" s="162"/>
      <c r="B29" s="159" t="s">
        <v>143</v>
      </c>
      <c r="C29" s="158" t="s">
        <v>144</v>
      </c>
      <c r="D29" s="160" t="s">
        <v>109</v>
      </c>
      <c r="E29" s="160" t="s">
        <v>215</v>
      </c>
      <c r="F29" s="160">
        <v>3</v>
      </c>
      <c r="G29" s="160" t="s">
        <v>249</v>
      </c>
    </row>
    <row r="30" spans="1:7" x14ac:dyDescent="0.3">
      <c r="A30" s="162"/>
      <c r="B30" s="159" t="s">
        <v>145</v>
      </c>
      <c r="C30" s="158" t="s">
        <v>146</v>
      </c>
      <c r="D30" s="160" t="s">
        <v>110</v>
      </c>
      <c r="E30" s="160" t="s">
        <v>215</v>
      </c>
      <c r="F30" s="160">
        <v>1</v>
      </c>
      <c r="G30" s="160" t="s">
        <v>219</v>
      </c>
    </row>
    <row r="31" spans="1:7" x14ac:dyDescent="0.3">
      <c r="A31" s="162"/>
      <c r="B31" s="254"/>
      <c r="C31" s="254"/>
      <c r="D31" s="254"/>
      <c r="E31" s="254"/>
      <c r="F31" s="254"/>
      <c r="G31" s="254"/>
    </row>
    <row r="32" spans="1:7" x14ac:dyDescent="0.3">
      <c r="A32" s="162"/>
      <c r="B32" s="256" t="s">
        <v>312</v>
      </c>
      <c r="C32" s="256"/>
      <c r="D32" s="256"/>
      <c r="E32" s="256"/>
      <c r="F32" s="256"/>
      <c r="G32" s="256"/>
    </row>
    <row r="33" spans="1:7" x14ac:dyDescent="0.3">
      <c r="A33" s="162"/>
      <c r="B33" s="159" t="s">
        <v>309</v>
      </c>
      <c r="C33" s="158" t="s">
        <v>310</v>
      </c>
      <c r="D33" s="160" t="s">
        <v>109</v>
      </c>
      <c r="E33" s="160" t="s">
        <v>311</v>
      </c>
      <c r="F33" s="160" t="s">
        <v>255</v>
      </c>
      <c r="G33" s="160" t="s">
        <v>116</v>
      </c>
    </row>
    <row r="34" spans="1:7" x14ac:dyDescent="0.3">
      <c r="A34" s="162"/>
      <c r="B34" s="159" t="s">
        <v>147</v>
      </c>
      <c r="C34" s="158" t="s">
        <v>148</v>
      </c>
      <c r="D34" s="160" t="s">
        <v>109</v>
      </c>
      <c r="E34" s="160" t="s">
        <v>215</v>
      </c>
      <c r="F34" s="160">
        <v>2</v>
      </c>
      <c r="G34" s="160">
        <v>8</v>
      </c>
    </row>
    <row r="35" spans="1:7" x14ac:dyDescent="0.3">
      <c r="A35" s="162"/>
      <c r="B35" s="159" t="s">
        <v>143</v>
      </c>
      <c r="C35" s="158" t="s">
        <v>144</v>
      </c>
      <c r="D35" s="160" t="s">
        <v>109</v>
      </c>
      <c r="E35" s="160" t="s">
        <v>215</v>
      </c>
      <c r="F35" s="160">
        <v>4</v>
      </c>
      <c r="G35" s="160" t="s">
        <v>249</v>
      </c>
    </row>
    <row r="36" spans="1:7" x14ac:dyDescent="0.3">
      <c r="A36" s="162"/>
      <c r="B36" s="159" t="s">
        <v>145</v>
      </c>
      <c r="C36" s="158" t="s">
        <v>146</v>
      </c>
      <c r="D36" s="160" t="s">
        <v>110</v>
      </c>
      <c r="E36" s="160" t="s">
        <v>215</v>
      </c>
      <c r="F36" s="160">
        <v>1</v>
      </c>
      <c r="G36" s="160" t="s">
        <v>219</v>
      </c>
    </row>
    <row r="37" spans="1:7" x14ac:dyDescent="0.3">
      <c r="A37" s="162"/>
      <c r="B37" s="159" t="s">
        <v>149</v>
      </c>
      <c r="C37" s="158" t="s">
        <v>150</v>
      </c>
      <c r="D37" s="160" t="s">
        <v>109</v>
      </c>
      <c r="E37" s="160" t="s">
        <v>215</v>
      </c>
      <c r="F37" s="160">
        <v>3</v>
      </c>
      <c r="G37" s="160">
        <v>2</v>
      </c>
    </row>
    <row r="38" spans="1:7" x14ac:dyDescent="0.3">
      <c r="A38" s="162"/>
      <c r="B38" s="254"/>
      <c r="C38" s="254"/>
      <c r="D38" s="254"/>
      <c r="E38" s="254"/>
      <c r="F38" s="254"/>
      <c r="G38" s="254"/>
    </row>
    <row r="39" spans="1:7" x14ac:dyDescent="0.3">
      <c r="A39" s="162"/>
      <c r="B39" s="256" t="s">
        <v>313</v>
      </c>
      <c r="C39" s="256"/>
      <c r="D39" s="256"/>
      <c r="E39" s="256"/>
      <c r="F39" s="256"/>
      <c r="G39" s="256"/>
    </row>
    <row r="40" spans="1:7" x14ac:dyDescent="0.3">
      <c r="A40" s="162"/>
      <c r="B40" s="159" t="s">
        <v>151</v>
      </c>
      <c r="C40" s="158" t="s">
        <v>152</v>
      </c>
      <c r="D40" s="160" t="s">
        <v>109</v>
      </c>
      <c r="E40" s="160" t="s">
        <v>215</v>
      </c>
      <c r="F40" s="160">
        <v>1</v>
      </c>
      <c r="G40" s="160">
        <v>6</v>
      </c>
    </row>
    <row r="41" spans="1:7" x14ac:dyDescent="0.3">
      <c r="A41" s="162"/>
      <c r="B41" s="159" t="s">
        <v>153</v>
      </c>
      <c r="C41" s="158" t="s">
        <v>154</v>
      </c>
      <c r="D41" s="160" t="s">
        <v>109</v>
      </c>
      <c r="E41" s="160" t="s">
        <v>215</v>
      </c>
      <c r="F41" s="160">
        <v>3</v>
      </c>
      <c r="G41" s="160" t="s">
        <v>306</v>
      </c>
    </row>
    <row r="42" spans="1:7" x14ac:dyDescent="0.3">
      <c r="A42" s="162"/>
      <c r="B42" s="159" t="s">
        <v>155</v>
      </c>
      <c r="C42" s="158" t="s">
        <v>156</v>
      </c>
      <c r="D42" s="160" t="s">
        <v>109</v>
      </c>
      <c r="E42" s="160" t="s">
        <v>215</v>
      </c>
      <c r="F42" s="160">
        <v>2</v>
      </c>
      <c r="G42" s="160">
        <v>4</v>
      </c>
    </row>
    <row r="43" spans="1:7" x14ac:dyDescent="0.3">
      <c r="A43" s="162"/>
      <c r="B43" s="159" t="s">
        <v>314</v>
      </c>
      <c r="C43" s="158" t="s">
        <v>315</v>
      </c>
      <c r="D43" s="160" t="s">
        <v>109</v>
      </c>
      <c r="E43" s="160" t="s">
        <v>216</v>
      </c>
      <c r="F43" s="160">
        <v>4</v>
      </c>
      <c r="G43" s="160" t="s">
        <v>219</v>
      </c>
    </row>
    <row r="44" spans="1:7" x14ac:dyDescent="0.3">
      <c r="A44" s="162"/>
      <c r="B44" s="254"/>
      <c r="C44" s="254"/>
      <c r="D44" s="254"/>
      <c r="E44" s="254"/>
      <c r="F44" s="254"/>
      <c r="G44" s="254"/>
    </row>
    <row r="45" spans="1:7" x14ac:dyDescent="0.3">
      <c r="A45" s="162"/>
      <c r="B45" s="256" t="s">
        <v>316</v>
      </c>
      <c r="C45" s="256"/>
      <c r="D45" s="256"/>
      <c r="E45" s="256"/>
      <c r="F45" s="256"/>
      <c r="G45" s="256"/>
    </row>
    <row r="46" spans="1:7" x14ac:dyDescent="0.3">
      <c r="A46" s="162"/>
      <c r="B46" s="159" t="s">
        <v>157</v>
      </c>
      <c r="C46" s="158" t="s">
        <v>158</v>
      </c>
      <c r="D46" s="160" t="s">
        <v>109</v>
      </c>
      <c r="E46" s="160" t="s">
        <v>215</v>
      </c>
      <c r="F46" s="160">
        <v>3</v>
      </c>
      <c r="G46" s="160">
        <v>4</v>
      </c>
    </row>
    <row r="47" spans="1:7" x14ac:dyDescent="0.3">
      <c r="A47" s="162"/>
      <c r="B47" s="159" t="s">
        <v>159</v>
      </c>
      <c r="C47" s="158" t="s">
        <v>160</v>
      </c>
      <c r="D47" s="160" t="s">
        <v>109</v>
      </c>
      <c r="E47" s="160" t="s">
        <v>215</v>
      </c>
      <c r="F47" s="160">
        <v>2</v>
      </c>
      <c r="G47" s="160">
        <v>6</v>
      </c>
    </row>
    <row r="48" spans="1:7" x14ac:dyDescent="0.3">
      <c r="A48" s="162"/>
      <c r="B48" s="159" t="s">
        <v>153</v>
      </c>
      <c r="C48" s="158" t="s">
        <v>154</v>
      </c>
      <c r="D48" s="160" t="s">
        <v>109</v>
      </c>
      <c r="E48" s="160" t="s">
        <v>215</v>
      </c>
      <c r="F48" s="160">
        <v>1</v>
      </c>
      <c r="G48" s="160" t="s">
        <v>306</v>
      </c>
    </row>
    <row r="49" spans="1:7" x14ac:dyDescent="0.3">
      <c r="A49" s="162"/>
      <c r="B49" s="159" t="s">
        <v>317</v>
      </c>
      <c r="C49" s="158" t="s">
        <v>318</v>
      </c>
      <c r="D49" s="160" t="s">
        <v>109</v>
      </c>
      <c r="E49" s="160" t="s">
        <v>216</v>
      </c>
      <c r="F49" s="160">
        <v>4</v>
      </c>
      <c r="G49" s="160">
        <v>4</v>
      </c>
    </row>
    <row r="50" spans="1:7" x14ac:dyDescent="0.3">
      <c r="A50" s="162"/>
      <c r="B50" s="159" t="s">
        <v>314</v>
      </c>
      <c r="C50" s="158" t="s">
        <v>315</v>
      </c>
      <c r="D50" s="160" t="s">
        <v>109</v>
      </c>
      <c r="E50" s="160" t="s">
        <v>216</v>
      </c>
      <c r="F50" s="160">
        <v>4</v>
      </c>
      <c r="G50" s="160" t="s">
        <v>219</v>
      </c>
    </row>
    <row r="51" spans="1:7" x14ac:dyDescent="0.3">
      <c r="A51" s="162"/>
      <c r="B51" s="254"/>
      <c r="C51" s="254"/>
      <c r="D51" s="254"/>
      <c r="E51" s="254"/>
      <c r="F51" s="254"/>
      <c r="G51" s="254"/>
    </row>
    <row r="52" spans="1:7" x14ac:dyDescent="0.3">
      <c r="A52" s="162"/>
      <c r="B52" s="256" t="s">
        <v>220</v>
      </c>
      <c r="C52" s="256"/>
      <c r="D52" s="256"/>
      <c r="E52" s="256"/>
      <c r="F52" s="256"/>
      <c r="G52" s="256"/>
    </row>
    <row r="53" spans="1:7" x14ac:dyDescent="0.3">
      <c r="A53" s="162"/>
      <c r="B53" s="159" t="s">
        <v>157</v>
      </c>
      <c r="C53" s="158" t="s">
        <v>158</v>
      </c>
      <c r="D53" s="160" t="s">
        <v>109</v>
      </c>
      <c r="E53" s="160" t="s">
        <v>215</v>
      </c>
      <c r="F53" s="160">
        <v>4</v>
      </c>
      <c r="G53" s="160">
        <v>4</v>
      </c>
    </row>
    <row r="54" spans="1:7" x14ac:dyDescent="0.3">
      <c r="A54" s="162"/>
      <c r="B54" s="159" t="s">
        <v>161</v>
      </c>
      <c r="C54" s="158" t="s">
        <v>162</v>
      </c>
      <c r="D54" s="160" t="s">
        <v>110</v>
      </c>
      <c r="E54" s="160" t="s">
        <v>215</v>
      </c>
      <c r="F54" s="160">
        <v>1</v>
      </c>
      <c r="G54" s="160">
        <v>4</v>
      </c>
    </row>
    <row r="55" spans="1:7" x14ac:dyDescent="0.3">
      <c r="A55" s="162"/>
      <c r="B55" s="159" t="s">
        <v>117</v>
      </c>
      <c r="C55" s="158" t="s">
        <v>118</v>
      </c>
      <c r="D55" s="160" t="s">
        <v>110</v>
      </c>
      <c r="E55" s="160" t="s">
        <v>216</v>
      </c>
      <c r="F55" s="160">
        <v>2</v>
      </c>
      <c r="G55" s="160">
        <v>6</v>
      </c>
    </row>
    <row r="56" spans="1:7" x14ac:dyDescent="0.3">
      <c r="A56" s="162"/>
      <c r="B56" s="159" t="s">
        <v>663</v>
      </c>
      <c r="C56" s="158" t="s">
        <v>664</v>
      </c>
      <c r="D56" s="160" t="s">
        <v>109</v>
      </c>
      <c r="E56" s="160" t="s">
        <v>216</v>
      </c>
      <c r="F56" s="160">
        <v>3</v>
      </c>
      <c r="G56" s="160">
        <v>6</v>
      </c>
    </row>
    <row r="57" spans="1:7" x14ac:dyDescent="0.3">
      <c r="A57" s="162"/>
      <c r="B57" s="159" t="s">
        <v>950</v>
      </c>
      <c r="C57" s="158" t="s">
        <v>951</v>
      </c>
      <c r="D57" s="160" t="s">
        <v>109</v>
      </c>
      <c r="E57" s="160" t="s">
        <v>216</v>
      </c>
      <c r="F57" s="160">
        <v>3</v>
      </c>
      <c r="G57" s="160">
        <v>4</v>
      </c>
    </row>
    <row r="58" spans="1:7" x14ac:dyDescent="0.3">
      <c r="A58" s="162"/>
      <c r="B58" s="159" t="s">
        <v>243</v>
      </c>
      <c r="C58" s="158" t="s">
        <v>244</v>
      </c>
      <c r="D58" s="160" t="s">
        <v>110</v>
      </c>
      <c r="E58" s="160" t="s">
        <v>216</v>
      </c>
      <c r="F58" s="160">
        <v>3</v>
      </c>
      <c r="G58" s="160">
        <v>6</v>
      </c>
    </row>
    <row r="59" spans="1:7" x14ac:dyDescent="0.3">
      <c r="A59" s="162"/>
      <c r="B59" s="254"/>
      <c r="C59" s="254"/>
      <c r="D59" s="254"/>
      <c r="E59" s="254"/>
      <c r="F59" s="254"/>
      <c r="G59" s="254"/>
    </row>
    <row r="60" spans="1:7" x14ac:dyDescent="0.3">
      <c r="A60" s="162"/>
      <c r="B60" s="256" t="s">
        <v>221</v>
      </c>
      <c r="C60" s="256"/>
      <c r="D60" s="256"/>
      <c r="E60" s="256"/>
      <c r="F60" s="256"/>
      <c r="G60" s="256"/>
    </row>
    <row r="61" spans="1:7" x14ac:dyDescent="0.3">
      <c r="A61" s="162"/>
      <c r="B61" s="159" t="s">
        <v>319</v>
      </c>
      <c r="C61" s="158" t="s">
        <v>320</v>
      </c>
      <c r="D61" s="160" t="s">
        <v>110</v>
      </c>
      <c r="E61" s="160" t="s">
        <v>311</v>
      </c>
      <c r="F61" s="160"/>
      <c r="G61" s="160">
        <v>6</v>
      </c>
    </row>
    <row r="62" spans="1:7" x14ac:dyDescent="0.3">
      <c r="A62" s="162"/>
      <c r="B62" s="159" t="s">
        <v>163</v>
      </c>
      <c r="C62" s="158" t="s">
        <v>164</v>
      </c>
      <c r="D62" s="160" t="s">
        <v>110</v>
      </c>
      <c r="E62" s="160" t="s">
        <v>215</v>
      </c>
      <c r="F62" s="160">
        <v>4</v>
      </c>
      <c r="G62" s="160">
        <v>6</v>
      </c>
    </row>
    <row r="63" spans="1:7" x14ac:dyDescent="0.3">
      <c r="A63" s="162"/>
      <c r="B63" s="159" t="s">
        <v>165</v>
      </c>
      <c r="C63" s="158" t="s">
        <v>166</v>
      </c>
      <c r="D63" s="160" t="s">
        <v>110</v>
      </c>
      <c r="E63" s="160" t="s">
        <v>215</v>
      </c>
      <c r="F63" s="160">
        <v>3</v>
      </c>
      <c r="G63" s="160">
        <v>6</v>
      </c>
    </row>
    <row r="64" spans="1:7" x14ac:dyDescent="0.3">
      <c r="A64" s="162"/>
      <c r="B64" s="159" t="s">
        <v>119</v>
      </c>
      <c r="C64" s="158" t="s">
        <v>120</v>
      </c>
      <c r="D64" s="160" t="s">
        <v>109</v>
      </c>
      <c r="E64" s="160" t="s">
        <v>216</v>
      </c>
      <c r="F64" s="160">
        <v>1</v>
      </c>
      <c r="G64" s="160">
        <v>4</v>
      </c>
    </row>
    <row r="65" spans="1:7" x14ac:dyDescent="0.3">
      <c r="A65" s="162"/>
      <c r="B65" s="159" t="s">
        <v>952</v>
      </c>
      <c r="C65" s="158" t="s">
        <v>222</v>
      </c>
      <c r="D65" s="160" t="s">
        <v>109</v>
      </c>
      <c r="E65" s="160" t="s">
        <v>216</v>
      </c>
      <c r="F65" s="160">
        <v>1</v>
      </c>
      <c r="G65" s="160">
        <v>6</v>
      </c>
    </row>
    <row r="66" spans="1:7" x14ac:dyDescent="0.3">
      <c r="A66" s="162"/>
      <c r="B66" s="159" t="s">
        <v>291</v>
      </c>
      <c r="C66" s="158" t="s">
        <v>292</v>
      </c>
      <c r="D66" s="160" t="s">
        <v>109</v>
      </c>
      <c r="E66" s="160" t="s">
        <v>216</v>
      </c>
      <c r="F66" s="160">
        <v>2</v>
      </c>
      <c r="G66" s="160">
        <v>6</v>
      </c>
    </row>
    <row r="67" spans="1:7" x14ac:dyDescent="0.3">
      <c r="A67" s="162"/>
      <c r="B67" s="159" t="s">
        <v>245</v>
      </c>
      <c r="C67" s="158" t="s">
        <v>246</v>
      </c>
      <c r="D67" s="160" t="s">
        <v>110</v>
      </c>
      <c r="E67" s="160" t="s">
        <v>216</v>
      </c>
      <c r="F67" s="160">
        <v>1</v>
      </c>
      <c r="G67" s="160">
        <v>6</v>
      </c>
    </row>
    <row r="68" spans="1:7" x14ac:dyDescent="0.3">
      <c r="A68" s="162"/>
      <c r="B68" s="159" t="s">
        <v>256</v>
      </c>
      <c r="C68" s="158" t="s">
        <v>257</v>
      </c>
      <c r="D68" s="160" t="s">
        <v>110</v>
      </c>
      <c r="E68" s="160" t="s">
        <v>216</v>
      </c>
      <c r="F68" s="160">
        <v>1</v>
      </c>
      <c r="G68" s="160">
        <v>6</v>
      </c>
    </row>
    <row r="69" spans="1:7" x14ac:dyDescent="0.3">
      <c r="A69" s="162"/>
      <c r="B69" s="254"/>
      <c r="C69" s="254"/>
      <c r="D69" s="254"/>
      <c r="E69" s="254"/>
      <c r="F69" s="254"/>
      <c r="G69" s="254"/>
    </row>
    <row r="70" spans="1:7" x14ac:dyDescent="0.3">
      <c r="A70" s="162"/>
      <c r="B70" s="256" t="s">
        <v>223</v>
      </c>
      <c r="C70" s="256"/>
      <c r="D70" s="256"/>
      <c r="E70" s="256"/>
      <c r="F70" s="256"/>
      <c r="G70" s="256"/>
    </row>
    <row r="71" spans="1:7" x14ac:dyDescent="0.3">
      <c r="A71" s="162"/>
      <c r="B71" s="159" t="s">
        <v>167</v>
      </c>
      <c r="C71" s="158" t="s">
        <v>168</v>
      </c>
      <c r="D71" s="160" t="s">
        <v>110</v>
      </c>
      <c r="E71" s="160" t="s">
        <v>215</v>
      </c>
      <c r="F71" s="160">
        <v>1</v>
      </c>
      <c r="G71" s="160">
        <v>6</v>
      </c>
    </row>
    <row r="72" spans="1:7" x14ac:dyDescent="0.3">
      <c r="A72" s="162"/>
      <c r="B72" s="159" t="s">
        <v>169</v>
      </c>
      <c r="C72" s="158" t="s">
        <v>49</v>
      </c>
      <c r="D72" s="160" t="s">
        <v>110</v>
      </c>
      <c r="E72" s="160" t="s">
        <v>215</v>
      </c>
      <c r="F72" s="160">
        <v>4</v>
      </c>
      <c r="G72" s="160">
        <v>6</v>
      </c>
    </row>
    <row r="73" spans="1:7" x14ac:dyDescent="0.3">
      <c r="A73" s="162"/>
      <c r="B73" s="159" t="s">
        <v>232</v>
      </c>
      <c r="C73" s="158" t="s">
        <v>233</v>
      </c>
      <c r="D73" s="160" t="s">
        <v>110</v>
      </c>
      <c r="E73" s="160" t="s">
        <v>216</v>
      </c>
      <c r="F73" s="160">
        <v>3</v>
      </c>
      <c r="G73" s="160">
        <v>6</v>
      </c>
    </row>
    <row r="74" spans="1:7" x14ac:dyDescent="0.3">
      <c r="A74" s="162"/>
      <c r="B74" s="159" t="s">
        <v>665</v>
      </c>
      <c r="C74" s="158" t="s">
        <v>666</v>
      </c>
      <c r="D74" s="160" t="s">
        <v>109</v>
      </c>
      <c r="E74" s="160" t="s">
        <v>216</v>
      </c>
      <c r="F74" s="160">
        <v>3</v>
      </c>
      <c r="G74" s="160" t="s">
        <v>219</v>
      </c>
    </row>
    <row r="75" spans="1:7" x14ac:dyDescent="0.3">
      <c r="A75" s="162"/>
      <c r="B75" s="159" t="s">
        <v>258</v>
      </c>
      <c r="C75" s="158" t="s">
        <v>50</v>
      </c>
      <c r="D75" s="160" t="s">
        <v>109</v>
      </c>
      <c r="E75" s="160" t="s">
        <v>216</v>
      </c>
      <c r="F75" s="160">
        <v>2</v>
      </c>
      <c r="G75" s="160">
        <v>6</v>
      </c>
    </row>
    <row r="76" spans="1:7" x14ac:dyDescent="0.3">
      <c r="A76" s="162"/>
      <c r="B76" s="159" t="s">
        <v>247</v>
      </c>
      <c r="C76" s="158" t="s">
        <v>248</v>
      </c>
      <c r="D76" s="160" t="s">
        <v>110</v>
      </c>
      <c r="E76" s="160" t="s">
        <v>216</v>
      </c>
      <c r="F76" s="160">
        <v>3</v>
      </c>
      <c r="G76" s="160" t="s">
        <v>249</v>
      </c>
    </row>
    <row r="77" spans="1:7" x14ac:dyDescent="0.3">
      <c r="A77" s="162"/>
      <c r="B77" s="159" t="s">
        <v>121</v>
      </c>
      <c r="C77" s="158" t="s">
        <v>122</v>
      </c>
      <c r="D77" s="160" t="s">
        <v>109</v>
      </c>
      <c r="E77" s="160" t="s">
        <v>216</v>
      </c>
      <c r="F77" s="160">
        <v>2</v>
      </c>
      <c r="G77" s="160">
        <v>4</v>
      </c>
    </row>
    <row r="78" spans="1:7" x14ac:dyDescent="0.3">
      <c r="A78" s="162"/>
      <c r="B78" s="159" t="s">
        <v>953</v>
      </c>
      <c r="C78" s="158" t="s">
        <v>224</v>
      </c>
      <c r="D78" s="160" t="s">
        <v>109</v>
      </c>
      <c r="E78" s="160" t="s">
        <v>216</v>
      </c>
      <c r="F78" s="160">
        <v>3</v>
      </c>
      <c r="G78" s="160" t="s">
        <v>219</v>
      </c>
    </row>
    <row r="79" spans="1:7" x14ac:dyDescent="0.3">
      <c r="A79" s="162"/>
      <c r="B79" s="254"/>
      <c r="C79" s="254"/>
      <c r="D79" s="254"/>
      <c r="E79" s="254"/>
      <c r="F79" s="254"/>
      <c r="G79" s="254"/>
    </row>
    <row r="80" spans="1:7" x14ac:dyDescent="0.3">
      <c r="A80" s="162"/>
      <c r="B80" s="256" t="s">
        <v>225</v>
      </c>
      <c r="C80" s="256"/>
      <c r="D80" s="256"/>
      <c r="E80" s="256"/>
      <c r="F80" s="256"/>
      <c r="G80" s="256"/>
    </row>
    <row r="81" spans="1:7" x14ac:dyDescent="0.3">
      <c r="A81" s="162"/>
      <c r="B81" s="159" t="s">
        <v>170</v>
      </c>
      <c r="C81" s="158" t="s">
        <v>171</v>
      </c>
      <c r="D81" s="160" t="s">
        <v>110</v>
      </c>
      <c r="E81" s="160" t="s">
        <v>215</v>
      </c>
      <c r="F81" s="160">
        <v>4</v>
      </c>
      <c r="G81" s="160">
        <v>6</v>
      </c>
    </row>
    <row r="82" spans="1:7" x14ac:dyDescent="0.3">
      <c r="A82" s="162"/>
      <c r="B82" s="159" t="s">
        <v>667</v>
      </c>
      <c r="C82" s="158" t="s">
        <v>668</v>
      </c>
      <c r="D82" s="160" t="s">
        <v>109</v>
      </c>
      <c r="E82" s="160" t="s">
        <v>216</v>
      </c>
      <c r="F82" s="160" t="s">
        <v>669</v>
      </c>
      <c r="G82" s="160">
        <v>6</v>
      </c>
    </row>
    <row r="83" spans="1:7" x14ac:dyDescent="0.3">
      <c r="A83" s="162"/>
      <c r="B83" s="159" t="s">
        <v>123</v>
      </c>
      <c r="C83" s="158" t="s">
        <v>124</v>
      </c>
      <c r="D83" s="160" t="s">
        <v>110</v>
      </c>
      <c r="E83" s="160" t="s">
        <v>216</v>
      </c>
      <c r="F83" s="160">
        <v>1</v>
      </c>
      <c r="G83" s="160">
        <v>2</v>
      </c>
    </row>
    <row r="84" spans="1:7" x14ac:dyDescent="0.3">
      <c r="A84" s="162"/>
      <c r="B84" s="159" t="s">
        <v>125</v>
      </c>
      <c r="C84" s="158" t="s">
        <v>126</v>
      </c>
      <c r="D84" s="160" t="s">
        <v>109</v>
      </c>
      <c r="E84" s="160" t="s">
        <v>216</v>
      </c>
      <c r="F84" s="160">
        <v>3</v>
      </c>
      <c r="G84" s="160">
        <v>6</v>
      </c>
    </row>
    <row r="85" spans="1:7" x14ac:dyDescent="0.3">
      <c r="A85" s="162"/>
      <c r="B85" s="159" t="s">
        <v>321</v>
      </c>
      <c r="C85" s="158" t="s">
        <v>322</v>
      </c>
      <c r="D85" s="160" t="s">
        <v>109</v>
      </c>
      <c r="E85" s="160" t="s">
        <v>216</v>
      </c>
      <c r="F85" s="160">
        <v>1</v>
      </c>
      <c r="G85" s="160">
        <v>6</v>
      </c>
    </row>
    <row r="86" spans="1:7" x14ac:dyDescent="0.3">
      <c r="A86" s="162"/>
      <c r="B86" s="159" t="s">
        <v>665</v>
      </c>
      <c r="C86" s="158" t="s">
        <v>666</v>
      </c>
      <c r="D86" s="160" t="s">
        <v>109</v>
      </c>
      <c r="E86" s="160" t="s">
        <v>216</v>
      </c>
      <c r="F86" s="160">
        <v>3</v>
      </c>
      <c r="G86" s="160" t="s">
        <v>219</v>
      </c>
    </row>
    <row r="87" spans="1:7" x14ac:dyDescent="0.3">
      <c r="A87" s="162"/>
      <c r="B87" s="159" t="s">
        <v>323</v>
      </c>
      <c r="C87" s="158" t="s">
        <v>324</v>
      </c>
      <c r="D87" s="160" t="s">
        <v>110</v>
      </c>
      <c r="E87" s="160" t="s">
        <v>216</v>
      </c>
      <c r="F87" s="160">
        <v>3</v>
      </c>
      <c r="G87" s="160">
        <v>6</v>
      </c>
    </row>
    <row r="88" spans="1:7" x14ac:dyDescent="0.3">
      <c r="A88" s="162"/>
      <c r="B88" s="159" t="s">
        <v>259</v>
      </c>
      <c r="C88" s="158" t="s">
        <v>260</v>
      </c>
      <c r="D88" s="160" t="s">
        <v>110</v>
      </c>
      <c r="E88" s="160" t="s">
        <v>216</v>
      </c>
      <c r="F88" s="160">
        <v>3</v>
      </c>
      <c r="G88" s="160">
        <v>6</v>
      </c>
    </row>
    <row r="89" spans="1:7" x14ac:dyDescent="0.3">
      <c r="A89" s="162"/>
      <c r="B89" s="159" t="s">
        <v>250</v>
      </c>
      <c r="C89" s="158" t="s">
        <v>251</v>
      </c>
      <c r="D89" s="160" t="s">
        <v>110</v>
      </c>
      <c r="E89" s="160" t="s">
        <v>216</v>
      </c>
      <c r="F89" s="160">
        <v>3</v>
      </c>
      <c r="G89" s="160">
        <v>6</v>
      </c>
    </row>
    <row r="90" spans="1:7" x14ac:dyDescent="0.3">
      <c r="A90" s="162"/>
      <c r="B90" s="159" t="s">
        <v>247</v>
      </c>
      <c r="C90" s="158" t="s">
        <v>248</v>
      </c>
      <c r="D90" s="160" t="s">
        <v>110</v>
      </c>
      <c r="E90" s="160" t="s">
        <v>216</v>
      </c>
      <c r="F90" s="160">
        <v>1</v>
      </c>
      <c r="G90" s="160" t="s">
        <v>249</v>
      </c>
    </row>
    <row r="91" spans="1:7" x14ac:dyDescent="0.3">
      <c r="A91" s="162"/>
      <c r="B91" s="159" t="s">
        <v>226</v>
      </c>
      <c r="C91" s="158" t="s">
        <v>227</v>
      </c>
      <c r="D91" s="160" t="s">
        <v>110</v>
      </c>
      <c r="E91" s="160" t="s">
        <v>216</v>
      </c>
      <c r="F91" s="160">
        <v>3</v>
      </c>
      <c r="G91" s="160">
        <v>6</v>
      </c>
    </row>
    <row r="92" spans="1:7" x14ac:dyDescent="0.3">
      <c r="A92" s="162"/>
      <c r="B92" s="159" t="s">
        <v>953</v>
      </c>
      <c r="C92" s="158" t="s">
        <v>224</v>
      </c>
      <c r="D92" s="160" t="s">
        <v>109</v>
      </c>
      <c r="E92" s="160" t="s">
        <v>216</v>
      </c>
      <c r="F92" s="160">
        <v>1</v>
      </c>
      <c r="G92" s="160" t="s">
        <v>219</v>
      </c>
    </row>
    <row r="93" spans="1:7" x14ac:dyDescent="0.3">
      <c r="A93" s="162"/>
      <c r="B93" s="254"/>
      <c r="C93" s="254"/>
      <c r="D93" s="254"/>
      <c r="E93" s="254"/>
      <c r="F93" s="254"/>
      <c r="G93" s="254"/>
    </row>
    <row r="94" spans="1:7" x14ac:dyDescent="0.3">
      <c r="A94" s="162"/>
      <c r="B94" s="256" t="s">
        <v>228</v>
      </c>
      <c r="C94" s="256"/>
      <c r="D94" s="256"/>
      <c r="E94" s="256"/>
      <c r="F94" s="256"/>
      <c r="G94" s="256"/>
    </row>
    <row r="95" spans="1:7" x14ac:dyDescent="0.3">
      <c r="A95" s="162"/>
      <c r="B95" s="159" t="s">
        <v>172</v>
      </c>
      <c r="C95" s="158" t="s">
        <v>173</v>
      </c>
      <c r="D95" s="160" t="s">
        <v>110</v>
      </c>
      <c r="E95" s="160" t="s">
        <v>215</v>
      </c>
      <c r="F95" s="160">
        <v>4</v>
      </c>
      <c r="G95" s="160">
        <v>6</v>
      </c>
    </row>
    <row r="96" spans="1:7" x14ac:dyDescent="0.3">
      <c r="A96" s="162"/>
      <c r="B96" s="159" t="s">
        <v>293</v>
      </c>
      <c r="C96" s="158" t="s">
        <v>294</v>
      </c>
      <c r="D96" s="160" t="s">
        <v>109</v>
      </c>
      <c r="E96" s="160" t="s">
        <v>216</v>
      </c>
      <c r="F96" s="160" t="s">
        <v>295</v>
      </c>
      <c r="G96" s="160">
        <v>6</v>
      </c>
    </row>
    <row r="97" spans="1:7" x14ac:dyDescent="0.3">
      <c r="A97" s="162"/>
      <c r="B97" s="159" t="s">
        <v>673</v>
      </c>
      <c r="C97" s="158" t="s">
        <v>674</v>
      </c>
      <c r="D97" s="160" t="s">
        <v>110</v>
      </c>
      <c r="E97" s="160" t="s">
        <v>216</v>
      </c>
      <c r="F97" s="160">
        <v>3</v>
      </c>
      <c r="G97" s="160">
        <v>2</v>
      </c>
    </row>
    <row r="98" spans="1:7" x14ac:dyDescent="0.3">
      <c r="A98" s="162"/>
      <c r="B98" s="159" t="s">
        <v>670</v>
      </c>
      <c r="C98" s="158" t="s">
        <v>671</v>
      </c>
      <c r="D98" s="160" t="s">
        <v>110</v>
      </c>
      <c r="E98" s="160" t="s">
        <v>216</v>
      </c>
      <c r="F98" s="160">
        <v>2</v>
      </c>
      <c r="G98" s="160" t="s">
        <v>672</v>
      </c>
    </row>
    <row r="99" spans="1:7" x14ac:dyDescent="0.3">
      <c r="A99" s="162"/>
      <c r="B99" s="159" t="s">
        <v>117</v>
      </c>
      <c r="C99" s="158" t="s">
        <v>118</v>
      </c>
      <c r="D99" s="160" t="s">
        <v>110</v>
      </c>
      <c r="E99" s="160" t="s">
        <v>216</v>
      </c>
      <c r="F99" s="160">
        <v>2</v>
      </c>
      <c r="G99" s="160">
        <v>6</v>
      </c>
    </row>
    <row r="100" spans="1:7" x14ac:dyDescent="0.3">
      <c r="A100" s="162"/>
      <c r="B100" s="159" t="s">
        <v>129</v>
      </c>
      <c r="C100" s="158" t="s">
        <v>130</v>
      </c>
      <c r="D100" s="160" t="s">
        <v>110</v>
      </c>
      <c r="E100" s="160" t="s">
        <v>216</v>
      </c>
      <c r="F100" s="160">
        <v>2</v>
      </c>
      <c r="G100" s="160" t="s">
        <v>219</v>
      </c>
    </row>
    <row r="101" spans="1:7" x14ac:dyDescent="0.3">
      <c r="A101" s="162"/>
      <c r="B101" s="159" t="s">
        <v>127</v>
      </c>
      <c r="C101" s="158" t="s">
        <v>128</v>
      </c>
      <c r="D101" s="160" t="s">
        <v>110</v>
      </c>
      <c r="E101" s="160" t="s">
        <v>216</v>
      </c>
      <c r="F101" s="160">
        <v>3</v>
      </c>
      <c r="G101" s="160" t="s">
        <v>355</v>
      </c>
    </row>
    <row r="102" spans="1:7" x14ac:dyDescent="0.3">
      <c r="A102" s="162"/>
      <c r="B102" s="159" t="s">
        <v>608</v>
      </c>
      <c r="C102" s="158" t="s">
        <v>609</v>
      </c>
      <c r="D102" s="160" t="s">
        <v>110</v>
      </c>
      <c r="E102" s="160" t="s">
        <v>216</v>
      </c>
      <c r="F102" s="160">
        <v>1</v>
      </c>
      <c r="G102" s="160">
        <v>6</v>
      </c>
    </row>
    <row r="103" spans="1:7" x14ac:dyDescent="0.3">
      <c r="A103" s="162"/>
      <c r="B103" s="159" t="s">
        <v>252</v>
      </c>
      <c r="C103" s="158" t="s">
        <v>253</v>
      </c>
      <c r="D103" s="160" t="s">
        <v>110</v>
      </c>
      <c r="E103" s="160" t="s">
        <v>216</v>
      </c>
      <c r="F103" s="160">
        <v>1</v>
      </c>
      <c r="G103" s="160">
        <v>6</v>
      </c>
    </row>
    <row r="104" spans="1:7" x14ac:dyDescent="0.3">
      <c r="A104" s="162"/>
      <c r="B104" s="159" t="s">
        <v>610</v>
      </c>
      <c r="C104" s="158" t="s">
        <v>611</v>
      </c>
      <c r="D104" s="160" t="s">
        <v>110</v>
      </c>
      <c r="E104" s="160" t="s">
        <v>216</v>
      </c>
      <c r="F104" s="160">
        <v>3</v>
      </c>
      <c r="G104" s="160" t="s">
        <v>355</v>
      </c>
    </row>
    <row r="105" spans="1:7" x14ac:dyDescent="0.3">
      <c r="A105" s="162"/>
      <c r="B105" s="159" t="s">
        <v>581</v>
      </c>
      <c r="C105" s="158" t="s">
        <v>582</v>
      </c>
      <c r="D105" s="160" t="s">
        <v>110</v>
      </c>
      <c r="E105" s="160" t="s">
        <v>216</v>
      </c>
      <c r="F105" s="160">
        <v>3</v>
      </c>
      <c r="G105" s="160" t="s">
        <v>355</v>
      </c>
    </row>
    <row r="106" spans="1:7" x14ac:dyDescent="0.3">
      <c r="A106" s="162"/>
      <c r="B106" s="159" t="s">
        <v>954</v>
      </c>
      <c r="C106" s="158" t="s">
        <v>955</v>
      </c>
      <c r="D106" s="160" t="s">
        <v>110</v>
      </c>
      <c r="E106" s="160" t="s">
        <v>216</v>
      </c>
      <c r="F106" s="160">
        <v>3</v>
      </c>
      <c r="G106" s="160" t="s">
        <v>672</v>
      </c>
    </row>
    <row r="107" spans="1:7" x14ac:dyDescent="0.3">
      <c r="A107" s="162"/>
      <c r="B107" s="254"/>
      <c r="C107" s="254"/>
      <c r="D107" s="254"/>
      <c r="E107" s="254"/>
      <c r="F107" s="254"/>
      <c r="G107" s="254"/>
    </row>
    <row r="108" spans="1:7" x14ac:dyDescent="0.3">
      <c r="A108" s="162"/>
      <c r="B108" s="256" t="s">
        <v>229</v>
      </c>
      <c r="C108" s="256"/>
      <c r="D108" s="256"/>
      <c r="E108" s="256"/>
      <c r="F108" s="256"/>
      <c r="G108" s="256"/>
    </row>
    <row r="109" spans="1:7" x14ac:dyDescent="0.3">
      <c r="A109" s="162"/>
      <c r="B109" s="159" t="s">
        <v>296</v>
      </c>
      <c r="C109" s="158" t="s">
        <v>297</v>
      </c>
      <c r="D109" s="160" t="s">
        <v>109</v>
      </c>
      <c r="E109" s="160" t="s">
        <v>216</v>
      </c>
      <c r="F109" s="160" t="s">
        <v>298</v>
      </c>
      <c r="G109" s="160">
        <v>6</v>
      </c>
    </row>
    <row r="110" spans="1:7" x14ac:dyDescent="0.3">
      <c r="A110" s="162"/>
      <c r="B110" s="159" t="s">
        <v>670</v>
      </c>
      <c r="C110" s="158" t="s">
        <v>671</v>
      </c>
      <c r="D110" s="160" t="s">
        <v>110</v>
      </c>
      <c r="E110" s="160" t="s">
        <v>216</v>
      </c>
      <c r="F110" s="160" t="s">
        <v>675</v>
      </c>
      <c r="G110" s="160" t="s">
        <v>672</v>
      </c>
    </row>
    <row r="111" spans="1:7" x14ac:dyDescent="0.3">
      <c r="A111" s="162"/>
      <c r="B111" s="159" t="s">
        <v>261</v>
      </c>
      <c r="C111" s="158" t="s">
        <v>262</v>
      </c>
      <c r="D111" s="160" t="s">
        <v>110</v>
      </c>
      <c r="E111" s="160" t="s">
        <v>216</v>
      </c>
      <c r="F111" s="160">
        <v>4</v>
      </c>
      <c r="G111" s="160">
        <v>6</v>
      </c>
    </row>
    <row r="112" spans="1:7" x14ac:dyDescent="0.3">
      <c r="A112" s="162"/>
      <c r="B112" s="159" t="s">
        <v>129</v>
      </c>
      <c r="C112" s="158" t="s">
        <v>130</v>
      </c>
      <c r="D112" s="160" t="s">
        <v>110</v>
      </c>
      <c r="E112" s="160" t="s">
        <v>216</v>
      </c>
      <c r="F112" s="160">
        <v>4</v>
      </c>
      <c r="G112" s="160" t="s">
        <v>219</v>
      </c>
    </row>
    <row r="113" spans="1:7" x14ac:dyDescent="0.3">
      <c r="A113" s="162"/>
      <c r="B113" s="159" t="s">
        <v>127</v>
      </c>
      <c r="C113" s="158" t="s">
        <v>128</v>
      </c>
      <c r="D113" s="160" t="s">
        <v>110</v>
      </c>
      <c r="E113" s="160" t="s">
        <v>216</v>
      </c>
      <c r="F113" s="160">
        <v>3</v>
      </c>
      <c r="G113" s="160" t="s">
        <v>355</v>
      </c>
    </row>
    <row r="114" spans="1:7" x14ac:dyDescent="0.3">
      <c r="A114" s="162"/>
      <c r="B114" s="159" t="s">
        <v>610</v>
      </c>
      <c r="C114" s="158" t="s">
        <v>611</v>
      </c>
      <c r="D114" s="160" t="s">
        <v>110</v>
      </c>
      <c r="E114" s="160" t="s">
        <v>216</v>
      </c>
      <c r="F114" s="160">
        <v>3</v>
      </c>
      <c r="G114" s="160" t="s">
        <v>355</v>
      </c>
    </row>
    <row r="115" spans="1:7" x14ac:dyDescent="0.3">
      <c r="A115" s="162"/>
      <c r="B115" s="159" t="s">
        <v>581</v>
      </c>
      <c r="C115" s="158" t="s">
        <v>582</v>
      </c>
      <c r="D115" s="160" t="s">
        <v>110</v>
      </c>
      <c r="E115" s="160" t="s">
        <v>216</v>
      </c>
      <c r="F115" s="160">
        <v>3</v>
      </c>
      <c r="G115" s="160" t="s">
        <v>355</v>
      </c>
    </row>
    <row r="116" spans="1:7" x14ac:dyDescent="0.3">
      <c r="A116" s="162"/>
      <c r="B116" s="159" t="s">
        <v>954</v>
      </c>
      <c r="C116" s="158" t="s">
        <v>955</v>
      </c>
      <c r="D116" s="160" t="s">
        <v>110</v>
      </c>
      <c r="E116" s="160" t="s">
        <v>216</v>
      </c>
      <c r="F116" s="160">
        <v>1</v>
      </c>
      <c r="G116" s="160" t="s">
        <v>672</v>
      </c>
    </row>
    <row r="117" spans="1:7" x14ac:dyDescent="0.3">
      <c r="A117" s="162"/>
      <c r="B117" s="159" t="s">
        <v>230</v>
      </c>
      <c r="C117" s="158" t="s">
        <v>231</v>
      </c>
      <c r="D117" s="160" t="s">
        <v>110</v>
      </c>
      <c r="E117" s="160" t="s">
        <v>216</v>
      </c>
      <c r="F117" s="160">
        <v>3</v>
      </c>
      <c r="G117" s="160">
        <v>4</v>
      </c>
    </row>
    <row r="118" spans="1:7" x14ac:dyDescent="0.3">
      <c r="A118" s="162"/>
      <c r="B118" s="162"/>
      <c r="C118" s="162"/>
      <c r="D118" s="162"/>
      <c r="E118" s="162"/>
      <c r="F118" s="162"/>
      <c r="G118" s="162"/>
    </row>
    <row r="119" spans="1:7" x14ac:dyDescent="0.3">
      <c r="A119" s="163"/>
      <c r="B119" s="255"/>
      <c r="C119" s="255"/>
      <c r="D119" s="255"/>
      <c r="E119" s="255"/>
      <c r="F119" s="255"/>
      <c r="G119" s="255"/>
    </row>
    <row r="120" spans="1:7" x14ac:dyDescent="0.3">
      <c r="A120" s="162"/>
      <c r="B120" s="162"/>
      <c r="C120" s="162"/>
      <c r="D120" s="162"/>
      <c r="E120" s="162"/>
      <c r="F120" s="162"/>
      <c r="G120" s="162"/>
    </row>
  </sheetData>
  <mergeCells count="33">
    <mergeCell ref="B119:G119"/>
    <mergeCell ref="B69:G69"/>
    <mergeCell ref="B70:G70"/>
    <mergeCell ref="B38:G38"/>
    <mergeCell ref="B107:G107"/>
    <mergeCell ref="B108:G108"/>
    <mergeCell ref="B79:G79"/>
    <mergeCell ref="B93:G93"/>
    <mergeCell ref="B51:G51"/>
    <mergeCell ref="B52:G52"/>
    <mergeCell ref="B39:G39"/>
    <mergeCell ref="B60:G60"/>
    <mergeCell ref="B80:G80"/>
    <mergeCell ref="B94:G94"/>
    <mergeCell ref="B45:G45"/>
    <mergeCell ref="B59:G59"/>
    <mergeCell ref="B44:G44"/>
    <mergeCell ref="B9:G9"/>
    <mergeCell ref="B12:G12"/>
    <mergeCell ref="B13:G13"/>
    <mergeCell ref="B16:G16"/>
    <mergeCell ref="B15:G15"/>
    <mergeCell ref="B20:G20"/>
    <mergeCell ref="B31:G31"/>
    <mergeCell ref="B21:G21"/>
    <mergeCell ref="B25:G25"/>
    <mergeCell ref="B32:G32"/>
    <mergeCell ref="B26:G26"/>
    <mergeCell ref="B4:C4"/>
    <mergeCell ref="B5:C5"/>
    <mergeCell ref="B6:C6"/>
    <mergeCell ref="B7:C7"/>
    <mergeCell ref="B8:G8"/>
  </mergeCells>
  <hyperlinks>
    <hyperlink ref="D1" r:id="rId1" display="http://www.liu.se/"/>
    <hyperlink ref="B2" r:id="rId2" display="http://www.lith.liu.se/"/>
    <hyperlink ref="D2" r:id="rId3" display="http://www.liu.se/"/>
    <hyperlink ref="B14" r:id="rId4" tooltip="Detalj" display="http://kdb-5.liu.se/liu/lith/studiehandboken/svkursplan.lasso?&amp;k_budget_year=2014&amp;k_kurskod=TATM79"/>
    <hyperlink ref="B17" r:id="rId5" tooltip="Detalj" display="http://kdb-5.liu.se/liu/lith/studiehandboken/svkursplan.lasso?&amp;k_budget_year=2014&amp;k_kurskod=TATA31"/>
    <hyperlink ref="B18" r:id="rId6" tooltip="Detalj" display="http://kdb-5.liu.se/liu/lith/studiehandboken/svkursplan.lasso?&amp;k_budget_year=2014&amp;k_kurskod=TATM79"/>
    <hyperlink ref="B19" r:id="rId7" tooltip="Detalj" display="http://kdb-5.liu.se/liu/lith/studiehandboken/svkursplan.lasso?&amp;k_budget_year=2014&amp;k_kurskod=TEIE17"/>
    <hyperlink ref="B22" r:id="rId8" tooltip="Detalj" display="http://kdb-5.liu.se/liu/lith/studiehandboken/svkursplan.lasso?&amp;k_budget_year=2014&amp;k_kurskod=TATA31"/>
    <hyperlink ref="B23" r:id="rId9" tooltip="Detalj" display="http://kdb-5.liu.se/liu/lith/studiehandboken/svkursplan.lasso?&amp;k_budget_year=2014&amp;k_kurskod=TATA41"/>
    <hyperlink ref="B24" r:id="rId10" tooltip="Detalj" display="http://kdb-5.liu.se/liu/lith/studiehandboken/svkursplan.lasso?&amp;k_budget_year=2014&amp;k_kurskod=TEIE17"/>
    <hyperlink ref="B27" r:id="rId11" tooltip="Detalj" display="http://kdb-5.liu.se/liu/lith/studiehandboken/svkursplan.lasso?&amp;k_budget_year=2014&amp;k_kurskod=TGTU35"/>
    <hyperlink ref="B28" r:id="rId12" tooltip="Detalj" display="http://kdb-5.liu.se/liu/lith/studiehandboken/svkursplan.lasso?&amp;k_budget_year=2014&amp;k_kurskod=TATA42"/>
    <hyperlink ref="B29" r:id="rId13" tooltip="Detalj" display="http://kdb-5.liu.se/liu/lith/studiehandboken/svkursplan.lasso?&amp;k_budget_year=2014&amp;k_kurskod=TDDD11"/>
    <hyperlink ref="B30" r:id="rId14" tooltip="Detalj" display="http://kdb-5.liu.se/liu/lith/studiehandboken/svkursplan.lasso?&amp;k_budget_year=2014&amp;k_kurskod=TEIO61"/>
    <hyperlink ref="B33" r:id="rId15" tooltip="Detalj" display="http://kdb-5.liu.se/liu/lith/studiehandboken/svkursplan.lasso?&amp;k_budget_year=2014&amp;k_kurskod=TGTU35"/>
    <hyperlink ref="B34" r:id="rId16" tooltip="Detalj" display="http://kdb-5.liu.se/liu/lith/studiehandboken/svkursplan.lasso?&amp;k_budget_year=2014&amp;k_kurskod=TATA43"/>
    <hyperlink ref="B35" r:id="rId17" tooltip="Detalj" display="http://kdb-5.liu.se/liu/lith/studiehandboken/svkursplan.lasso?&amp;k_budget_year=2014&amp;k_kurskod=TDDD11"/>
    <hyperlink ref="B36" r:id="rId18" tooltip="Detalj" display="http://kdb-5.liu.se/liu/lith/studiehandboken/svkursplan.lasso?&amp;k_budget_year=2014&amp;k_kurskod=TEIO61"/>
    <hyperlink ref="B37" r:id="rId19" tooltip="Detalj" display="http://kdb-5.liu.se/liu/lith/studiehandboken/svkursplan.lasso?&amp;k_budget_year=2014&amp;k_kurskod=TSKS08"/>
    <hyperlink ref="B40" r:id="rId20" tooltip="Detalj" display="http://kdb-5.liu.se/liu/lith/studiehandboken/svkursplan.lasso?&amp;k_budget_year=2014&amp;k_kurskod=TAOP14"/>
    <hyperlink ref="B41" r:id="rId21" tooltip="Detalj" display="http://kdb-5.liu.se/liu/lith/studiehandboken/svkursplan.lasso?&amp;k_budget_year=2014&amp;k_kurskod=TMME27"/>
    <hyperlink ref="B42" r:id="rId22" tooltip="Detalj" display="http://kdb-5.liu.se/liu/lith/studiehandboken/svkursplan.lasso?&amp;k_budget_year=2014&amp;k_kurskod=TSKS09"/>
    <hyperlink ref="B43" r:id="rId23" tooltip="Detalj" display="http://kdb-5.liu.se/liu/lith/studiehandboken/svkursplan.lasso?&amp;k_budget_year=2014&amp;k_kurskod=THEN18"/>
    <hyperlink ref="B46" r:id="rId24" tooltip="Detalj" display="http://kdb-5.liu.se/liu/lith/studiehandboken/svkursplan.lasso?&amp;k_budget_year=2014&amp;k_kurskod=TAMS79"/>
    <hyperlink ref="B47" r:id="rId25" tooltip="Detalj" display="http://kdb-5.liu.se/liu/lith/studiehandboken/svkursplan.lasso?&amp;k_budget_year=2014&amp;k_kurskod=TFYA14"/>
    <hyperlink ref="B48" r:id="rId26" tooltip="Detalj" display="http://kdb-5.liu.se/liu/lith/studiehandboken/svkursplan.lasso?&amp;k_budget_year=2014&amp;k_kurskod=TMME27"/>
    <hyperlink ref="B49" r:id="rId27" tooltip="Detalj" display="http://kdb-5.liu.se/liu/lith/studiehandboken/svkursplan.lasso?&amp;k_budget_year=2014&amp;k_kurskod=TEIM03"/>
    <hyperlink ref="B50" r:id="rId28" tooltip="Detalj" display="http://kdb-5.liu.se/liu/lith/studiehandboken/svkursplan.lasso?&amp;k_budget_year=2014&amp;k_kurskod=THEN18"/>
    <hyperlink ref="B53" r:id="rId29" tooltip="Detalj" display="http://kdb-5.liu.se/liu/lith/studiehandboken/svkursplan.lasso?&amp;k_budget_year=2014&amp;k_kurskod=TAMS79"/>
    <hyperlink ref="B54" r:id="rId30" tooltip="Detalj" display="http://kdb-5.liu.se/liu/lith/studiehandboken/svkursplan.lasso?&amp;k_budget_year=2014&amp;k_kurskod=TPPE98"/>
    <hyperlink ref="B55" r:id="rId31" tooltip="Detalj" display="http://kdb-5.liu.se/liu/lith/studiehandboken/svkursplan.lasso?&amp;k_budget_year=2014&amp;k_kurskod=TDDC30"/>
    <hyperlink ref="B56" r:id="rId32" tooltip="Detalj" display="http://kdb-5.liu.se/liu/lith/studiehandboken/svkursplan.lasso?&amp;k_budget_year=2014&amp;k_kurskod=TFBI11"/>
    <hyperlink ref="B57" r:id="rId33" tooltip="Detalj" display="http://kdb-5.liu.se/liu/lith/studiehandboken/svkursplan.lasso?&amp;k_budget_year=2014&amp;k_kurskod=TMEL53"/>
    <hyperlink ref="B58" r:id="rId34" tooltip="Detalj" display="http://kdb-5.liu.se/liu/lith/studiehandboken/svkursplan.lasso?&amp;k_budget_year=2014&amp;k_kurskod=TMMV03"/>
    <hyperlink ref="B61" r:id="rId35" tooltip="Detalj" display="http://kdb-5.liu.se/liu/lith/studiehandboken/svkursplan.lasso?&amp;k_budget_year=2014&amp;k_kurskod=TPTE06"/>
    <hyperlink ref="B62" r:id="rId36" tooltip="Detalj" display="http://kdb-5.liu.se/liu/lith/studiehandboken/svkursplan.lasso?&amp;k_budget_year=2014&amp;k_kurskod=TAMS65"/>
    <hyperlink ref="B63" r:id="rId37" tooltip="Detalj" display="http://kdb-5.liu.se/liu/lith/studiehandboken/svkursplan.lasso?&amp;k_budget_year=2014&amp;k_kurskod=TPPE24"/>
    <hyperlink ref="B64" r:id="rId38" tooltip="Detalj" display="http://kdb-5.liu.se/liu/lith/studiehandboken/svkursplan.lasso?&amp;k_budget_year=2014&amp;k_kurskod=TATA52"/>
    <hyperlink ref="B65" r:id="rId39" tooltip="Detalj" display="http://kdb-5.liu.se/liu/lith/studiehandboken/svkursplan.lasso?&amp;k_budget_year=2014&amp;k_kurskod=TATA80"/>
    <hyperlink ref="B66" r:id="rId40" tooltip="Detalj" display="http://kdb-5.liu.se/liu/lith/studiehandboken/svkursplan.lasso?&amp;k_budget_year=2014&amp;k_kurskod=TFKE52"/>
    <hyperlink ref="B67" r:id="rId41" tooltip="Detalj" display="http://kdb-5.liu.se/liu/lith/studiehandboken/svkursplan.lasso?&amp;k_budget_year=2014&amp;k_kurskod=TMHL07"/>
    <hyperlink ref="B68" r:id="rId42" tooltip="Detalj" display="http://kdb-5.liu.se/liu/lith/studiehandboken/svkursplan.lasso?&amp;k_budget_year=2014&amp;k_kurskod=TMMV09"/>
    <hyperlink ref="B71" r:id="rId43" tooltip="Detalj" display="http://kdb-5.liu.se/liu/lith/studiehandboken/svkursplan.lasso?&amp;k_budget_year=2014&amp;k_kurskod=TEIM02"/>
    <hyperlink ref="B72" r:id="rId44" tooltip="Detalj" display="http://kdb-5.liu.se/liu/lith/studiehandboken/svkursplan.lasso?&amp;k_budget_year=2014&amp;k_kurskod=TSRT19"/>
    <hyperlink ref="B73" r:id="rId45" tooltip="Detalj" display="http://kdb-5.liu.se/liu/lith/studiehandboken/svkursplan.lasso?&amp;k_budget_year=2014&amp;k_kurskod=TBME04"/>
    <hyperlink ref="B74" r:id="rId46" tooltip="Detalj" display="http://kdb-5.liu.se/liu/lith/studiehandboken/svkursplan.lasso?&amp;k_budget_year=2014&amp;k_kurskod=TFBI22"/>
    <hyperlink ref="B75" r:id="rId47" tooltip="Detalj" display="http://kdb-5.liu.se/liu/lith/studiehandboken/svkursplan.lasso?&amp;k_budget_year=2014&amp;k_kurskod=TKMJ24"/>
    <hyperlink ref="B76" r:id="rId48" tooltip="Detalj" display="http://kdb-5.liu.se/liu/lith/studiehandboken/svkursplan.lasso?&amp;k_budget_year=2014&amp;k_kurskod=TMPT04"/>
    <hyperlink ref="B77" r:id="rId49" tooltip="Detalj" display="http://kdb-5.liu.se/liu/lith/studiehandboken/svkursplan.lasso?&amp;k_budget_year=2014&amp;k_kurskod=TSEA51"/>
    <hyperlink ref="B78" r:id="rId50" tooltip="Detalj" display="http://kdb-5.liu.se/liu/lith/studiehandboken/svkursplan.lasso?&amp;k_budget_year=2014&amp;k_kurskod=TSEA57"/>
    <hyperlink ref="B81" r:id="rId51" tooltip="Detalj" display="http://kdb-5.liu.se/liu/lith/studiehandboken/svkursplan.lasso?&amp;k_budget_year=2014&amp;k_kurskod=TPPE13"/>
    <hyperlink ref="B82" r:id="rId52" tooltip="Detalj" display="http://kdb-5.liu.se/liu/lith/studiehandboken/svkursplan.lasso?&amp;k_budget_year=2014&amp;k_kurskod=NBIB45"/>
    <hyperlink ref="B83" r:id="rId53" tooltip="Detalj" display="http://kdb-5.liu.se/liu/lith/studiehandboken/svkursplan.lasso?&amp;k_budget_year=2014&amp;k_kurskod=TDDD71"/>
    <hyperlink ref="B84" r:id="rId54" tooltip="Detalj" display="http://kdb-5.liu.se/liu/lith/studiehandboken/svkursplan.lasso?&amp;k_budget_year=2014&amp;k_kurskod=TDTS10"/>
    <hyperlink ref="B85" r:id="rId55" tooltip="Detalj" display="http://kdb-5.liu.se/liu/lith/studiehandboken/svkursplan.lasso?&amp;k_budget_year=2014&amp;k_kurskod=TEAE05"/>
    <hyperlink ref="B86" r:id="rId56" tooltip="Detalj" display="http://kdb-5.liu.se/liu/lith/studiehandboken/svkursplan.lasso?&amp;k_budget_year=2014&amp;k_kurskod=TFBI22"/>
    <hyperlink ref="B87" r:id="rId57" tooltip="Detalj" display="http://kdb-5.liu.se/liu/lith/studiehandboken/svkursplan.lasso?&amp;k_budget_year=2014&amp;k_kurskod=TFKE32"/>
    <hyperlink ref="B88" r:id="rId58" tooltip="Detalj" display="http://kdb-5.liu.se/liu/lith/studiehandboken/svkursplan.lasso?&amp;k_budget_year=2014&amp;k_kurskod=TMES34"/>
    <hyperlink ref="B89" r:id="rId59" tooltip="Detalj" display="http://kdb-5.liu.se/liu/lith/studiehandboken/svkursplan.lasso?&amp;k_budget_year=2014&amp;k_kurskod=TMKM86"/>
    <hyperlink ref="B90" r:id="rId60" tooltip="Detalj" display="http://kdb-5.liu.se/liu/lith/studiehandboken/svkursplan.lasso?&amp;k_budget_year=2014&amp;k_kurskod=TMPT04"/>
    <hyperlink ref="B91" r:id="rId61" tooltip="Detalj" display="http://kdb-5.liu.se/liu/lith/studiehandboken/svkursplan.lasso?&amp;k_budget_year=2014&amp;k_kurskod=TSDT18"/>
    <hyperlink ref="B92" r:id="rId62" tooltip="Detalj" display="http://kdb-5.liu.se/liu/lith/studiehandboken/svkursplan.lasso?&amp;k_budget_year=2014&amp;k_kurskod=TSEA57"/>
    <hyperlink ref="B95" r:id="rId63" tooltip="Detalj" display="http://kdb-5.liu.se/liu/lith/studiehandboken/svkursplan.lasso?&amp;k_budget_year=2014&amp;k_kurskod=TEIO04"/>
    <hyperlink ref="B96" r:id="rId64" tooltip="Detalj" display="http://kdb-5.liu.se/liu/lith/studiehandboken/svkursplan.lasso?&amp;k_budget_year=2014&amp;k_kurskod=NBIA25"/>
    <hyperlink ref="B97" r:id="rId65" tooltip="Detalj" display="http://kdb-5.liu.se/liu/lith/studiehandboken/svkursplan.lasso?&amp;k_budget_year=2014&amp;k_kurskod=TBMT19"/>
    <hyperlink ref="B98" r:id="rId66" tooltip="Detalj" display="http://kdb-5.liu.se/liu/lith/studiehandboken/svkursplan.lasso?&amp;k_budget_year=2014&amp;k_kurskod=TBMT34"/>
    <hyperlink ref="B99" r:id="rId67" tooltip="Detalj" display="http://kdb-5.liu.se/liu/lith/studiehandboken/svkursplan.lasso?&amp;k_budget_year=2014&amp;k_kurskod=TDDC30"/>
    <hyperlink ref="B100" r:id="rId68" tooltip="Detalj" display="http://kdb-5.liu.se/liu/lith/studiehandboken/svkursplan.lasso?&amp;k_budget_year=2014&amp;k_kurskod=TDDD81"/>
    <hyperlink ref="B101" r:id="rId69" tooltip="Detalj" display="http://kdb-5.liu.se/liu/lith/studiehandboken/svkursplan.lasso?&amp;k_budget_year=2014&amp;k_kurskod=TDDD83"/>
    <hyperlink ref="B102" r:id="rId70" tooltip="Detalj" display="http://kdb-5.liu.se/liu/lith/studiehandboken/svkursplan.lasso?&amp;k_budget_year=2014&amp;k_kurskod=TKMJ39"/>
    <hyperlink ref="B103" r:id="rId71" tooltip="Detalj" display="http://kdb-5.liu.se/liu/lith/studiehandboken/svkursplan.lasso?&amp;k_budget_year=2014&amp;k_kurskod=TMKT14"/>
    <hyperlink ref="B104" r:id="rId72" tooltip="Detalj" display="http://kdb-5.liu.se/liu/lith/studiehandboken/svkursplan.lasso?&amp;k_budget_year=2014&amp;k_kurskod=TMMV16"/>
    <hyperlink ref="B105" r:id="rId73" tooltip="Detalj" display="http://kdb-5.liu.se/liu/lith/studiehandboken/svkursplan.lasso?&amp;k_budget_year=2014&amp;k_kurskod=TMPS32"/>
    <hyperlink ref="B106" r:id="rId74" tooltip="Detalj" display="http://kdb-5.liu.se/liu/lith/studiehandboken/svkursplan.lasso?&amp;k_budget_year=2014&amp;k_kurskod=TSEA56"/>
    <hyperlink ref="B109" r:id="rId75" tooltip="Detalj" display="http://kdb-5.liu.se/liu/lith/studiehandboken/svkursplan.lasso?&amp;k_budget_year=2014&amp;k_kurskod=NBIA23"/>
    <hyperlink ref="B110" r:id="rId76" tooltip="Detalj" display="http://kdb-5.liu.se/liu/lith/studiehandboken/svkursplan.lasso?&amp;k_budget_year=2014&amp;k_kurskod=TBMT34"/>
    <hyperlink ref="B111" r:id="rId77" tooltip="Detalj" display="http://kdb-5.liu.se/liu/lith/studiehandboken/svkursplan.lasso?&amp;k_budget_year=2014&amp;k_kurskod=TDDD12"/>
    <hyperlink ref="B112" r:id="rId78" tooltip="Detalj" display="http://kdb-5.liu.se/liu/lith/studiehandboken/svkursplan.lasso?&amp;k_budget_year=2014&amp;k_kurskod=TDDD81"/>
    <hyperlink ref="B113" r:id="rId79" tooltip="Detalj" display="http://kdb-5.liu.se/liu/lith/studiehandboken/svkursplan.lasso?&amp;k_budget_year=2014&amp;k_kurskod=TDDD83"/>
    <hyperlink ref="B114" r:id="rId80" tooltip="Detalj" display="http://kdb-5.liu.se/liu/lith/studiehandboken/svkursplan.lasso?&amp;k_budget_year=2014&amp;k_kurskod=TMMV16"/>
    <hyperlink ref="B115" r:id="rId81" tooltip="Detalj" display="http://kdb-5.liu.se/liu/lith/studiehandboken/svkursplan.lasso?&amp;k_budget_year=2014&amp;k_kurskod=TMPS32"/>
    <hyperlink ref="B116" r:id="rId82" tooltip="Detalj" display="http://kdb-5.liu.se/liu/lith/studiehandboken/svkursplan.lasso?&amp;k_budget_year=2014&amp;k_kurskod=TSEA56"/>
    <hyperlink ref="B117" r:id="rId83" tooltip="Detalj" display="http://kdb-5.liu.se/liu/lith/studiehandboken/svkursplan.lasso?&amp;k_budget_year=2014&amp;k_kurskod=TSKS10"/>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
    <tabColor theme="6"/>
  </sheetPr>
  <dimension ref="A1:X33"/>
  <sheetViews>
    <sheetView workbookViewId="0">
      <selection activeCell="F22" sqref="F22"/>
    </sheetView>
  </sheetViews>
  <sheetFormatPr defaultRowHeight="15" x14ac:dyDescent="0.3"/>
  <cols>
    <col min="1" max="1" width="5.75" style="24" customWidth="1"/>
    <col min="2" max="11" width="9" style="24"/>
    <col min="12" max="12" width="3.75" style="24" customWidth="1"/>
    <col min="13" max="21" width="9" style="24"/>
    <col min="22" max="22" width="9" style="24" customWidth="1"/>
    <col min="23" max="23" width="3.375" style="24" customWidth="1"/>
    <col min="24" max="16384" width="9" style="24"/>
  </cols>
  <sheetData>
    <row r="1" spans="1:24" ht="9" customHeight="1" x14ac:dyDescent="0.3">
      <c r="A1" s="1"/>
      <c r="B1" s="1"/>
      <c r="C1" s="1"/>
      <c r="D1" s="1"/>
      <c r="E1" s="1"/>
      <c r="F1" s="1"/>
      <c r="G1" s="1"/>
      <c r="H1" s="1"/>
      <c r="I1" s="1"/>
      <c r="J1" s="1"/>
      <c r="K1" s="1"/>
      <c r="L1" s="1"/>
      <c r="M1" s="1"/>
      <c r="N1" s="1"/>
      <c r="O1" s="1"/>
      <c r="P1" s="1"/>
      <c r="Q1" s="1"/>
      <c r="R1" s="1"/>
      <c r="S1" s="1"/>
      <c r="T1" s="1"/>
      <c r="U1" s="1"/>
      <c r="V1" s="1"/>
      <c r="W1" s="1"/>
      <c r="X1" s="110"/>
    </row>
    <row r="2" spans="1:24" ht="51" customHeight="1" x14ac:dyDescent="0.3">
      <c r="A2" s="10" t="s">
        <v>182</v>
      </c>
      <c r="B2" s="10"/>
      <c r="C2" s="10"/>
      <c r="D2" s="6"/>
      <c r="E2" s="74"/>
      <c r="F2" s="30"/>
      <c r="G2" s="1"/>
      <c r="H2" s="1"/>
      <c r="I2" s="1"/>
      <c r="J2" s="1"/>
      <c r="K2" s="1"/>
      <c r="L2" s="6"/>
      <c r="M2" s="209" t="str">
        <f xml:space="preserve"> CONCATENATE(COUNTA(ProgramKurser[KURSNAMN])," kurser, inom ",COUNTA(AvailablePrograms[PROGRAMNAMN]), " program")</f>
        <v>353 kurser, inom 9 program</v>
      </c>
      <c r="N2" s="209"/>
      <c r="O2" s="209"/>
      <c r="P2" s="209"/>
      <c r="Q2" s="209"/>
      <c r="R2" s="209"/>
      <c r="S2" s="209"/>
      <c r="T2" s="209"/>
      <c r="U2" s="1"/>
      <c r="V2" s="1"/>
      <c r="W2" s="1"/>
      <c r="X2" s="110"/>
    </row>
    <row r="3" spans="1:24" ht="9" customHeight="1" x14ac:dyDescent="0.3">
      <c r="A3" s="1"/>
      <c r="B3" s="1"/>
      <c r="C3" s="1"/>
      <c r="D3" s="1"/>
      <c r="E3" s="1"/>
      <c r="F3" s="1"/>
      <c r="G3" s="1"/>
      <c r="H3" s="1"/>
      <c r="I3" s="1"/>
      <c r="J3" s="1"/>
      <c r="K3" s="1"/>
      <c r="L3" s="1"/>
      <c r="M3" s="1"/>
      <c r="N3" s="1"/>
      <c r="O3" s="1"/>
      <c r="P3" s="1"/>
      <c r="Q3" s="1"/>
      <c r="R3" s="1"/>
      <c r="S3" s="1"/>
      <c r="T3" s="1"/>
      <c r="U3" s="1"/>
      <c r="V3" s="1"/>
      <c r="W3" s="1"/>
      <c r="X3" s="110"/>
    </row>
    <row r="4" spans="1:24" x14ac:dyDescent="0.3">
      <c r="A4" s="112"/>
      <c r="B4" s="112"/>
      <c r="C4" s="112"/>
      <c r="D4" s="112"/>
      <c r="E4" s="112"/>
      <c r="F4" s="112"/>
      <c r="G4" s="112"/>
      <c r="H4" s="112"/>
      <c r="I4" s="112"/>
      <c r="J4" s="112"/>
      <c r="K4" s="112"/>
      <c r="L4" s="112"/>
      <c r="M4" s="112"/>
      <c r="N4" s="112"/>
      <c r="O4" s="112"/>
      <c r="P4" s="112"/>
      <c r="Q4" s="112"/>
      <c r="R4" s="112"/>
      <c r="S4" s="112"/>
      <c r="T4" s="112"/>
      <c r="U4" s="112"/>
      <c r="V4" s="112"/>
    </row>
    <row r="5" spans="1:24" x14ac:dyDescent="0.3">
      <c r="A5" s="112"/>
      <c r="B5" s="257" t="s">
        <v>212</v>
      </c>
      <c r="C5" s="257"/>
      <c r="D5" s="257"/>
      <c r="E5" s="257"/>
      <c r="F5" s="257"/>
      <c r="G5" s="257"/>
      <c r="H5" s="257"/>
      <c r="I5" s="257"/>
      <c r="J5" s="257"/>
      <c r="K5" s="257"/>
      <c r="L5" s="112"/>
      <c r="M5" s="244" t="s">
        <v>976</v>
      </c>
      <c r="N5" s="260"/>
      <c r="O5" s="260"/>
      <c r="P5" s="260"/>
      <c r="Q5" s="260"/>
      <c r="R5" s="260"/>
      <c r="S5" s="260"/>
      <c r="T5" s="260"/>
      <c r="U5" s="260"/>
      <c r="V5" s="260"/>
    </row>
    <row r="6" spans="1:24" x14ac:dyDescent="0.3">
      <c r="A6" s="112"/>
      <c r="B6" s="258"/>
      <c r="C6" s="258"/>
      <c r="D6" s="258"/>
      <c r="E6" s="258"/>
      <c r="F6" s="258"/>
      <c r="G6" s="258"/>
      <c r="H6" s="258"/>
      <c r="I6" s="258"/>
      <c r="J6" s="258"/>
      <c r="K6" s="258"/>
      <c r="L6" s="112"/>
      <c r="M6" s="261"/>
      <c r="N6" s="261"/>
      <c r="O6" s="261"/>
      <c r="P6" s="261"/>
      <c r="Q6" s="261"/>
      <c r="R6" s="261"/>
      <c r="S6" s="261"/>
      <c r="T6" s="261"/>
      <c r="U6" s="261"/>
      <c r="V6" s="261"/>
    </row>
    <row r="7" spans="1:24" x14ac:dyDescent="0.3">
      <c r="A7" s="112"/>
      <c r="B7" s="258"/>
      <c r="C7" s="258"/>
      <c r="D7" s="258"/>
      <c r="E7" s="258"/>
      <c r="F7" s="258"/>
      <c r="G7" s="258"/>
      <c r="H7" s="258"/>
      <c r="I7" s="258"/>
      <c r="J7" s="258"/>
      <c r="K7" s="258"/>
      <c r="L7" s="112"/>
      <c r="M7" s="261"/>
      <c r="N7" s="261"/>
      <c r="O7" s="261"/>
      <c r="P7" s="261"/>
      <c r="Q7" s="261"/>
      <c r="R7" s="261"/>
      <c r="S7" s="261"/>
      <c r="T7" s="261"/>
      <c r="U7" s="261"/>
      <c r="V7" s="261"/>
    </row>
    <row r="8" spans="1:24" x14ac:dyDescent="0.3">
      <c r="A8" s="112"/>
      <c r="B8" s="258"/>
      <c r="C8" s="258"/>
      <c r="D8" s="258"/>
      <c r="E8" s="258"/>
      <c r="F8" s="258"/>
      <c r="G8" s="258"/>
      <c r="H8" s="258"/>
      <c r="I8" s="258"/>
      <c r="J8" s="258"/>
      <c r="K8" s="258"/>
      <c r="L8" s="112"/>
      <c r="M8" s="261"/>
      <c r="N8" s="261"/>
      <c r="O8" s="261"/>
      <c r="P8" s="261"/>
      <c r="Q8" s="261"/>
      <c r="R8" s="261"/>
      <c r="S8" s="261"/>
      <c r="T8" s="261"/>
      <c r="U8" s="261"/>
      <c r="V8" s="261"/>
    </row>
    <row r="9" spans="1:24" x14ac:dyDescent="0.3">
      <c r="A9" s="112"/>
      <c r="B9" s="258"/>
      <c r="C9" s="258"/>
      <c r="D9" s="258"/>
      <c r="E9" s="258"/>
      <c r="F9" s="258"/>
      <c r="G9" s="258"/>
      <c r="H9" s="258"/>
      <c r="I9" s="258"/>
      <c r="J9" s="258"/>
      <c r="K9" s="258"/>
      <c r="L9" s="112"/>
      <c r="M9" s="261"/>
      <c r="N9" s="261"/>
      <c r="O9" s="261"/>
      <c r="P9" s="261"/>
      <c r="Q9" s="261"/>
      <c r="R9" s="261"/>
      <c r="S9" s="261"/>
      <c r="T9" s="261"/>
      <c r="U9" s="261"/>
      <c r="V9" s="261"/>
    </row>
    <row r="10" spans="1:24" x14ac:dyDescent="0.3">
      <c r="A10" s="112"/>
      <c r="B10" s="258"/>
      <c r="C10" s="258"/>
      <c r="D10" s="258"/>
      <c r="E10" s="258"/>
      <c r="F10" s="258"/>
      <c r="G10" s="258"/>
      <c r="H10" s="258"/>
      <c r="I10" s="258"/>
      <c r="J10" s="258"/>
      <c r="K10" s="258"/>
      <c r="L10" s="112"/>
      <c r="M10" s="261"/>
      <c r="N10" s="261"/>
      <c r="O10" s="261"/>
      <c r="P10" s="261"/>
      <c r="Q10" s="261"/>
      <c r="R10" s="261"/>
      <c r="S10" s="261"/>
      <c r="T10" s="261"/>
      <c r="U10" s="261"/>
      <c r="V10" s="261"/>
    </row>
    <row r="11" spans="1:24" x14ac:dyDescent="0.3">
      <c r="A11" s="112"/>
      <c r="B11" s="258"/>
      <c r="C11" s="258"/>
      <c r="D11" s="258"/>
      <c r="E11" s="258"/>
      <c r="F11" s="258"/>
      <c r="G11" s="258"/>
      <c r="H11" s="258"/>
      <c r="I11" s="258"/>
      <c r="J11" s="258"/>
      <c r="K11" s="258"/>
      <c r="L11" s="112"/>
      <c r="M11" s="261"/>
      <c r="N11" s="261"/>
      <c r="O11" s="261"/>
      <c r="P11" s="261"/>
      <c r="Q11" s="261"/>
      <c r="R11" s="261"/>
      <c r="S11" s="261"/>
      <c r="T11" s="261"/>
      <c r="U11" s="261"/>
      <c r="V11" s="261"/>
    </row>
    <row r="12" spans="1:24" x14ac:dyDescent="0.3">
      <c r="A12" s="112"/>
      <c r="B12" s="258"/>
      <c r="C12" s="258"/>
      <c r="D12" s="258"/>
      <c r="E12" s="258"/>
      <c r="F12" s="258"/>
      <c r="G12" s="258"/>
      <c r="H12" s="258"/>
      <c r="I12" s="258"/>
      <c r="J12" s="258"/>
      <c r="K12" s="258"/>
      <c r="L12" s="112"/>
      <c r="M12" s="261"/>
      <c r="N12" s="261"/>
      <c r="O12" s="261"/>
      <c r="P12" s="261"/>
      <c r="Q12" s="261"/>
      <c r="R12" s="261"/>
      <c r="S12" s="261"/>
      <c r="T12" s="261"/>
      <c r="U12" s="261"/>
      <c r="V12" s="261"/>
    </row>
    <row r="13" spans="1:24" x14ac:dyDescent="0.3">
      <c r="A13" s="112"/>
      <c r="B13" s="258"/>
      <c r="C13" s="258"/>
      <c r="D13" s="258"/>
      <c r="E13" s="258"/>
      <c r="F13" s="258"/>
      <c r="G13" s="258"/>
      <c r="H13" s="258"/>
      <c r="I13" s="258"/>
      <c r="J13" s="258"/>
      <c r="K13" s="258"/>
      <c r="L13" s="112"/>
      <c r="M13" s="261"/>
      <c r="N13" s="261"/>
      <c r="O13" s="261"/>
      <c r="P13" s="261"/>
      <c r="Q13" s="261"/>
      <c r="R13" s="261"/>
      <c r="S13" s="261"/>
      <c r="T13" s="261"/>
      <c r="U13" s="261"/>
      <c r="V13" s="261"/>
    </row>
    <row r="14" spans="1:24" x14ac:dyDescent="0.3">
      <c r="A14" s="112"/>
      <c r="B14" s="258"/>
      <c r="C14" s="258"/>
      <c r="D14" s="258"/>
      <c r="E14" s="258"/>
      <c r="F14" s="258"/>
      <c r="G14" s="258"/>
      <c r="H14" s="258"/>
      <c r="I14" s="258"/>
      <c r="J14" s="258"/>
      <c r="K14" s="258"/>
      <c r="L14" s="112"/>
      <c r="M14" s="261"/>
      <c r="N14" s="261"/>
      <c r="O14" s="261"/>
      <c r="P14" s="261"/>
      <c r="Q14" s="261"/>
      <c r="R14" s="261"/>
      <c r="S14" s="261"/>
      <c r="T14" s="261"/>
      <c r="U14" s="261"/>
      <c r="V14" s="261"/>
    </row>
    <row r="15" spans="1:24" x14ac:dyDescent="0.3">
      <c r="A15" s="112"/>
      <c r="B15" s="258"/>
      <c r="C15" s="258"/>
      <c r="D15" s="258"/>
      <c r="E15" s="258"/>
      <c r="F15" s="258"/>
      <c r="G15" s="258"/>
      <c r="H15" s="258"/>
      <c r="I15" s="258"/>
      <c r="J15" s="258"/>
      <c r="K15" s="258"/>
      <c r="L15" s="112"/>
      <c r="M15" s="261"/>
      <c r="N15" s="261"/>
      <c r="O15" s="261"/>
      <c r="P15" s="261"/>
      <c r="Q15" s="261"/>
      <c r="R15" s="261"/>
      <c r="S15" s="261"/>
      <c r="T15" s="261"/>
      <c r="U15" s="261"/>
      <c r="V15" s="261"/>
    </row>
    <row r="16" spans="1:24" x14ac:dyDescent="0.3">
      <c r="A16" s="112"/>
      <c r="B16" s="258"/>
      <c r="C16" s="258"/>
      <c r="D16" s="258"/>
      <c r="E16" s="258"/>
      <c r="F16" s="258"/>
      <c r="G16" s="258"/>
      <c r="H16" s="258"/>
      <c r="I16" s="258"/>
      <c r="J16" s="258"/>
      <c r="K16" s="258"/>
      <c r="L16" s="112"/>
      <c r="M16" s="261"/>
      <c r="N16" s="261"/>
      <c r="O16" s="261"/>
      <c r="P16" s="261"/>
      <c r="Q16" s="261"/>
      <c r="R16" s="261"/>
      <c r="S16" s="261"/>
      <c r="T16" s="261"/>
      <c r="U16" s="261"/>
      <c r="V16" s="261"/>
    </row>
    <row r="17" spans="1:23" x14ac:dyDescent="0.3">
      <c r="A17" s="112"/>
      <c r="B17" s="258"/>
      <c r="C17" s="258"/>
      <c r="D17" s="258"/>
      <c r="E17" s="258"/>
      <c r="F17" s="258"/>
      <c r="G17" s="258"/>
      <c r="H17" s="258"/>
      <c r="I17" s="258"/>
      <c r="J17" s="258"/>
      <c r="K17" s="258"/>
      <c r="L17" s="112"/>
      <c r="M17" s="261"/>
      <c r="N17" s="261"/>
      <c r="O17" s="261"/>
      <c r="P17" s="261"/>
      <c r="Q17" s="261"/>
      <c r="R17" s="261"/>
      <c r="S17" s="261"/>
      <c r="T17" s="261"/>
      <c r="U17" s="261"/>
      <c r="V17" s="261"/>
    </row>
    <row r="18" spans="1:23" x14ac:dyDescent="0.3">
      <c r="A18" s="112"/>
      <c r="B18" s="258"/>
      <c r="C18" s="258"/>
      <c r="D18" s="258"/>
      <c r="E18" s="258"/>
      <c r="F18" s="258"/>
      <c r="G18" s="258"/>
      <c r="H18" s="258"/>
      <c r="I18" s="258"/>
      <c r="J18" s="258"/>
      <c r="K18" s="258"/>
      <c r="L18" s="112"/>
      <c r="M18" s="261"/>
      <c r="N18" s="261"/>
      <c r="O18" s="261"/>
      <c r="P18" s="261"/>
      <c r="Q18" s="261"/>
      <c r="R18" s="261"/>
      <c r="S18" s="261"/>
      <c r="T18" s="261"/>
      <c r="U18" s="261"/>
      <c r="V18" s="261"/>
    </row>
    <row r="19" spans="1:23" ht="15.75" thickBot="1" x14ac:dyDescent="0.35">
      <c r="A19" s="112"/>
      <c r="B19" s="259"/>
      <c r="C19" s="259"/>
      <c r="D19" s="259"/>
      <c r="E19" s="259"/>
      <c r="F19" s="259"/>
      <c r="G19" s="259"/>
      <c r="H19" s="259"/>
      <c r="I19" s="259"/>
      <c r="J19" s="259"/>
      <c r="K19" s="259"/>
      <c r="L19" s="112"/>
      <c r="M19" s="262"/>
      <c r="N19" s="262"/>
      <c r="O19" s="262"/>
      <c r="P19" s="262"/>
      <c r="Q19" s="262"/>
      <c r="R19" s="262"/>
      <c r="S19" s="262"/>
      <c r="T19" s="262"/>
      <c r="U19" s="262"/>
      <c r="V19" s="262"/>
    </row>
    <row r="20" spans="1:23" ht="15.75" thickTop="1" x14ac:dyDescent="0.3">
      <c r="A20" s="112"/>
      <c r="B20" s="112"/>
      <c r="C20" s="112"/>
      <c r="D20" s="112"/>
      <c r="E20" s="112"/>
      <c r="F20" s="112"/>
      <c r="G20" s="112"/>
      <c r="H20" s="112"/>
      <c r="I20" s="112"/>
      <c r="J20" s="112"/>
      <c r="K20" s="112"/>
      <c r="L20" s="112"/>
      <c r="M20" s="112"/>
      <c r="N20" s="112"/>
      <c r="O20" s="112"/>
      <c r="P20" s="112"/>
      <c r="Q20" s="112"/>
      <c r="R20" s="112"/>
      <c r="S20" s="112"/>
      <c r="T20" s="112"/>
      <c r="U20" s="112"/>
      <c r="V20" s="112"/>
    </row>
    <row r="21" spans="1:23" ht="9" customHeight="1" x14ac:dyDescent="0.3">
      <c r="A21" s="1"/>
      <c r="B21" s="1"/>
      <c r="C21" s="1"/>
      <c r="D21" s="1"/>
      <c r="E21" s="1"/>
      <c r="F21" s="1"/>
      <c r="G21" s="1"/>
      <c r="H21" s="1"/>
      <c r="I21" s="1"/>
      <c r="J21" s="1"/>
      <c r="K21" s="1"/>
      <c r="L21" s="1"/>
      <c r="M21" s="1"/>
      <c r="N21" s="1"/>
      <c r="O21" s="1"/>
      <c r="P21" s="1"/>
      <c r="Q21" s="1"/>
      <c r="R21" s="1"/>
      <c r="S21" s="1"/>
      <c r="T21" s="1"/>
      <c r="U21" s="1"/>
      <c r="V21" s="1"/>
      <c r="W21" s="1"/>
    </row>
    <row r="22" spans="1:23" ht="51" customHeight="1" x14ac:dyDescent="0.3">
      <c r="A22" s="10" t="s">
        <v>175</v>
      </c>
      <c r="B22" s="10"/>
      <c r="C22" s="10"/>
      <c r="D22" s="30"/>
      <c r="E22" s="74"/>
      <c r="F22" s="30"/>
      <c r="G22" s="1"/>
      <c r="H22" s="1"/>
      <c r="I22" s="1"/>
      <c r="J22" s="1"/>
      <c r="K22" s="1"/>
      <c r="L22" s="1"/>
      <c r="M22" s="1"/>
      <c r="N22" s="1"/>
      <c r="O22" s="1"/>
      <c r="P22" s="1"/>
      <c r="Q22" s="1"/>
      <c r="R22" s="1"/>
      <c r="S22" s="1"/>
      <c r="T22" s="1"/>
      <c r="U22" s="1"/>
      <c r="V22" s="1"/>
      <c r="W22" s="1"/>
    </row>
    <row r="23" spans="1:23" ht="8.25" customHeight="1" x14ac:dyDescent="0.3">
      <c r="A23" s="1"/>
      <c r="B23" s="1"/>
      <c r="C23" s="1"/>
      <c r="D23" s="1"/>
      <c r="E23" s="1"/>
      <c r="F23" s="1"/>
      <c r="G23" s="1"/>
      <c r="H23" s="1"/>
      <c r="I23" s="1"/>
      <c r="J23" s="1"/>
      <c r="K23" s="1"/>
      <c r="L23" s="1"/>
      <c r="M23" s="1"/>
      <c r="N23" s="1"/>
      <c r="O23" s="1"/>
      <c r="P23" s="1"/>
      <c r="Q23" s="1"/>
      <c r="R23" s="1"/>
      <c r="S23" s="1"/>
      <c r="T23" s="1"/>
      <c r="U23" s="1"/>
      <c r="V23" s="1"/>
      <c r="W23" s="1"/>
    </row>
    <row r="25" spans="1:23" ht="81.75" customHeight="1" thickBot="1" x14ac:dyDescent="0.35">
      <c r="A25" s="114"/>
      <c r="B25" s="263" t="s">
        <v>176</v>
      </c>
      <c r="C25" s="263"/>
      <c r="D25" s="263"/>
      <c r="E25" s="263"/>
      <c r="F25" s="263"/>
      <c r="G25" s="263"/>
      <c r="H25" s="113"/>
      <c r="I25" s="113"/>
    </row>
    <row r="26" spans="1:23" ht="15.75" thickTop="1" x14ac:dyDescent="0.3">
      <c r="A26" s="113"/>
      <c r="B26" s="113"/>
      <c r="C26" s="113"/>
      <c r="D26" s="113"/>
      <c r="E26" s="113"/>
      <c r="F26" s="113"/>
      <c r="G26" s="113"/>
      <c r="H26" s="113"/>
      <c r="I26" s="113"/>
    </row>
    <row r="27" spans="1:23" x14ac:dyDescent="0.3">
      <c r="A27" s="113"/>
      <c r="B27" s="113"/>
      <c r="C27" s="113"/>
      <c r="D27" s="113"/>
      <c r="E27" s="113"/>
      <c r="F27" s="113"/>
      <c r="G27" s="113"/>
      <c r="H27" s="113"/>
      <c r="I27" s="113"/>
    </row>
    <row r="28" spans="1:23" x14ac:dyDescent="0.3">
      <c r="A28" s="113"/>
      <c r="B28" s="113"/>
      <c r="C28" s="113"/>
      <c r="D28" s="113"/>
      <c r="E28" s="113"/>
      <c r="F28" s="113"/>
      <c r="G28" s="113"/>
      <c r="H28" s="113"/>
      <c r="I28" s="113"/>
    </row>
    <row r="29" spans="1:23" x14ac:dyDescent="0.3">
      <c r="A29" s="113"/>
      <c r="B29" s="113"/>
      <c r="C29" s="113"/>
      <c r="D29" s="113"/>
      <c r="E29" s="113"/>
      <c r="F29" s="113"/>
      <c r="G29" s="113"/>
      <c r="H29" s="113"/>
      <c r="I29" s="113"/>
    </row>
    <row r="30" spans="1:23" x14ac:dyDescent="0.3">
      <c r="A30" s="113"/>
      <c r="B30" s="113"/>
      <c r="C30" s="113"/>
      <c r="D30" s="113"/>
      <c r="E30" s="113"/>
      <c r="F30" s="113"/>
      <c r="G30" s="113"/>
      <c r="H30" s="113"/>
      <c r="I30" s="113"/>
    </row>
    <row r="31" spans="1:23" x14ac:dyDescent="0.3">
      <c r="A31" s="113"/>
      <c r="B31" s="113"/>
      <c r="C31" s="113"/>
      <c r="D31" s="113"/>
      <c r="E31" s="113"/>
      <c r="F31" s="113"/>
      <c r="G31" s="113"/>
      <c r="H31" s="113"/>
      <c r="I31" s="113"/>
    </row>
    <row r="32" spans="1:23" x14ac:dyDescent="0.3">
      <c r="A32" s="113"/>
      <c r="B32" s="113"/>
      <c r="C32" s="113"/>
      <c r="D32" s="113"/>
      <c r="E32" s="113"/>
      <c r="F32" s="113"/>
      <c r="G32" s="113"/>
      <c r="H32" s="113"/>
      <c r="I32" s="113"/>
    </row>
    <row r="33" spans="1:9" x14ac:dyDescent="0.3">
      <c r="A33" s="114"/>
      <c r="B33" s="114"/>
      <c r="C33" s="114"/>
      <c r="D33" s="114"/>
      <c r="E33" s="114"/>
      <c r="F33" s="114"/>
      <c r="G33" s="114"/>
      <c r="H33" s="114"/>
      <c r="I33" s="114"/>
    </row>
  </sheetData>
  <mergeCells count="4">
    <mergeCell ref="B5:K19"/>
    <mergeCell ref="M5:V19"/>
    <mergeCell ref="B25:G25"/>
    <mergeCell ref="M2:T2"/>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8">
    <tabColor rgb="FF002060"/>
  </sheetPr>
  <dimension ref="A1:W174"/>
  <sheetViews>
    <sheetView topLeftCell="A6" zoomScaleNormal="100" workbookViewId="0">
      <selection activeCell="B13" sqref="B13"/>
    </sheetView>
  </sheetViews>
  <sheetFormatPr defaultRowHeight="15" x14ac:dyDescent="0.3"/>
  <cols>
    <col min="1" max="1" width="4.5" style="24" customWidth="1"/>
    <col min="2" max="2" width="18.25" style="24" customWidth="1"/>
    <col min="3" max="3" width="9.125" style="24" customWidth="1"/>
    <col min="4" max="4" width="19.25" style="24" customWidth="1"/>
    <col min="5" max="5" width="16.75" style="24" customWidth="1"/>
    <col min="6" max="6" width="27.25" style="24" customWidth="1"/>
    <col min="7" max="7" width="5.75" style="24" customWidth="1"/>
    <col min="8" max="8" width="10.5" style="24" customWidth="1"/>
    <col min="9" max="9" width="18.125" style="24" bestFit="1" customWidth="1"/>
    <col min="10" max="10" width="36.625" style="24" customWidth="1"/>
    <col min="11" max="11" width="19.25" style="24" customWidth="1"/>
    <col min="12" max="12" width="16.75" style="24" customWidth="1"/>
    <col min="13" max="13" width="4.375" style="24" customWidth="1"/>
    <col min="14" max="14" width="7.75" style="24" customWidth="1"/>
    <col min="15" max="16" width="9.375" style="24" bestFit="1" customWidth="1"/>
    <col min="17" max="17" width="14.5" style="24" bestFit="1" customWidth="1"/>
    <col min="18" max="18" width="9.25" style="24" bestFit="1" customWidth="1"/>
    <col min="19" max="19" width="4.25" style="24" customWidth="1"/>
    <col min="20" max="20" width="9.25" style="24" bestFit="1" customWidth="1"/>
    <col min="21" max="22" width="4.25" style="24" customWidth="1"/>
    <col min="23" max="23" width="9.25" style="24" bestFit="1" customWidth="1"/>
    <col min="24" max="25" width="9.375" style="24" bestFit="1" customWidth="1"/>
    <col min="26" max="26" width="14.5" style="24" bestFit="1" customWidth="1"/>
    <col min="27" max="27" width="9.25" style="24" bestFit="1" customWidth="1"/>
    <col min="28" max="28" width="4.25" style="24" customWidth="1"/>
    <col min="29" max="29" width="9.25" style="24" bestFit="1" customWidth="1"/>
    <col min="30" max="30" width="9.125" style="24" bestFit="1" customWidth="1"/>
    <col min="31" max="33" width="4.25" style="24" customWidth="1"/>
    <col min="34" max="34" width="9.25" style="24" bestFit="1" customWidth="1"/>
    <col min="35" max="36" width="4.25" style="24" customWidth="1"/>
    <col min="37" max="38" width="9.25" style="24" bestFit="1" customWidth="1"/>
    <col min="39" max="40" width="4.25" style="24" customWidth="1"/>
    <col min="41" max="41" width="9.25" style="24" bestFit="1" customWidth="1"/>
    <col min="42" max="42" width="9.375" style="24" bestFit="1" customWidth="1"/>
    <col min="43" max="43" width="14.5" style="24" bestFit="1" customWidth="1"/>
    <col min="44" max="44" width="9.25" style="24" bestFit="1" customWidth="1"/>
    <col min="45" max="16384" width="9" style="24"/>
  </cols>
  <sheetData>
    <row r="1" spans="1:23" ht="9" customHeight="1" x14ac:dyDescent="0.3">
      <c r="A1" s="1"/>
      <c r="B1" s="1"/>
      <c r="C1" s="1"/>
      <c r="D1" s="1"/>
      <c r="E1" s="1"/>
      <c r="F1" s="1"/>
      <c r="G1" s="1"/>
      <c r="H1" s="1"/>
      <c r="I1" s="1"/>
      <c r="J1" s="1"/>
      <c r="K1" s="1"/>
      <c r="L1" s="1"/>
      <c r="M1" s="1"/>
      <c r="N1" s="1"/>
      <c r="O1" s="1"/>
      <c r="P1" s="1"/>
      <c r="Q1" s="1"/>
      <c r="R1" s="1"/>
      <c r="S1" s="1"/>
      <c r="T1" s="1"/>
      <c r="U1" s="1"/>
      <c r="V1" s="1"/>
      <c r="W1" s="1"/>
    </row>
    <row r="2" spans="1:23" ht="51" customHeight="1" x14ac:dyDescent="0.3">
      <c r="A2" s="10" t="s">
        <v>186</v>
      </c>
      <c r="B2" s="10"/>
      <c r="C2" s="10"/>
      <c r="D2" s="10"/>
      <c r="E2" s="10"/>
      <c r="F2" s="10"/>
      <c r="G2" s="74"/>
      <c r="H2" s="1"/>
      <c r="I2" s="1"/>
      <c r="J2" s="1"/>
      <c r="K2" s="1"/>
      <c r="L2" s="1"/>
      <c r="M2" s="1"/>
      <c r="N2" s="1"/>
      <c r="O2" s="1"/>
      <c r="P2" s="1"/>
      <c r="Q2" s="1"/>
      <c r="R2" s="1"/>
      <c r="S2" s="1"/>
      <c r="T2" s="1"/>
      <c r="U2" s="1"/>
      <c r="V2" s="1"/>
      <c r="W2" s="1"/>
    </row>
    <row r="3" spans="1:23" ht="9" customHeight="1" x14ac:dyDescent="0.3">
      <c r="A3" s="1"/>
      <c r="B3" s="1"/>
      <c r="C3" s="1"/>
      <c r="D3" s="1"/>
      <c r="E3" s="1"/>
      <c r="F3" s="1"/>
      <c r="G3" s="1"/>
      <c r="H3" s="1"/>
      <c r="I3" s="1"/>
      <c r="J3" s="1"/>
      <c r="K3" s="1"/>
      <c r="L3" s="1"/>
      <c r="M3" s="1"/>
      <c r="N3" s="1"/>
      <c r="O3" s="1"/>
      <c r="P3" s="1"/>
      <c r="Q3" s="1"/>
      <c r="R3" s="1"/>
      <c r="S3" s="1"/>
      <c r="T3" s="1"/>
      <c r="U3" s="1"/>
      <c r="V3" s="1"/>
      <c r="W3" s="1"/>
    </row>
    <row r="4" spans="1:23" ht="9" customHeight="1" x14ac:dyDescent="0.3"/>
    <row r="5" spans="1:23" ht="60.75" customHeight="1" thickBot="1" x14ac:dyDescent="0.35">
      <c r="B5" s="264" t="s">
        <v>208</v>
      </c>
      <c r="C5" s="264"/>
      <c r="D5" s="264"/>
      <c r="E5" s="264"/>
    </row>
    <row r="6" spans="1:23" ht="9.75" customHeight="1" thickTop="1" x14ac:dyDescent="0.3"/>
    <row r="7" spans="1:23" ht="9" customHeight="1" x14ac:dyDescent="0.3">
      <c r="A7" s="1"/>
      <c r="B7" s="1"/>
      <c r="C7" s="1"/>
      <c r="D7" s="1"/>
      <c r="E7" s="1"/>
      <c r="F7" s="1"/>
      <c r="G7" s="1"/>
      <c r="H7" s="1"/>
      <c r="I7" s="1"/>
      <c r="J7" s="1"/>
      <c r="K7" s="1"/>
      <c r="L7" s="1"/>
      <c r="M7" s="1"/>
      <c r="N7" s="1"/>
      <c r="O7" s="1"/>
      <c r="P7" s="1"/>
      <c r="Q7" s="1"/>
      <c r="R7" s="1"/>
      <c r="S7" s="1"/>
      <c r="T7" s="1"/>
      <c r="U7" s="1"/>
      <c r="V7" s="1"/>
      <c r="W7" s="1"/>
    </row>
    <row r="8" spans="1:23" ht="51" customHeight="1" x14ac:dyDescent="0.3">
      <c r="A8" s="10" t="s">
        <v>189</v>
      </c>
      <c r="B8" s="10"/>
      <c r="C8" s="1"/>
      <c r="D8" s="1"/>
      <c r="E8" s="1"/>
      <c r="F8" s="6"/>
      <c r="G8" s="265" t="s">
        <v>190</v>
      </c>
      <c r="H8" s="266"/>
      <c r="I8" s="266"/>
      <c r="J8" s="266"/>
      <c r="K8" s="266"/>
      <c r="L8" s="266"/>
      <c r="M8" s="122"/>
      <c r="N8" s="265"/>
      <c r="O8" s="266"/>
      <c r="P8" s="266"/>
      <c r="Q8" s="266"/>
      <c r="R8" s="266"/>
      <c r="S8" s="266"/>
      <c r="T8" s="266"/>
      <c r="U8" s="1"/>
      <c r="V8" s="1"/>
      <c r="W8" s="1"/>
    </row>
    <row r="9" spans="1:23" ht="9" customHeight="1" x14ac:dyDescent="0.3">
      <c r="A9" s="1"/>
      <c r="B9" s="1"/>
      <c r="C9" s="1"/>
      <c r="D9" s="1"/>
      <c r="E9" s="1"/>
      <c r="F9" s="1"/>
      <c r="G9" s="1"/>
      <c r="H9" s="1"/>
      <c r="I9" s="1"/>
      <c r="J9" s="1"/>
      <c r="K9" s="1"/>
      <c r="L9" s="1"/>
      <c r="M9" s="1"/>
      <c r="N9" s="1"/>
      <c r="O9" s="1"/>
      <c r="P9" s="1"/>
      <c r="Q9" s="1"/>
      <c r="R9" s="1"/>
      <c r="S9" s="1"/>
      <c r="T9" s="1"/>
      <c r="U9" s="1"/>
      <c r="V9" s="1"/>
      <c r="W9" s="1"/>
    </row>
    <row r="10" spans="1:23" ht="23.25" x14ac:dyDescent="0.3">
      <c r="A10" s="116"/>
      <c r="B10" s="116"/>
      <c r="C10" s="116"/>
      <c r="D10" s="116"/>
    </row>
    <row r="11" spans="1:23" ht="20.25" x14ac:dyDescent="0.3">
      <c r="A11" s="24" t="s">
        <v>80</v>
      </c>
      <c r="B11" s="24">
        <f>COUNTIF($B$16:$B$148,"?*")</f>
        <v>13</v>
      </c>
      <c r="D11" s="118" t="s">
        <v>188</v>
      </c>
      <c r="G11" s="117"/>
    </row>
    <row r="12" spans="1:23" x14ac:dyDescent="0.3">
      <c r="C12" s="24" t="s">
        <v>196</v>
      </c>
      <c r="D12" s="24" t="s">
        <v>193</v>
      </c>
      <c r="G12" s="117"/>
    </row>
    <row r="13" spans="1:23" x14ac:dyDescent="0.3">
      <c r="C13" s="24" t="s">
        <v>196</v>
      </c>
      <c r="D13" s="24" t="s">
        <v>195</v>
      </c>
      <c r="G13" s="117"/>
    </row>
    <row r="14" spans="1:23" x14ac:dyDescent="0.3">
      <c r="C14" s="24" t="s">
        <v>196</v>
      </c>
      <c r="D14" s="24" t="s">
        <v>194</v>
      </c>
      <c r="G14" s="117"/>
    </row>
    <row r="15" spans="1:23" ht="13.5" customHeight="1" x14ac:dyDescent="0.3">
      <c r="C15" s="24" t="s">
        <v>196</v>
      </c>
      <c r="D15" s="24" t="s">
        <v>179</v>
      </c>
      <c r="F15" s="118" t="s">
        <v>187</v>
      </c>
      <c r="H15" s="119" t="s">
        <v>6</v>
      </c>
      <c r="I15" s="24" t="s">
        <v>30</v>
      </c>
      <c r="J15" s="24" t="s">
        <v>46</v>
      </c>
      <c r="K15" s="121" t="s">
        <v>62</v>
      </c>
      <c r="L15" s="121" t="s">
        <v>66</v>
      </c>
      <c r="M15" s="120"/>
    </row>
    <row r="16" spans="1:23" x14ac:dyDescent="0.3">
      <c r="B16" s="24" t="str">
        <f>IFERROR(IF(Program=Spec[[#This Row],[PROGRAM]],Spec[[#This Row],[INRIKTNING]],""),"")</f>
        <v/>
      </c>
      <c r="C16" s="24">
        <f>ROWS('Program och examenskrav'!F26:Spec[[#Headers],[INRIKTNING]])</f>
        <v>1</v>
      </c>
      <c r="D16" s="24" t="str">
        <f t="array" ref="D16">IF(ROWS($D$16:D16)&gt;$B$11,"",INDEX($B$16:$B$149,SMALL(IF($B$16:$B$149&lt;&gt;"",ROW($B$16:$B$149)-ROW($D$16)+1),ROWS(D$16:D16))))</f>
        <v>Datateknik</v>
      </c>
      <c r="H16" s="24">
        <v>1</v>
      </c>
      <c r="K16" s="120">
        <v>4</v>
      </c>
      <c r="L16" s="120">
        <v>30</v>
      </c>
      <c r="M16" s="120"/>
    </row>
    <row r="17" spans="2:13" x14ac:dyDescent="0.3">
      <c r="B17" s="24" t="str">
        <f>IFERROR(IF(Program=Spec[[#This Row],[PROGRAM]],Spec[[#This Row],[INRIKTNING]],""),"")</f>
        <v/>
      </c>
      <c r="C17" s="24">
        <f>ROWS('Program och examenskrav'!F27:Spec[[#Headers],[INRIKTNING]])</f>
        <v>2</v>
      </c>
      <c r="D17" s="24" t="str">
        <f t="array" ref="D17">IF(ROWS($D$16:D17)&gt;$B$11,"",INDEX($B$16:$B$149,SMALL(IF($B$16:$B$149&lt;&gt;"",ROW($B$16:$B$149)-ROW($D$16)+1),ROWS(D$16:D17))))</f>
        <v>Systemteknik</v>
      </c>
      <c r="I17" s="24" t="s">
        <v>956</v>
      </c>
      <c r="K17" s="120">
        <v>1</v>
      </c>
      <c r="L17" s="120">
        <v>6</v>
      </c>
      <c r="M17" s="120"/>
    </row>
    <row r="18" spans="2:13" x14ac:dyDescent="0.3">
      <c r="B18" s="24" t="str">
        <f>IFERROR(IF(Program=Spec[[#This Row],[PROGRAM]],Spec[[#This Row],[INRIKTNING]],""),"")</f>
        <v/>
      </c>
      <c r="C18" s="24">
        <f>ROWS('Program och examenskrav'!F28:Spec[[#Headers],[INRIKTNING]])</f>
        <v>3</v>
      </c>
      <c r="D18" s="24" t="str">
        <f t="array" ref="D18">IF(ROWS($D$16:D18)&gt;$B$11,"",INDEX($B$16:$B$149,SMALL(IF($B$16:$B$149&lt;&gt;"",ROW($B$16:$B$149)-ROW($D$16)+1),ROWS(D$16:D18))))</f>
        <v>Maskinteknik</v>
      </c>
      <c r="J18" s="24" t="s">
        <v>957</v>
      </c>
      <c r="K18" s="120">
        <v>1</v>
      </c>
      <c r="L18" s="120">
        <v>6</v>
      </c>
      <c r="M18" s="120"/>
    </row>
    <row r="19" spans="2:13" x14ac:dyDescent="0.3">
      <c r="B19" s="24" t="str">
        <f>IFERROR(IF(Program=Spec[[#This Row],[PROGRAM]],Spec[[#This Row],[INRIKTNING]],""),"")</f>
        <v/>
      </c>
      <c r="C19" s="24">
        <f>ROWS('Program och examenskrav'!F29:Spec[[#Headers],[INRIKTNING]])</f>
        <v>4</v>
      </c>
      <c r="D19" s="24" t="str">
        <f t="array" ref="D19">IF(ROWS($D$16:D19)&gt;$B$11,"",INDEX($B$16:$B$149,SMALL(IF($B$16:$B$149&lt;&gt;"",ROW($B$16:$B$149)-ROW($D$16)+1),ROWS(D$16:D19))))</f>
        <v>Energiteknik</v>
      </c>
      <c r="K19" s="120"/>
      <c r="L19" s="120"/>
      <c r="M19" s="120"/>
    </row>
    <row r="20" spans="2:13" x14ac:dyDescent="0.3">
      <c r="B20" s="24" t="str">
        <f>IFERROR(IF(Program=Spec[[#This Row],[PROGRAM]],Spec[[#This Row],[INRIKTNING]],""),"")</f>
        <v/>
      </c>
      <c r="C20" s="24">
        <f>ROWS('Program och examenskrav'!F30:Spec[[#Headers],[INRIKTNING]])</f>
        <v>5</v>
      </c>
      <c r="D20" s="24" t="str">
        <f t="array" ref="D20">IF(ROWS($D$16:D20)&gt;$B$11,"",INDEX($B$16:$B$149,SMALL(IF($B$16:$B$149&lt;&gt;"",ROW($B$16:$B$149)-ROW($D$16)+1),ROWS(D$16:D20))))</f>
        <v>Bioteknik</v>
      </c>
      <c r="I20" s="24" t="s">
        <v>914</v>
      </c>
      <c r="K20" s="120">
        <v>2</v>
      </c>
      <c r="L20" s="120">
        <v>18</v>
      </c>
      <c r="M20" s="120"/>
    </row>
    <row r="21" spans="2:13" x14ac:dyDescent="0.3">
      <c r="B21" s="24" t="str">
        <f>IFERROR(IF(Program=Spec[[#This Row],[PROGRAM]],Spec[[#This Row],[INRIKTNING]],""),"")</f>
        <v/>
      </c>
      <c r="C21" s="24">
        <f>ROWS('Program och examenskrav'!F31:Spec[[#Headers],[INRIKTNING]])</f>
        <v>6</v>
      </c>
      <c r="D21" s="24" t="str">
        <f t="array" ref="D21">IF(ROWS($D$16:D21)&gt;$B$11,"",INDEX($B$16:$B$149,SMALL(IF($B$16:$B$149&lt;&gt;"",ROW($B$16:$B$149)-ROW($D$16)+1),ROWS(D$16:D21))))</f>
        <v>Finans</v>
      </c>
      <c r="J21" s="24" t="s">
        <v>958</v>
      </c>
      <c r="K21" s="120">
        <v>1</v>
      </c>
      <c r="L21" s="120">
        <v>8</v>
      </c>
      <c r="M21" s="120"/>
    </row>
    <row r="22" spans="2:13" x14ac:dyDescent="0.3">
      <c r="B22" s="24" t="str">
        <f>IFERROR(IF(Program=Spec[[#This Row],[PROGRAM]],Spec[[#This Row],[INRIKTNING]],""),"")</f>
        <v/>
      </c>
      <c r="C22" s="24">
        <f>ROWS('Program och examenskrav'!F32:Spec[[#Headers],[INRIKTNING]])</f>
        <v>7</v>
      </c>
      <c r="D22" s="24" t="str">
        <f t="array" ref="D22">IF(ROWS($D$16:D22)&gt;$B$11,"",INDEX($B$16:$B$149,SMALL(IF($B$16:$B$149&lt;&gt;"",ROW($B$16:$B$149)-ROW($D$16)+1),ROWS(D$16:D22))))</f>
        <v>Ekonomiska informationssystem</v>
      </c>
      <c r="J22" s="24" t="s">
        <v>959</v>
      </c>
      <c r="K22" s="120">
        <v>1</v>
      </c>
      <c r="L22" s="120">
        <v>10</v>
      </c>
      <c r="M22" s="120"/>
    </row>
    <row r="23" spans="2:13" x14ac:dyDescent="0.3">
      <c r="B23" s="24" t="str">
        <f>IFERROR(IF(Program=Spec[[#This Row],[PROGRAM]],Spec[[#This Row],[INRIKTNING]],""),"")</f>
        <v/>
      </c>
      <c r="C23" s="24">
        <f>ROWS('Program och examenskrav'!F33:Spec[[#Headers],[INRIKTNING]])</f>
        <v>8</v>
      </c>
      <c r="D23" s="24" t="str">
        <f t="array" ref="D23">IF(ROWS($D$16:D23)&gt;$B$11,"",INDEX($B$16:$B$149,SMALL(IF($B$16:$B$149&lt;&gt;"",ROW($B$16:$B$149)-ROW($D$16)+1),ROWS(D$16:D23))))</f>
        <v>Industriell marknadsföring</v>
      </c>
      <c r="K23" s="120"/>
      <c r="L23" s="120"/>
      <c r="M23" s="120"/>
    </row>
    <row r="24" spans="2:13" x14ac:dyDescent="0.3">
      <c r="B24" s="24" t="str">
        <f>IFERROR(IF(Program=Spec[[#This Row],[PROGRAM]],Spec[[#This Row],[INRIKTNING]],""),"")</f>
        <v/>
      </c>
      <c r="C24" s="24">
        <f>ROWS('Program och examenskrav'!F34:Spec[[#Headers],[INRIKTNING]])</f>
        <v>9</v>
      </c>
      <c r="D24" s="24" t="str">
        <f t="array" ref="D24">IF(ROWS($D$16:D24)&gt;$B$11,"",INDEX($B$16:$B$149,SMALL(IF($B$16:$B$149&lt;&gt;"",ROW($B$16:$B$149)-ROW($D$16)+1),ROWS(D$16:D24))))</f>
        <v>Kvalitets- och verksamhetsutveckling</v>
      </c>
      <c r="I24" s="24" t="s">
        <v>911</v>
      </c>
      <c r="K24" s="120">
        <v>1</v>
      </c>
      <c r="L24" s="120">
        <v>6</v>
      </c>
      <c r="M24" s="120"/>
    </row>
    <row r="25" spans="2:13" x14ac:dyDescent="0.3">
      <c r="B25" s="24" t="str">
        <f>IFERROR(IF(Program=Spec[[#This Row],[PROGRAM]],Spec[[#This Row],[INRIKTNING]],""),"")</f>
        <v/>
      </c>
      <c r="C25" s="24">
        <f>ROWS('Program och examenskrav'!F35:Spec[[#Headers],[INRIKTNING]])</f>
        <v>10</v>
      </c>
      <c r="D25" s="24" t="str">
        <f t="array" ref="D25">IF(ROWS($D$16:D25)&gt;$B$11,"",INDEX($B$16:$B$149,SMALL(IF($B$16:$B$149&lt;&gt;"",ROW($B$16:$B$149)-ROW($D$16)+1),ROWS(D$16:D25))))</f>
        <v>Logistik</v>
      </c>
      <c r="J25" s="24" t="s">
        <v>921</v>
      </c>
      <c r="K25" s="120">
        <v>1</v>
      </c>
      <c r="L25" s="120">
        <v>6</v>
      </c>
      <c r="M25" s="120"/>
    </row>
    <row r="26" spans="2:13" x14ac:dyDescent="0.3">
      <c r="B26" s="24" t="str">
        <f>IFERROR(IF(Program=Spec[[#This Row],[PROGRAM]],Spec[[#This Row],[INRIKTNING]],""),"")</f>
        <v/>
      </c>
      <c r="C26" s="24">
        <f>ROWS('Program och examenskrav'!F36:Spec[[#Headers],[INRIKTNING]])</f>
        <v>11</v>
      </c>
      <c r="D26" s="24" t="str">
        <f t="array" ref="D26">IF(ROWS($D$16:D26)&gt;$B$11,"",INDEX($B$16:$B$149,SMALL(IF($B$16:$B$149&lt;&gt;"",ROW($B$16:$B$149)-ROW($D$16)+1),ROWS(D$16:D26))))</f>
        <v>Produktionsledning</v>
      </c>
      <c r="K26" s="120"/>
      <c r="L26" s="120"/>
      <c r="M26" s="120"/>
    </row>
    <row r="27" spans="2:13" x14ac:dyDescent="0.3">
      <c r="B27" s="24" t="str">
        <f>IFERROR(IF(Program=Spec[[#This Row],[PROGRAM]],Spec[[#This Row],[INRIKTNING]],""),"")</f>
        <v>Datateknik</v>
      </c>
      <c r="C27" s="24">
        <f>ROWS('Program och examenskrav'!F37:Spec[[#Headers],[INRIKTNING]])</f>
        <v>12</v>
      </c>
      <c r="D27" s="24" t="str">
        <f t="array" ref="D27">IF(ROWS($D$16:D27)&gt;$B$11,"",INDEX($B$16:$B$149,SMALL(IF($B$16:$B$149&lt;&gt;"",ROW($B$16:$B$149)-ROW($D$16)+1),ROWS(D$16:D27))))</f>
        <v>Projekt, innovation och entreprenörskap</v>
      </c>
      <c r="H27" s="24">
        <v>2</v>
      </c>
      <c r="K27" s="120">
        <v>5</v>
      </c>
      <c r="L27" s="120">
        <v>30</v>
      </c>
      <c r="M27" s="120"/>
    </row>
    <row r="28" spans="2:13" x14ac:dyDescent="0.3">
      <c r="B28" s="24" t="str">
        <f>IFERROR(IF(Program=Spec[[#This Row],[PROGRAM]],Spec[[#This Row],[INRIKTNING]],""),"")</f>
        <v>Systemteknik</v>
      </c>
      <c r="C28" s="24">
        <f>ROWS('Program och examenskrav'!F38:Spec[[#Headers],[INRIKTNING]])</f>
        <v>13</v>
      </c>
      <c r="D28" s="24" t="str">
        <f t="array" ref="D28">IF(ROWS($D$16:D28)&gt;$B$11,"",INDEX($B$16:$B$149,SMALL(IF($B$16:$B$149&lt;&gt;"",ROW($B$16:$B$149)-ROW($D$16)+1),ROWS(D$16:D28))))</f>
        <v>Strategi och styrning</v>
      </c>
      <c r="I28" s="24" t="s">
        <v>911</v>
      </c>
      <c r="K28" s="120">
        <v>1</v>
      </c>
      <c r="L28" s="120">
        <v>8</v>
      </c>
      <c r="M28" s="120"/>
    </row>
    <row r="29" spans="2:13" x14ac:dyDescent="0.3">
      <c r="B29" s="24" t="str">
        <f>IFERROR(IF(Program=Spec[[#This Row],[PROGRAM]],Spec[[#This Row],[INRIKTNING]],""),"")</f>
        <v>Maskinteknik</v>
      </c>
      <c r="C29" s="24">
        <f>ROWS('Program och examenskrav'!F39:Spec[[#Headers],[INRIKTNING]])</f>
        <v>14</v>
      </c>
      <c r="D29" s="24" t="str">
        <f t="array" ref="D29">IF(ROWS($D$16:D29)&gt;$B$11,"",INDEX($B$16:$B$149,SMALL(IF($B$16:$B$149&lt;&gt;"",ROW($B$16:$B$149)-ROW($D$16)+1),ROWS(D$16:D29))))</f>
        <v/>
      </c>
      <c r="J29" s="24" t="s">
        <v>911</v>
      </c>
      <c r="K29" s="120">
        <v>1</v>
      </c>
      <c r="L29" s="120">
        <v>8</v>
      </c>
      <c r="M29" s="120"/>
    </row>
    <row r="30" spans="2:13" x14ac:dyDescent="0.3">
      <c r="B30" s="24" t="str">
        <f>IFERROR(IF(Program=Spec[[#This Row],[PROGRAM]],Spec[[#This Row],[INRIKTNING]],""),"")</f>
        <v>Energiteknik</v>
      </c>
      <c r="C30" s="24">
        <f>ROWS('Program och examenskrav'!F40:Spec[[#Headers],[INRIKTNING]])</f>
        <v>15</v>
      </c>
      <c r="D30" s="24" t="str">
        <f t="array" ref="D30">IF(ROWS($D$16:D30)&gt;$B$11,"",INDEX($B$16:$B$149,SMALL(IF($B$16:$B$149&lt;&gt;"",ROW($B$16:$B$149)-ROW($D$16)+1),ROWS(D$16:D30))))</f>
        <v/>
      </c>
      <c r="K30" s="120"/>
      <c r="L30" s="120"/>
      <c r="M30" s="120"/>
    </row>
    <row r="31" spans="2:13" x14ac:dyDescent="0.3">
      <c r="B31" s="24" t="str">
        <f>IFERROR(IF(Program=Spec[[#This Row],[PROGRAM]],Spec[[#This Row],[INRIKTNING]],""),"")</f>
        <v>Bioteknik</v>
      </c>
      <c r="C31" s="24">
        <f>ROWS('Program och examenskrav'!F41:Spec[[#Headers],[INRIKTNING]])</f>
        <v>16</v>
      </c>
      <c r="D31" s="24" t="str">
        <f t="array" ref="D31">IF(ROWS($D$16:D31)&gt;$B$11,"",INDEX($B$16:$B$149,SMALL(IF($B$16:$B$149&lt;&gt;"",ROW($B$16:$B$149)-ROW($D$16)+1),ROWS(D$16:D31))))</f>
        <v/>
      </c>
      <c r="I31" s="24" t="s">
        <v>906</v>
      </c>
      <c r="K31" s="120">
        <v>1</v>
      </c>
      <c r="L31" s="120">
        <v>6</v>
      </c>
      <c r="M31" s="120"/>
    </row>
    <row r="32" spans="2:13" x14ac:dyDescent="0.3">
      <c r="B32" s="24" t="str">
        <f>IFERROR(IF(Program=Spec[[#This Row],[PROGRAM]],Spec[[#This Row],[INRIKTNING]],""),"")</f>
        <v>Finans</v>
      </c>
      <c r="C32" s="24">
        <f>ROWS('Program och examenskrav'!F42:Spec[[#Headers],[INRIKTNING]])</f>
        <v>17</v>
      </c>
      <c r="D32" s="24" t="str">
        <f t="array" ref="D32">IF(ROWS($D$16:D32)&gt;$B$11,"",INDEX($B$16:$B$149,SMALL(IF($B$16:$B$149&lt;&gt;"",ROW($B$16:$B$149)-ROW($D$16)+1),ROWS(D$16:D32))))</f>
        <v/>
      </c>
      <c r="J32" s="24" t="s">
        <v>911</v>
      </c>
      <c r="K32" s="120">
        <v>1</v>
      </c>
      <c r="L32" s="120">
        <v>6</v>
      </c>
      <c r="M32" s="120"/>
    </row>
    <row r="33" spans="2:13" x14ac:dyDescent="0.3">
      <c r="B33" s="24" t="str">
        <f>IFERROR(IF(Program=Spec[[#This Row],[PROGRAM]],Spec[[#This Row],[INRIKTNING]],""),"")</f>
        <v/>
      </c>
      <c r="C33" s="24">
        <f>ROWS('Program och examenskrav'!F43:Spec[[#Headers],[INRIKTNING]])</f>
        <v>18</v>
      </c>
      <c r="D33" s="24" t="str">
        <f t="array" ref="D33">IF(ROWS($D$16:D33)&gt;$B$11,"",INDEX($B$16:$B$149,SMALL(IF($B$16:$B$149&lt;&gt;"",ROW($B$16:$B$149)-ROW($D$16)+1),ROWS(D$16:D33))))</f>
        <v/>
      </c>
      <c r="K33" s="120"/>
      <c r="L33" s="120"/>
      <c r="M33" s="120"/>
    </row>
    <row r="34" spans="2:13" x14ac:dyDescent="0.3">
      <c r="B34" s="24" t="str">
        <f>IFERROR(IF(Program=Spec[[#This Row],[PROGRAM]],Spec[[#This Row],[INRIKTNING]],""),"")</f>
        <v/>
      </c>
      <c r="C34" s="24">
        <f>ROWS('Program och examenskrav'!F44:Spec[[#Headers],[INRIKTNING]])</f>
        <v>19</v>
      </c>
      <c r="D34" s="24" t="str">
        <f t="array" ref="D34">IF(ROWS($D$16:D34)&gt;$B$11,"",INDEX($B$16:$B$149,SMALL(IF($B$16:$B$149&lt;&gt;"",ROW($B$16:$B$149)-ROW($D$16)+1),ROWS(D$16:D34))))</f>
        <v/>
      </c>
      <c r="I34" s="24" t="s">
        <v>899</v>
      </c>
      <c r="K34" s="120">
        <v>1</v>
      </c>
      <c r="L34" s="120">
        <v>8</v>
      </c>
      <c r="M34" s="120"/>
    </row>
    <row r="35" spans="2:13" x14ac:dyDescent="0.3">
      <c r="B35" s="24" t="str">
        <f>IFERROR(IF(Program=Spec[[#This Row],[PROGRAM]],Spec[[#This Row],[INRIKTNING]],""),"")</f>
        <v/>
      </c>
      <c r="C35" s="24">
        <f>ROWS('Program och examenskrav'!F45:Spec[[#Headers],[INRIKTNING]])</f>
        <v>20</v>
      </c>
      <c r="D35" s="24" t="str">
        <f t="array" ref="D35">IF(ROWS($D$16:D35)&gt;$B$11,"",INDEX($B$16:$B$149,SMALL(IF($B$16:$B$149&lt;&gt;"",ROW($B$16:$B$149)-ROW($D$16)+1),ROWS(D$16:D35))))</f>
        <v/>
      </c>
      <c r="J35" s="24" t="s">
        <v>960</v>
      </c>
      <c r="K35" s="120">
        <v>1</v>
      </c>
      <c r="L35" s="120">
        <v>8</v>
      </c>
      <c r="M35" s="120"/>
    </row>
    <row r="36" spans="2:13" x14ac:dyDescent="0.3">
      <c r="B36" s="24" t="str">
        <f>IFERROR(IF(Program=Spec[[#This Row],[PROGRAM]],Spec[[#This Row],[INRIKTNING]],""),"")</f>
        <v/>
      </c>
      <c r="C36" s="24">
        <f>ROWS('Program och examenskrav'!F46:Spec[[#Headers],[INRIKTNING]])</f>
        <v>21</v>
      </c>
      <c r="D36" s="24" t="str">
        <f t="array" ref="D36">IF(ROWS($D$16:D36)&gt;$B$11,"",INDEX($B$16:$B$149,SMALL(IF($B$16:$B$149&lt;&gt;"",ROW($B$16:$B$149)-ROW($D$16)+1),ROWS(D$16:D36))))</f>
        <v/>
      </c>
      <c r="K36" s="120"/>
      <c r="L36" s="120"/>
      <c r="M36" s="120"/>
    </row>
    <row r="37" spans="2:13" x14ac:dyDescent="0.3">
      <c r="B37" s="24" t="str">
        <f>IFERROR(IF(Program=Spec[[#This Row],[PROGRAM]],Spec[[#This Row],[INRIKTNING]],""),"")</f>
        <v/>
      </c>
      <c r="C37" s="24">
        <f>ROWS('Program och examenskrav'!F47:Spec[[#Headers],[INRIKTNING]])</f>
        <v>22</v>
      </c>
      <c r="D37" s="24" t="str">
        <f t="array" ref="D37">IF(ROWS($D$16:D37)&gt;$B$11,"",INDEX($B$16:$B$149,SMALL(IF($B$16:$B$149&lt;&gt;"",ROW($B$16:$B$149)-ROW($D$16)+1),ROWS(D$16:D37))))</f>
        <v/>
      </c>
      <c r="I37" s="24" t="s">
        <v>889</v>
      </c>
      <c r="K37" s="120">
        <v>1</v>
      </c>
      <c r="L37" s="120">
        <v>6</v>
      </c>
      <c r="M37" s="120"/>
    </row>
    <row r="38" spans="2:13" x14ac:dyDescent="0.3">
      <c r="B38" s="24" t="str">
        <f>IFERROR(IF(Program=Spec[[#This Row],[PROGRAM]],Spec[[#This Row],[INRIKTNING]],""),"")</f>
        <v/>
      </c>
      <c r="C38" s="24">
        <f>ROWS('Program och examenskrav'!F48:Spec[[#Headers],[INRIKTNING]])</f>
        <v>23</v>
      </c>
      <c r="D38" s="24" t="str">
        <f t="array" ref="D38">IF(ROWS($D$16:D38)&gt;$B$11,"",INDEX($B$16:$B$149,SMALL(IF($B$16:$B$149&lt;&gt;"",ROW($B$16:$B$149)-ROW($D$16)+1),ROWS(D$16:D38))))</f>
        <v/>
      </c>
      <c r="J38" s="24" t="s">
        <v>379</v>
      </c>
      <c r="K38" s="120">
        <v>1</v>
      </c>
      <c r="L38" s="120">
        <v>6</v>
      </c>
      <c r="M38" s="120"/>
    </row>
    <row r="39" spans="2:13" x14ac:dyDescent="0.3">
      <c r="B39" s="24" t="str">
        <f>IFERROR(IF(Program=Spec[[#This Row],[PROGRAM]],Spec[[#This Row],[INRIKTNING]],""),"")</f>
        <v/>
      </c>
      <c r="C39" s="24">
        <f>ROWS('Program och examenskrav'!F49:Spec[[#Headers],[INRIKTNING]])</f>
        <v>24</v>
      </c>
      <c r="D39" s="24" t="str">
        <f t="array" ref="D39">IF(ROWS($D$16:D39)&gt;$B$11,"",INDEX($B$16:$B$149,SMALL(IF($B$16:$B$149&lt;&gt;"",ROW($B$16:$B$149)-ROW($D$16)+1),ROWS(D$16:D39))))</f>
        <v/>
      </c>
      <c r="K39" s="120"/>
      <c r="L39" s="120"/>
      <c r="M39" s="120"/>
    </row>
    <row r="40" spans="2:13" x14ac:dyDescent="0.3">
      <c r="B40" s="24" t="str">
        <f>IFERROR(IF(Program=Spec[[#This Row],[PROGRAM]],Spec[[#This Row],[INRIKTNING]],""),"")</f>
        <v/>
      </c>
      <c r="C40" s="24">
        <f>ROWS('Program och examenskrav'!F50:Spec[[#Headers],[INRIKTNING]])</f>
        <v>25</v>
      </c>
      <c r="D40" s="24" t="str">
        <f t="array" ref="D40">IF(ROWS($D$16:D40)&gt;$B$11,"",INDEX($B$16:$B$149,SMALL(IF($B$16:$B$149&lt;&gt;"",ROW($B$16:$B$149)-ROW($D$16)+1),ROWS(D$16:D40))))</f>
        <v/>
      </c>
      <c r="I40" s="24" t="s">
        <v>567</v>
      </c>
      <c r="K40" s="120">
        <v>1</v>
      </c>
      <c r="L40" s="120">
        <v>2</v>
      </c>
      <c r="M40" s="120"/>
    </row>
    <row r="41" spans="2:13" x14ac:dyDescent="0.3">
      <c r="B41" s="24" t="str">
        <f>IFERROR(IF(Program=Spec[[#This Row],[PROGRAM]],Spec[[#This Row],[INRIKTNING]],""),"")</f>
        <v/>
      </c>
      <c r="C41" s="24">
        <f>ROWS('Program och examenskrav'!F51:Spec[[#Headers],[INRIKTNING]])</f>
        <v>26</v>
      </c>
      <c r="D41" s="24" t="str">
        <f t="array" ref="D41">IF(ROWS($D$16:D41)&gt;$B$11,"",INDEX($B$16:$B$149,SMALL(IF($B$16:$B$149&lt;&gt;"",ROW($B$16:$B$149)-ROW($D$16)+1),ROWS(D$16:D41))))</f>
        <v/>
      </c>
      <c r="J41" s="24" t="s">
        <v>961</v>
      </c>
      <c r="K41" s="120">
        <v>1</v>
      </c>
      <c r="L41" s="120">
        <v>2</v>
      </c>
      <c r="M41" s="120"/>
    </row>
    <row r="42" spans="2:13" x14ac:dyDescent="0.3">
      <c r="B42" s="24" t="str">
        <f>IFERROR(IF(Program=Spec[[#This Row],[PROGRAM]],Spec[[#This Row],[INRIKTNING]],""),"")</f>
        <v/>
      </c>
      <c r="C42" s="24">
        <f>ROWS('Program och examenskrav'!F52:Spec[[#Headers],[INRIKTNING]])</f>
        <v>27</v>
      </c>
      <c r="D42" s="24" t="str">
        <f t="array" ref="D42">IF(ROWS($D$16:D42)&gt;$B$11,"",INDEX($B$16:$B$149,SMALL(IF($B$16:$B$149&lt;&gt;"",ROW($B$16:$B$149)-ROW($D$16)+1),ROWS(D$16:D42))))</f>
        <v/>
      </c>
      <c r="K42" s="120"/>
      <c r="L42" s="120"/>
      <c r="M42" s="120"/>
    </row>
    <row r="43" spans="2:13" x14ac:dyDescent="0.3">
      <c r="B43" s="24" t="str">
        <f>IFERROR(IF(Program=Spec[[#This Row],[PROGRAM]],Spec[[#This Row],[INRIKTNING]],""),"")</f>
        <v/>
      </c>
      <c r="C43" s="24" t="e">
        <f>ROWS('Program och examenskrav'!#REF!:Spec[[#Headers],[INRIKTNING]])</f>
        <v>#REF!</v>
      </c>
      <c r="D43" s="24" t="str">
        <f t="array" ref="D43">IF(ROWS($D$16:D43)&gt;$B$11,"",INDEX($B$16:$B$149,SMALL(IF($B$16:$B$149&lt;&gt;"",ROW($B$16:$B$149)-ROW($D$16)+1),ROWS(D$16:D43))))</f>
        <v/>
      </c>
      <c r="H43" s="24">
        <v>5</v>
      </c>
      <c r="K43" s="120">
        <v>3</v>
      </c>
      <c r="L43" s="120">
        <v>18</v>
      </c>
      <c r="M43" s="120"/>
    </row>
    <row r="44" spans="2:13" x14ac:dyDescent="0.3">
      <c r="B44" s="24" t="str">
        <f>IFERROR(IF(Program=Spec[[#This Row],[PROGRAM]],Spec[[#This Row],[INRIKTNING]],""),"")</f>
        <v/>
      </c>
      <c r="C44" s="24" t="e">
        <f>ROWS('Program och examenskrav'!#REF!:Spec[[#Headers],[INRIKTNING]])</f>
        <v>#REF!</v>
      </c>
      <c r="D44" s="24" t="str">
        <f t="array" ref="D44">IF(ROWS($D$16:D44)&gt;$B$11,"",INDEX($B$16:$B$149,SMALL(IF($B$16:$B$149&lt;&gt;"",ROW($B$16:$B$149)-ROW($D$16)+1),ROWS(D$16:D44))))</f>
        <v/>
      </c>
      <c r="I44" s="24" t="s">
        <v>911</v>
      </c>
      <c r="K44" s="120">
        <v>1</v>
      </c>
      <c r="L44" s="120">
        <v>6</v>
      </c>
      <c r="M44" s="120"/>
    </row>
    <row r="45" spans="2:13" x14ac:dyDescent="0.3">
      <c r="B45" s="24" t="str">
        <f>IFERROR(IF(Program=Spec[[#This Row],[PROGRAM]],Spec[[#This Row],[INRIKTNING]],""),"")</f>
        <v/>
      </c>
      <c r="C45" s="24" t="e">
        <f>ROWS('Program och examenskrav'!#REF!:Spec[[#Headers],[INRIKTNING]])</f>
        <v>#REF!</v>
      </c>
      <c r="D45" s="24" t="str">
        <f t="array" ref="D45">IF(ROWS($D$16:D45)&gt;$B$11,"",INDEX($B$16:$B$149,SMALL(IF($B$16:$B$149&lt;&gt;"",ROW($B$16:$B$149)-ROW($D$16)+1),ROWS(D$16:D45))))</f>
        <v/>
      </c>
      <c r="J45" s="24" t="s">
        <v>966</v>
      </c>
      <c r="K45" s="120">
        <v>1</v>
      </c>
      <c r="L45" s="120">
        <v>6</v>
      </c>
      <c r="M45" s="120"/>
    </row>
    <row r="46" spans="2:13" x14ac:dyDescent="0.3">
      <c r="B46" s="24" t="str">
        <f>IFERROR(IF(Program=Spec[[#This Row],[PROGRAM]],Spec[[#This Row],[INRIKTNING]],""),"")</f>
        <v/>
      </c>
      <c r="C46" s="24" t="e">
        <f>ROWS('Program och examenskrav'!#REF!:Spec[[#Headers],[INRIKTNING]])</f>
        <v>#REF!</v>
      </c>
      <c r="D46" s="24" t="str">
        <f t="array" ref="D46">IF(ROWS($D$16:D46)&gt;$B$11,"",INDEX($B$16:$B$149,SMALL(IF($B$16:$B$149&lt;&gt;"",ROW($B$16:$B$149)-ROW($D$16)+1),ROWS(D$16:D46))))</f>
        <v/>
      </c>
      <c r="K46" s="120"/>
      <c r="L46" s="120"/>
      <c r="M46" s="120"/>
    </row>
    <row r="47" spans="2:13" x14ac:dyDescent="0.3">
      <c r="B47" s="24" t="str">
        <f>IFERROR(IF(Program=Spec[[#This Row],[PROGRAM]],Spec[[#This Row],[INRIKTNING]],""),"")</f>
        <v/>
      </c>
      <c r="C47" s="24" t="e">
        <f>ROWS('Program och examenskrav'!#REF!:Spec[[#Headers],[INRIKTNING]])</f>
        <v>#REF!</v>
      </c>
      <c r="D47" s="24" t="str">
        <f t="array" ref="D47">IF(ROWS($D$16:D47)&gt;$B$11,"",INDEX($B$16:$B$149,SMALL(IF($B$16:$B$149&lt;&gt;"",ROW($B$16:$B$149)-ROW($D$16)+1),ROWS(D$16:D47))))</f>
        <v/>
      </c>
      <c r="I47" s="24" t="s">
        <v>906</v>
      </c>
      <c r="K47" s="120">
        <v>2</v>
      </c>
      <c r="L47" s="120">
        <v>12</v>
      </c>
      <c r="M47" s="120"/>
    </row>
    <row r="48" spans="2:13" x14ac:dyDescent="0.3">
      <c r="B48" s="24" t="str">
        <f>IFERROR(IF(Program=Spec[[#This Row],[PROGRAM]],Spec[[#This Row],[INRIKTNING]],""),"")</f>
        <v/>
      </c>
      <c r="C48" s="24" t="e">
        <f>ROWS('Program och examenskrav'!#REF!:Spec[[#Headers],[INRIKTNING]])</f>
        <v>#REF!</v>
      </c>
      <c r="D48" s="24" t="str">
        <f t="array" ref="D48">IF(ROWS($D$16:D48)&gt;$B$11,"",INDEX($B$16:$B$149,SMALL(IF($B$16:$B$149&lt;&gt;"",ROW($B$16:$B$149)-ROW($D$16)+1),ROWS(D$16:D48))))</f>
        <v/>
      </c>
      <c r="J48" s="24" t="s">
        <v>906</v>
      </c>
      <c r="K48" s="120">
        <v>1</v>
      </c>
      <c r="L48" s="120">
        <v>6</v>
      </c>
      <c r="M48" s="120"/>
    </row>
    <row r="49" spans="2:13" x14ac:dyDescent="0.3">
      <c r="B49" s="24" t="str">
        <f>IFERROR(IF(Program=Spec[[#This Row],[PROGRAM]],Spec[[#This Row],[INRIKTNING]],""),"")</f>
        <v/>
      </c>
      <c r="C49" s="24" t="e">
        <f>ROWS('Program och examenskrav'!#REF!:Spec[[#Headers],[INRIKTNING]])</f>
        <v>#REF!</v>
      </c>
      <c r="D49" s="24" t="str">
        <f t="array" ref="D49">IF(ROWS($D$16:D49)&gt;$B$11,"",INDEX($B$16:$B$149,SMALL(IF($B$16:$B$149&lt;&gt;"",ROW($B$16:$B$149)-ROW($D$16)+1),ROWS(D$16:D49))))</f>
        <v/>
      </c>
      <c r="J49" s="24" t="s">
        <v>912</v>
      </c>
      <c r="K49" s="120">
        <v>1</v>
      </c>
      <c r="L49" s="120">
        <v>6</v>
      </c>
      <c r="M49" s="120"/>
    </row>
    <row r="50" spans="2:13" x14ac:dyDescent="0.3">
      <c r="B50" s="24" t="str">
        <f>IFERROR(IF(Program=Spec[[#This Row],[PROGRAM]],Spec[[#This Row],[INRIKTNING]],""),"")</f>
        <v/>
      </c>
      <c r="C50" s="24" t="e">
        <f>ROWS('Program och examenskrav'!#REF!:Spec[[#Headers],[INRIKTNING]])</f>
        <v>#REF!</v>
      </c>
      <c r="D50" s="24" t="str">
        <f t="array" ref="D50">IF(ROWS($D$16:D50)&gt;$B$11,"",INDEX($B$16:$B$149,SMALL(IF($B$16:$B$149&lt;&gt;"",ROW($B$16:$B$149)-ROW($D$16)+1),ROWS(D$16:D50))))</f>
        <v/>
      </c>
      <c r="K50" s="120"/>
      <c r="L50" s="120"/>
      <c r="M50" s="120"/>
    </row>
    <row r="51" spans="2:13" x14ac:dyDescent="0.3">
      <c r="B51" s="24" t="str">
        <f>IFERROR(IF(Program=Spec[[#This Row],[PROGRAM]],Spec[[#This Row],[INRIKTNING]],""),"")</f>
        <v/>
      </c>
      <c r="C51" s="24" t="e">
        <f>ROWS('Program och examenskrav'!#REF!:Spec[[#Headers],[INRIKTNING]])</f>
        <v>#REF!</v>
      </c>
      <c r="D51" s="24" t="str">
        <f t="array" ref="D51">IF(ROWS($D$16:D51)&gt;$B$11,"",INDEX($B$16:$B$149,SMALL(IF($B$16:$B$149&lt;&gt;"",ROW($B$16:$B$149)-ROW($D$16)+1),ROWS(D$16:D51))))</f>
        <v/>
      </c>
      <c r="H51" s="24">
        <v>6</v>
      </c>
      <c r="K51" s="120">
        <v>1</v>
      </c>
      <c r="L51" s="120">
        <v>6</v>
      </c>
      <c r="M51" s="120"/>
    </row>
    <row r="52" spans="2:13" x14ac:dyDescent="0.3">
      <c r="B52" s="24" t="str">
        <f>IFERROR(IF(Program=Spec[[#This Row],[PROGRAM]],Spec[[#This Row],[INRIKTNING]],""),"")</f>
        <v/>
      </c>
      <c r="C52" s="24" t="e">
        <f>ROWS('Program och examenskrav'!#REF!:Spec[[#Headers],[INRIKTNING]])</f>
        <v>#REF!</v>
      </c>
      <c r="D52" s="24" t="str">
        <f t="array" ref="D52">IF(ROWS($D$16:D52)&gt;$B$11,"",INDEX($B$16:$B$149,SMALL(IF($B$16:$B$149&lt;&gt;"",ROW($B$16:$B$149)-ROW($D$16)+1),ROWS(D$16:D52))))</f>
        <v/>
      </c>
      <c r="I52" s="24" t="s">
        <v>906</v>
      </c>
      <c r="K52" s="120">
        <v>1</v>
      </c>
      <c r="L52" s="120">
        <v>6</v>
      </c>
      <c r="M52" s="120"/>
    </row>
    <row r="53" spans="2:13" x14ac:dyDescent="0.3">
      <c r="B53" s="24" t="str">
        <f>IFERROR(IF(Program=Spec[[#This Row],[PROGRAM]],Spec[[#This Row],[INRIKTNING]],""),"")</f>
        <v/>
      </c>
      <c r="C53" s="24" t="e">
        <f>ROWS('Program och examenskrav'!#REF!:Spec[[#Headers],[INRIKTNING]])</f>
        <v>#REF!</v>
      </c>
      <c r="D53" s="24" t="str">
        <f t="array" ref="D53">IF(ROWS($D$16:D53)&gt;$B$11,"",INDEX($B$16:$B$149,SMALL(IF($B$16:$B$149&lt;&gt;"",ROW($B$16:$B$149)-ROW($D$16)+1),ROWS(D$16:D53))))</f>
        <v/>
      </c>
      <c r="J53" s="24" t="s">
        <v>912</v>
      </c>
      <c r="K53" s="120">
        <v>1</v>
      </c>
      <c r="L53" s="120">
        <v>6</v>
      </c>
      <c r="M53" s="120"/>
    </row>
    <row r="54" spans="2:13" x14ac:dyDescent="0.3">
      <c r="B54" s="24" t="str">
        <f>IFERROR(IF(Program=Spec[[#This Row],[PROGRAM]],Spec[[#This Row],[INRIKTNING]],""),"")</f>
        <v/>
      </c>
      <c r="C54" s="24" t="e">
        <f>ROWS('Program och examenskrav'!#REF!:Spec[[#Headers],[INRIKTNING]])</f>
        <v>#REF!</v>
      </c>
      <c r="D54" s="24" t="str">
        <f t="array" ref="D54">IF(ROWS($D$16:D54)&gt;$B$11,"",INDEX($B$16:$B$149,SMALL(IF($B$16:$B$149&lt;&gt;"",ROW($B$16:$B$149)-ROW($D$16)+1),ROWS(D$16:D54))))</f>
        <v/>
      </c>
      <c r="K54" s="120"/>
      <c r="L54" s="120"/>
      <c r="M54" s="120"/>
    </row>
    <row r="55" spans="2:13" x14ac:dyDescent="0.3">
      <c r="B55" s="24" t="str">
        <f>IFERROR(IF(Program=Spec[[#This Row],[PROGRAM]],Spec[[#This Row],[INRIKTNING]],""),"")</f>
        <v/>
      </c>
      <c r="C55" s="24" t="e">
        <f>ROWS('Program och examenskrav'!#REF!:Spec[[#Headers],[INRIKTNING]])</f>
        <v>#REF!</v>
      </c>
      <c r="D55" s="24" t="str">
        <f t="array" ref="D55">IF(ROWS($D$16:D55)&gt;$B$11,"",INDEX($B$16:$B$149,SMALL(IF($B$16:$B$149&lt;&gt;"",ROW($B$16:$B$149)-ROW($D$16)+1),ROWS(D$16:D55))))</f>
        <v/>
      </c>
      <c r="H55" s="24">
        <v>4</v>
      </c>
      <c r="K55" s="120">
        <v>4</v>
      </c>
      <c r="L55" s="120">
        <v>20</v>
      </c>
      <c r="M55" s="120"/>
    </row>
    <row r="56" spans="2:13" x14ac:dyDescent="0.3">
      <c r="B56" s="24" t="str">
        <f>IFERROR(IF(Program=Spec[[#This Row],[PROGRAM]],Spec[[#This Row],[INRIKTNING]],""),"")</f>
        <v/>
      </c>
      <c r="C56" s="24" t="e">
        <f>ROWS('Program och examenskrav'!#REF!:Spec[[#Headers],[INRIKTNING]])</f>
        <v>#REF!</v>
      </c>
      <c r="D56" s="24" t="str">
        <f t="array" ref="D56">IF(ROWS($D$16:D56)&gt;$B$11,"",INDEX($B$16:$B$149,SMALL(IF($B$16:$B$149&lt;&gt;"",ROW($B$16:$B$149)-ROW($D$16)+1),ROWS(D$16:D56))))</f>
        <v/>
      </c>
      <c r="I56" s="24" t="s">
        <v>911</v>
      </c>
      <c r="K56" s="120">
        <v>1</v>
      </c>
      <c r="L56" s="120">
        <v>6</v>
      </c>
      <c r="M56" s="120"/>
    </row>
    <row r="57" spans="2:13" x14ac:dyDescent="0.3">
      <c r="B57" s="24" t="str">
        <f>IFERROR(IF(Program=Spec[[#This Row],[PROGRAM]],Spec[[#This Row],[INRIKTNING]],""),"")</f>
        <v>Ekonomiska informationssystem</v>
      </c>
      <c r="C57" s="24" t="e">
        <f>ROWS('Program och examenskrav'!#REF!:Spec[[#Headers],[INRIKTNING]])</f>
        <v>#REF!</v>
      </c>
      <c r="D57" s="24" t="str">
        <f t="array" ref="D57">IF(ROWS($D$16:D57)&gt;$B$11,"",INDEX($B$16:$B$149,SMALL(IF($B$16:$B$149&lt;&gt;"",ROW($B$16:$B$149)-ROW($D$16)+1),ROWS(D$16:D57))))</f>
        <v/>
      </c>
      <c r="J57" s="24" t="s">
        <v>965</v>
      </c>
      <c r="K57" s="120">
        <v>1</v>
      </c>
      <c r="L57" s="120">
        <v>6</v>
      </c>
      <c r="M57" s="120"/>
    </row>
    <row r="58" spans="2:13" x14ac:dyDescent="0.3">
      <c r="B58" s="24" t="str">
        <f>IFERROR(IF(Program=Spec[[#This Row],[PROGRAM]],Spec[[#This Row],[INRIKTNING]],""),"")</f>
        <v>Industriell marknadsföring</v>
      </c>
      <c r="C58" s="24">
        <f>ROWS('Program och examenskrav'!F72:Spec[[#Headers],[INRIKTNING]])</f>
        <v>47</v>
      </c>
      <c r="D58" s="24" t="str">
        <f t="array" ref="D58">IF(ROWS($D$16:D58)&gt;$B$11,"",INDEX($B$16:$B$149,SMALL(IF($B$16:$B$149&lt;&gt;"",ROW($B$16:$B$149)-ROW($D$16)+1),ROWS(D$16:D58))))</f>
        <v/>
      </c>
      <c r="K58" s="120"/>
      <c r="L58" s="120"/>
      <c r="M58" s="120"/>
    </row>
    <row r="59" spans="2:13" x14ac:dyDescent="0.3">
      <c r="B59" s="24" t="str">
        <f>IFERROR(IF(Program=Spec[[#This Row],[PROGRAM]],Spec[[#This Row],[INRIKTNING]],""),"")</f>
        <v>Kvalitets- och verksamhetsutveckling</v>
      </c>
      <c r="C59" s="24">
        <f>ROWS('Program och examenskrav'!F73:Spec[[#Headers],[INRIKTNING]])</f>
        <v>48</v>
      </c>
      <c r="D59" s="24" t="str">
        <f t="array" ref="D59">IF(ROWS($D$16:D59)&gt;$B$11,"",INDEX($B$16:$B$149,SMALL(IF($B$16:$B$149&lt;&gt;"",ROW($B$16:$B$149)-ROW($D$16)+1),ROWS(D$16:D59))))</f>
        <v/>
      </c>
      <c r="I59" s="24" t="s">
        <v>964</v>
      </c>
      <c r="K59" s="120">
        <v>1</v>
      </c>
      <c r="L59" s="120">
        <v>6</v>
      </c>
      <c r="M59" s="120"/>
    </row>
    <row r="60" spans="2:13" x14ac:dyDescent="0.3">
      <c r="B60" s="24" t="str">
        <f>IFERROR(IF(Program=Spec[[#This Row],[PROGRAM]],Spec[[#This Row],[INRIKTNING]],""),"")</f>
        <v>Logistik</v>
      </c>
      <c r="C60" s="24">
        <f>ROWS('Program och examenskrav'!F74:Spec[[#Headers],[INRIKTNING]])</f>
        <v>49</v>
      </c>
      <c r="D60" s="24" t="str">
        <f t="array" ref="D60">IF(ROWS($D$16:D60)&gt;$B$11,"",INDEX($B$16:$B$149,SMALL(IF($B$16:$B$149&lt;&gt;"",ROW($B$16:$B$149)-ROW($D$16)+1),ROWS(D$16:D60))))</f>
        <v/>
      </c>
      <c r="J60" s="24" t="s">
        <v>912</v>
      </c>
      <c r="K60" s="120">
        <v>1</v>
      </c>
      <c r="L60" s="120">
        <v>6</v>
      </c>
      <c r="M60" s="120"/>
    </row>
    <row r="61" spans="2:13" x14ac:dyDescent="0.3">
      <c r="B61" s="24" t="str">
        <f>IFERROR(IF(Program=Spec[[#This Row],[PROGRAM]],Spec[[#This Row],[INRIKTNING]],""),"")</f>
        <v>Produktionsledning</v>
      </c>
      <c r="C61" s="24">
        <f>ROWS('Program och examenskrav'!F75:Spec[[#Headers],[INRIKTNING]])</f>
        <v>50</v>
      </c>
      <c r="D61" s="24" t="str">
        <f t="array" ref="D61">IF(ROWS($D$16:D61)&gt;$B$11,"",INDEX($B$16:$B$149,SMALL(IF($B$16:$B$149&lt;&gt;"",ROW($B$16:$B$149)-ROW($D$16)+1),ROWS(D$16:D61))))</f>
        <v/>
      </c>
      <c r="K61" s="120"/>
      <c r="L61" s="120"/>
      <c r="M61" s="120"/>
    </row>
    <row r="62" spans="2:13" x14ac:dyDescent="0.3">
      <c r="B62" s="24" t="str">
        <f>IFERROR(IF(Program=Spec[[#This Row],[PROGRAM]],Spec[[#This Row],[INRIKTNING]],""),"")</f>
        <v>Projekt, innovation och entreprenörskap</v>
      </c>
      <c r="C62" s="24">
        <f>ROWS('Program och examenskrav'!F76:Spec[[#Headers],[INRIKTNING]])</f>
        <v>51</v>
      </c>
      <c r="D62" s="24" t="str">
        <f t="array" ref="D62">IF(ROWS($D$16:D62)&gt;$B$11,"",INDEX($B$16:$B$149,SMALL(IF($B$16:$B$149&lt;&gt;"",ROW($B$16:$B$149)-ROW($D$16)+1),ROWS(D$16:D62))))</f>
        <v/>
      </c>
      <c r="I62" s="24" t="s">
        <v>478</v>
      </c>
      <c r="K62" s="120">
        <v>2</v>
      </c>
      <c r="L62" s="120">
        <v>8</v>
      </c>
      <c r="M62" s="120"/>
    </row>
    <row r="63" spans="2:13" x14ac:dyDescent="0.3">
      <c r="B63" s="24" t="str">
        <f>IFERROR(IF(Program=Spec[[#This Row],[PROGRAM]],Spec[[#This Row],[INRIKTNING]],""),"")</f>
        <v>Strategi och styrning</v>
      </c>
      <c r="C63" s="24">
        <f>ROWS('Program och examenskrav'!F77:Spec[[#Headers],[INRIKTNING]])</f>
        <v>52</v>
      </c>
      <c r="D63" s="24" t="str">
        <f t="array" ref="D63">IF(ROWS($D$16:D63)&gt;$B$11,"",INDEX($B$16:$B$149,SMALL(IF($B$16:$B$149&lt;&gt;"",ROW($B$16:$B$149)-ROW($D$16)+1),ROWS(D$16:D63))))</f>
        <v/>
      </c>
      <c r="J63" s="24" t="s">
        <v>877</v>
      </c>
      <c r="K63" s="120">
        <v>1</v>
      </c>
      <c r="L63" s="120">
        <v>4</v>
      </c>
      <c r="M63" s="120"/>
    </row>
    <row r="64" spans="2:13" x14ac:dyDescent="0.3">
      <c r="B64" s="24" t="str">
        <f>IFERROR(IF(Program=Spec[[#This Row],[PROGRAM]],Spec[[#This Row],[INRIKTNING]],""),"")</f>
        <v/>
      </c>
      <c r="C64" s="24">
        <f>ROWS('Program och examenskrav'!F78:Spec[[#Headers],[INRIKTNING]])</f>
        <v>53</v>
      </c>
      <c r="D64" s="24" t="str">
        <f t="array" ref="D64">IF(ROWS($D$16:D64)&gt;$B$11,"",INDEX($B$16:$B$149,SMALL(IF($B$16:$B$149&lt;&gt;"",ROW($B$16:$B$149)-ROW($D$16)+1),ROWS(D$16:D64))))</f>
        <v/>
      </c>
      <c r="J64" s="24" t="s">
        <v>478</v>
      </c>
      <c r="K64" s="120">
        <v>1</v>
      </c>
      <c r="L64" s="120">
        <v>4</v>
      </c>
      <c r="M64" s="120"/>
    </row>
    <row r="65" spans="2:13" x14ac:dyDescent="0.3">
      <c r="B65" s="24" t="str">
        <f>IFERROR(IF(Program=Spec[[#This Row],[PROGRAM]],Spec[[#This Row],[INRIKTNING]],""),"")</f>
        <v/>
      </c>
      <c r="C65" s="24">
        <f>ROWS('Program och examenskrav'!F79:Spec[[#Headers],[INRIKTNING]])</f>
        <v>54</v>
      </c>
      <c r="D65" s="24" t="str">
        <f t="array" ref="D65">IF(ROWS($D$16:D65)&gt;$B$11,"",INDEX($B$16:$B$149,SMALL(IF($B$16:$B$149&lt;&gt;"",ROW($B$16:$B$149)-ROW($D$16)+1),ROWS(D$16:D65))))</f>
        <v/>
      </c>
      <c r="K65" s="120"/>
      <c r="L65" s="120"/>
      <c r="M65" s="120"/>
    </row>
    <row r="66" spans="2:13" x14ac:dyDescent="0.3">
      <c r="B66" s="24" t="str">
        <f>IFERROR(IF(Program=Spec[[#This Row],[PROGRAM]],Spec[[#This Row],[INRIKTNING]],""),"")</f>
        <v/>
      </c>
      <c r="C66" s="24">
        <f>ROWS('Program och examenskrav'!F80:Spec[[#Headers],[INRIKTNING]])</f>
        <v>55</v>
      </c>
      <c r="D66" s="24" t="str">
        <f t="array" ref="D66">IF(ROWS($D$16:D66)&gt;$B$11,"",INDEX($B$16:$B$149,SMALL(IF($B$16:$B$149&lt;&gt;"",ROW($B$16:$B$149)-ROW($D$16)+1),ROWS(D$16:D66))))</f>
        <v/>
      </c>
      <c r="H66" s="24">
        <v>3</v>
      </c>
      <c r="K66" s="120">
        <v>5</v>
      </c>
      <c r="L66" s="120">
        <v>30</v>
      </c>
      <c r="M66" s="120"/>
    </row>
    <row r="67" spans="2:13" x14ac:dyDescent="0.3">
      <c r="B67" s="24" t="str">
        <f>IFERROR(IF(Program=Spec[[#This Row],[PROGRAM]],Spec[[#This Row],[INRIKTNING]],""),"")</f>
        <v/>
      </c>
      <c r="C67" s="24">
        <f>ROWS('Program och examenskrav'!F81:Spec[[#Headers],[INRIKTNING]])</f>
        <v>56</v>
      </c>
      <c r="D67" s="24" t="str">
        <f t="array" ref="D67">IF(ROWS($D$16:D67)&gt;$B$11,"",INDEX($B$16:$B$149,SMALL(IF($B$16:$B$149&lt;&gt;"",ROW($B$16:$B$149)-ROW($D$16)+1),ROWS(D$16:D67))))</f>
        <v/>
      </c>
      <c r="I67" s="24" t="s">
        <v>906</v>
      </c>
      <c r="K67" s="120">
        <v>1</v>
      </c>
      <c r="L67" s="120">
        <v>6</v>
      </c>
      <c r="M67" s="120"/>
    </row>
    <row r="68" spans="2:13" x14ac:dyDescent="0.3">
      <c r="B68" s="24" t="str">
        <f>IFERROR(IF(Program=Spec[[#This Row],[PROGRAM]],Spec[[#This Row],[INRIKTNING]],""),"")</f>
        <v/>
      </c>
      <c r="C68" s="24">
        <f>ROWS('Program och examenskrav'!F82:Spec[[#Headers],[INRIKTNING]])</f>
        <v>57</v>
      </c>
      <c r="D68" s="24" t="str">
        <f t="array" ref="D68">IF(ROWS($D$16:D68)&gt;$B$11,"",INDEX($B$16:$B$149,SMALL(IF($B$16:$B$149&lt;&gt;"",ROW($B$16:$B$149)-ROW($D$16)+1),ROWS(D$16:D68))))</f>
        <v/>
      </c>
      <c r="J68" s="24" t="s">
        <v>906</v>
      </c>
      <c r="K68" s="120">
        <v>1</v>
      </c>
      <c r="L68" s="120">
        <v>6</v>
      </c>
      <c r="M68" s="120"/>
    </row>
    <row r="69" spans="2:13" x14ac:dyDescent="0.3">
      <c r="B69" s="24" t="str">
        <f>IFERROR(IF(Program=Spec[[#This Row],[PROGRAM]],Spec[[#This Row],[INRIKTNING]],""),"")</f>
        <v/>
      </c>
      <c r="C69" s="24">
        <f>ROWS('Program och examenskrav'!F83:Spec[[#Headers],[INRIKTNING]])</f>
        <v>58</v>
      </c>
      <c r="D69" s="24" t="str">
        <f t="array" ref="D69">IF(ROWS($D$16:D69)&gt;$B$11,"",INDEX($B$16:$B$149,SMALL(IF($B$16:$B$149&lt;&gt;"",ROW($B$16:$B$149)-ROW($D$16)+1),ROWS(D$16:D69))))</f>
        <v/>
      </c>
      <c r="K69" s="120"/>
      <c r="L69" s="120"/>
      <c r="M69" s="120"/>
    </row>
    <row r="70" spans="2:13" x14ac:dyDescent="0.3">
      <c r="B70" s="24" t="str">
        <f>IFERROR(IF(Program=Spec[[#This Row],[PROGRAM]],Spec[[#This Row],[INRIKTNING]],""),"")</f>
        <v/>
      </c>
      <c r="C70" s="24">
        <f>ROWS('Program och examenskrav'!F84:Spec[[#Headers],[INRIKTNING]])</f>
        <v>59</v>
      </c>
      <c r="D70" s="24" t="str">
        <f t="array" ref="D70">IF(ROWS($D$16:D70)&gt;$B$11,"",INDEX($B$16:$B$149,SMALL(IF($B$16:$B$149&lt;&gt;"",ROW($B$16:$B$149)-ROW($D$16)+1),ROWS(D$16:D70))))</f>
        <v/>
      </c>
      <c r="I70" s="24" t="s">
        <v>889</v>
      </c>
      <c r="K70" s="120">
        <v>1</v>
      </c>
      <c r="L70" s="120">
        <v>10</v>
      </c>
      <c r="M70" s="120"/>
    </row>
    <row r="71" spans="2:13" x14ac:dyDescent="0.3">
      <c r="B71" s="24" t="str">
        <f>IFERROR(IF(Program=Spec[[#This Row],[PROGRAM]],Spec[[#This Row],[INRIKTNING]],""),"")</f>
        <v/>
      </c>
      <c r="C71" s="24">
        <f>ROWS('Program och examenskrav'!F85:Spec[[#Headers],[INRIKTNING]])</f>
        <v>60</v>
      </c>
      <c r="D71" s="24" t="str">
        <f t="array" ref="D71">IF(ROWS($D$16:D71)&gt;$B$11,"",INDEX($B$16:$B$149,SMALL(IF($B$16:$B$149&lt;&gt;"",ROW($B$16:$B$149)-ROW($D$16)+1),ROWS(D$16:D71))))</f>
        <v/>
      </c>
      <c r="J71" s="24" t="s">
        <v>946</v>
      </c>
      <c r="K71" s="120">
        <v>1</v>
      </c>
      <c r="L71" s="120">
        <v>10</v>
      </c>
      <c r="M71" s="120"/>
    </row>
    <row r="72" spans="2:13" x14ac:dyDescent="0.3">
      <c r="B72" s="24" t="str">
        <f>IFERROR(IF(Program=Spec[[#This Row],[PROGRAM]],Spec[[#This Row],[INRIKTNING]],""),"")</f>
        <v/>
      </c>
      <c r="C72" s="24">
        <f>ROWS('Program och examenskrav'!F86:Spec[[#Headers],[INRIKTNING]])</f>
        <v>61</v>
      </c>
      <c r="D72" s="24" t="str">
        <f t="array" ref="D72">IF(ROWS($D$16:D72)&gt;$B$11,"",INDEX($B$16:$B$149,SMALL(IF($B$16:$B$149&lt;&gt;"",ROW($B$16:$B$149)-ROW($D$16)+1),ROWS(D$16:D72))))</f>
        <v/>
      </c>
      <c r="K72" s="120"/>
      <c r="L72" s="120"/>
      <c r="M72" s="120"/>
    </row>
    <row r="73" spans="2:13" x14ac:dyDescent="0.3">
      <c r="B73" s="24" t="str">
        <f>IFERROR(IF(Program=Spec[[#This Row],[PROGRAM]],Spec[[#This Row],[INRIKTNING]],""),"")</f>
        <v/>
      </c>
      <c r="C73" s="24">
        <f>ROWS('Program och examenskrav'!F87:Spec[[#Headers],[INRIKTNING]])</f>
        <v>62</v>
      </c>
      <c r="D73" s="24" t="str">
        <f t="array" ref="D73">IF(ROWS($D$16:D73)&gt;$B$11,"",INDEX($B$16:$B$149,SMALL(IF($B$16:$B$149&lt;&gt;"",ROW($B$16:$B$149)-ROW($D$16)+1),ROWS(D$16:D73))))</f>
        <v/>
      </c>
      <c r="I73" s="24" t="s">
        <v>562</v>
      </c>
      <c r="K73" s="120">
        <v>1</v>
      </c>
      <c r="L73" s="120">
        <v>4</v>
      </c>
      <c r="M73" s="120"/>
    </row>
    <row r="74" spans="2:13" x14ac:dyDescent="0.3">
      <c r="B74" s="24" t="str">
        <f>IFERROR(IF(Program=Spec[[#This Row],[PROGRAM]],Spec[[#This Row],[INRIKTNING]],""),"")</f>
        <v/>
      </c>
      <c r="C74" s="24">
        <f>ROWS('Program och examenskrav'!F88:Spec[[#Headers],[INRIKTNING]])</f>
        <v>63</v>
      </c>
      <c r="D74" s="24" t="str">
        <f t="array" ref="D74">IF(ROWS($D$16:D74)&gt;$B$11,"",INDEX($B$16:$B$149,SMALL(IF($B$16:$B$149&lt;&gt;"",ROW($B$16:$B$149)-ROW($D$16)+1),ROWS(D$16:D74))))</f>
        <v/>
      </c>
      <c r="J74" s="24" t="s">
        <v>561</v>
      </c>
      <c r="K74" s="120">
        <v>1</v>
      </c>
      <c r="L74" s="120">
        <v>4</v>
      </c>
      <c r="M74" s="120"/>
    </row>
    <row r="75" spans="2:13" x14ac:dyDescent="0.3">
      <c r="B75" s="24" t="str">
        <f>IFERROR(IF(Program=Spec[[#This Row],[PROGRAM]],Spec[[#This Row],[INRIKTNING]],""),"")</f>
        <v/>
      </c>
      <c r="C75" s="24">
        <f>ROWS('Program och examenskrav'!F89:Spec[[#Headers],[INRIKTNING]])</f>
        <v>64</v>
      </c>
      <c r="D75" s="24" t="str">
        <f t="array" ref="D75">IF(ROWS($D$16:D75)&gt;$B$11,"",INDEX($B$16:$B$149,SMALL(IF($B$16:$B$149&lt;&gt;"",ROW($B$16:$B$149)-ROW($D$16)+1),ROWS(D$16:D75))))</f>
        <v/>
      </c>
      <c r="K75" s="120"/>
      <c r="L75" s="120"/>
      <c r="M75" s="120"/>
    </row>
    <row r="76" spans="2:13" x14ac:dyDescent="0.3">
      <c r="B76" s="24" t="str">
        <f>IFERROR(IF(Program=Spec[[#This Row],[PROGRAM]],Spec[[#This Row],[INRIKTNING]],""),"")</f>
        <v/>
      </c>
      <c r="C76" s="24">
        <f>ROWS('Program och examenskrav'!F90:Spec[[#Headers],[INRIKTNING]])</f>
        <v>65</v>
      </c>
      <c r="D76" s="24" t="str">
        <f t="array" ref="D76">IF(ROWS($D$16:D76)&gt;$B$11,"",INDEX($B$16:$B$149,SMALL(IF($B$16:$B$149&lt;&gt;"",ROW($B$16:$B$149)-ROW($D$16)+1),ROWS(D$16:D76))))</f>
        <v/>
      </c>
      <c r="I76" s="24" t="s">
        <v>477</v>
      </c>
      <c r="K76" s="120">
        <v>1</v>
      </c>
      <c r="L76" s="120">
        <v>4</v>
      </c>
      <c r="M76"/>
    </row>
    <row r="77" spans="2:13" x14ac:dyDescent="0.3">
      <c r="B77" s="24" t="str">
        <f>IFERROR(IF(Program=Spec[[#This Row],[PROGRAM]],Spec[[#This Row],[INRIKTNING]],""),"")</f>
        <v/>
      </c>
      <c r="C77" s="24">
        <f>ROWS('Program och examenskrav'!F91:Spec[[#Headers],[INRIKTNING]])</f>
        <v>66</v>
      </c>
      <c r="D77" s="24" t="str">
        <f t="array" ref="D77">IF(ROWS($D$16:D77)&gt;$B$11,"",INDEX($B$16:$B$149,SMALL(IF($B$16:$B$149&lt;&gt;"",ROW($B$16:$B$149)-ROW($D$16)+1),ROWS(D$16:D77))))</f>
        <v/>
      </c>
      <c r="J77" s="24" t="s">
        <v>879</v>
      </c>
      <c r="K77" s="120">
        <v>1</v>
      </c>
      <c r="L77" s="120">
        <v>4</v>
      </c>
      <c r="M77"/>
    </row>
    <row r="78" spans="2:13" x14ac:dyDescent="0.3">
      <c r="B78" s="24" t="str">
        <f>IFERROR(IF(Program=Spec[[#This Row],[PROGRAM]],Spec[[#This Row],[INRIKTNING]],""),"")</f>
        <v/>
      </c>
      <c r="C78" s="24">
        <f>ROWS('Program och examenskrav'!F92:Spec[[#Headers],[INRIKTNING]])</f>
        <v>67</v>
      </c>
      <c r="D78" s="24" t="str">
        <f t="array" ref="D78">IF(ROWS($D$16:D78)&gt;$B$11,"",INDEX($B$16:$B$149,SMALL(IF($B$16:$B$149&lt;&gt;"",ROW($B$16:$B$149)-ROW($D$16)+1),ROWS(D$16:D78))))</f>
        <v/>
      </c>
      <c r="K78" s="120"/>
      <c r="L78" s="120"/>
      <c r="M78"/>
    </row>
    <row r="79" spans="2:13" x14ac:dyDescent="0.3">
      <c r="B79" s="24" t="str">
        <f>IFERROR(IF(Program=Spec[[#This Row],[PROGRAM]],Spec[[#This Row],[INRIKTNING]],""),"")</f>
        <v/>
      </c>
      <c r="C79" s="24">
        <f>ROWS('Program och examenskrav'!F93:Spec[[#Headers],[INRIKTNING]])</f>
        <v>68</v>
      </c>
      <c r="D79" s="24" t="str">
        <f t="array" ref="D79">IF(ROWS($D$16:D79)&gt;$B$11,"",INDEX($B$16:$B$149,SMALL(IF($B$16:$B$149&lt;&gt;"",ROW($B$16:$B$149)-ROW($D$16)+1),ROWS(D$16:D79))))</f>
        <v/>
      </c>
      <c r="I79" s="24" t="s">
        <v>561</v>
      </c>
      <c r="K79" s="120">
        <v>1</v>
      </c>
      <c r="L79" s="120">
        <v>6</v>
      </c>
      <c r="M79"/>
    </row>
    <row r="80" spans="2:13" x14ac:dyDescent="0.3">
      <c r="B80" s="24" t="str">
        <f>IFERROR(IF(Program=Spec[[#This Row],[PROGRAM]],Spec[[#This Row],[INRIKTNING]],""),"")</f>
        <v/>
      </c>
      <c r="C80" s="24">
        <f>ROWS('Program och examenskrav'!F94:Spec[[#Headers],[INRIKTNING]])</f>
        <v>69</v>
      </c>
      <c r="D80" s="24" t="str">
        <f t="array" ref="D80">IF(ROWS($D$16:D80)&gt;$B$11,"",INDEX($B$16:$B$149,SMALL(IF($B$16:$B$149&lt;&gt;"",ROW($B$16:$B$149)-ROW($D$16)+1),ROWS(D$16:D80))))</f>
        <v/>
      </c>
      <c r="J80" s="24" t="s">
        <v>561</v>
      </c>
      <c r="K80" s="120">
        <v>1</v>
      </c>
      <c r="L80" s="120">
        <v>6</v>
      </c>
      <c r="M80"/>
    </row>
    <row r="81" spans="2:13" x14ac:dyDescent="0.3">
      <c r="B81" s="24" t="str">
        <f>IFERROR(IF(Program=Spec[[#This Row],[PROGRAM]],Spec[[#This Row],[INRIKTNING]],""),"")</f>
        <v/>
      </c>
      <c r="C81" s="24">
        <f>ROWS('Program och examenskrav'!F95:Spec[[#Headers],[INRIKTNING]])</f>
        <v>70</v>
      </c>
      <c r="D81" s="24" t="str">
        <f t="array" ref="D81">IF(ROWS($D$16:D81)&gt;$B$11,"",INDEX($B$16:$B$149,SMALL(IF($B$16:$B$149&lt;&gt;"",ROW($B$16:$B$149)-ROW($D$16)+1),ROWS(D$16:D81))))</f>
        <v/>
      </c>
      <c r="K81" s="120"/>
      <c r="L81" s="120"/>
      <c r="M81"/>
    </row>
    <row r="82" spans="2:13" x14ac:dyDescent="0.3">
      <c r="B82" s="24" t="str">
        <f>IFERROR(IF(Program=Spec[[#This Row],[PROGRAM]],Spec[[#This Row],[INRIKTNING]],""),"")</f>
        <v/>
      </c>
      <c r="C82" s="24">
        <f>ROWS('Program och examenskrav'!F96:Spec[[#Headers],[INRIKTNING]])</f>
        <v>71</v>
      </c>
      <c r="D82" s="24" t="str">
        <f t="array" ref="D82">IF(ROWS($D$16:D82)&gt;$B$11,"",INDEX($B$16:$B$149,SMALL(IF($B$16:$B$149&lt;&gt;"",ROW($B$16:$B$149)-ROW($D$16)+1),ROWS(D$16:D82))))</f>
        <v/>
      </c>
      <c r="H82" s="24">
        <v>8</v>
      </c>
      <c r="K82" s="120">
        <v>1</v>
      </c>
      <c r="L82" s="120">
        <v>6</v>
      </c>
      <c r="M82"/>
    </row>
    <row r="83" spans="2:13" x14ac:dyDescent="0.3">
      <c r="B83" s="24" t="str">
        <f>IFERROR(IF(Program=Spec[[#This Row],[PROGRAM]],Spec[[#This Row],[INRIKTNING]],""),"")</f>
        <v/>
      </c>
      <c r="C83" s="24">
        <f>ROWS('Program och examenskrav'!F97:Spec[[#Headers],[INRIKTNING]])</f>
        <v>72</v>
      </c>
      <c r="D83" s="24" t="str">
        <f t="array" ref="D83">IF(ROWS($D$16:D83)&gt;$B$11,"",INDEX($B$16:$B$149,SMALL(IF($B$16:$B$149&lt;&gt;"",ROW($B$16:$B$149)-ROW($D$16)+1),ROWS(D$16:D83))))</f>
        <v/>
      </c>
      <c r="I83" s="24" t="s">
        <v>914</v>
      </c>
      <c r="K83" s="120">
        <v>1</v>
      </c>
      <c r="L83" s="120">
        <v>6</v>
      </c>
      <c r="M83"/>
    </row>
    <row r="84" spans="2:13" x14ac:dyDescent="0.3">
      <c r="B84" s="24" t="str">
        <f>IFERROR(IF(Program=Spec[[#This Row],[PROGRAM]],Spec[[#This Row],[INRIKTNING]],""),"")</f>
        <v/>
      </c>
      <c r="C84" s="24">
        <f>ROWS('Program och examenskrav'!F98:Spec[[#Headers],[INRIKTNING]])</f>
        <v>73</v>
      </c>
      <c r="D84" s="24" t="str">
        <f t="array" ref="D84">IF(ROWS($D$16:D84)&gt;$B$11,"",INDEX($B$16:$B$149,SMALL(IF($B$16:$B$149&lt;&gt;"",ROW($B$16:$B$149)-ROW($D$16)+1),ROWS(D$16:D84))))</f>
        <v/>
      </c>
      <c r="J84" s="24" t="s">
        <v>924</v>
      </c>
      <c r="K84" s="120">
        <v>1</v>
      </c>
      <c r="L84" s="120">
        <v>6</v>
      </c>
      <c r="M84"/>
    </row>
    <row r="85" spans="2:13" x14ac:dyDescent="0.3">
      <c r="B85" s="24" t="str">
        <f>IFERROR(IF(Program=Spec[[#This Row],[PROGRAM]],Spec[[#This Row],[INRIKTNING]],""),"")</f>
        <v/>
      </c>
      <c r="C85" s="24">
        <f>ROWS('Program och examenskrav'!F99:Spec[[#Headers],[INRIKTNING]])</f>
        <v>74</v>
      </c>
      <c r="D85" s="24" t="str">
        <f t="array" ref="D85">IF(ROWS($D$16:D85)&gt;$B$11,"",INDEX($B$16:$B$149,SMALL(IF($B$16:$B$149&lt;&gt;"",ROW($B$16:$B$149)-ROW($D$16)+1),ROWS(D$16:D85))))</f>
        <v/>
      </c>
      <c r="K85" s="120"/>
      <c r="L85" s="120"/>
      <c r="M85"/>
    </row>
    <row r="86" spans="2:13" x14ac:dyDescent="0.3">
      <c r="B86" s="24" t="str">
        <f>IFERROR(IF(Program=Spec[[#This Row],[PROGRAM]],Spec[[#This Row],[INRIKTNING]],""),"")</f>
        <v/>
      </c>
      <c r="C86" s="24">
        <f>ROWS('Program och examenskrav'!F100:Spec[[#Headers],[INRIKTNING]])</f>
        <v>75</v>
      </c>
      <c r="D86" s="24" t="str">
        <f t="array" ref="D86">IF(ROWS($D$16:D86)&gt;$B$11,"",INDEX($B$16:$B$149,SMALL(IF($B$16:$B$149&lt;&gt;"",ROW($B$16:$B$149)-ROW($D$16)+1),ROWS(D$16:D86))))</f>
        <v/>
      </c>
      <c r="H86"/>
      <c r="I86"/>
      <c r="J86"/>
      <c r="K86"/>
      <c r="L86"/>
      <c r="M86"/>
    </row>
    <row r="87" spans="2:13" x14ac:dyDescent="0.3">
      <c r="B87" s="24" t="str">
        <f>IFERROR(IF(Program=Spec[[#This Row],[PROGRAM]],Spec[[#This Row],[INRIKTNING]],""),"")</f>
        <v/>
      </c>
      <c r="C87" s="24">
        <f>ROWS('Program och examenskrav'!F101:Spec[[#Headers],[INRIKTNING]])</f>
        <v>76</v>
      </c>
      <c r="D87" s="24" t="str">
        <f t="array" ref="D87">IF(ROWS($D$16:D87)&gt;$B$11,"",INDEX($B$16:$B$149,SMALL(IF($B$16:$B$149&lt;&gt;"",ROW($B$16:$B$149)-ROW($D$16)+1),ROWS(D$16:D87))))</f>
        <v/>
      </c>
      <c r="H87"/>
      <c r="I87"/>
      <c r="J87"/>
      <c r="K87"/>
      <c r="L87"/>
      <c r="M87"/>
    </row>
    <row r="88" spans="2:13" x14ac:dyDescent="0.3">
      <c r="B88" s="24" t="str">
        <f>IFERROR(IF(Program=Spec[[#This Row],[PROGRAM]],Spec[[#This Row],[INRIKTNING]],""),"")</f>
        <v/>
      </c>
      <c r="C88" s="24">
        <f>ROWS('Program och examenskrav'!F102:Spec[[#Headers],[INRIKTNING]])</f>
        <v>77</v>
      </c>
      <c r="D88" s="24" t="str">
        <f t="array" ref="D88">IF(ROWS($D$16:D88)&gt;$B$11,"",INDEX($B$16:$B$149,SMALL(IF($B$16:$B$149&lt;&gt;"",ROW($B$16:$B$149)-ROW($D$16)+1),ROWS(D$16:D88))))</f>
        <v/>
      </c>
      <c r="H88"/>
      <c r="I88"/>
      <c r="J88"/>
      <c r="K88"/>
      <c r="L88"/>
      <c r="M88"/>
    </row>
    <row r="89" spans="2:13" x14ac:dyDescent="0.3">
      <c r="B89" s="24" t="str">
        <f>IFERROR(IF(Program=Spec[[#This Row],[PROGRAM]],Spec[[#This Row],[INRIKTNING]],""),"")</f>
        <v/>
      </c>
      <c r="C89" s="24">
        <f>ROWS('Program och examenskrav'!F103:Spec[[#Headers],[INRIKTNING]])</f>
        <v>78</v>
      </c>
      <c r="D89" s="24" t="str">
        <f t="array" ref="D89">IF(ROWS($D$16:D89)&gt;$B$11,"",INDEX($B$16:$B$149,SMALL(IF($B$16:$B$149&lt;&gt;"",ROW($B$16:$B$149)-ROW($D$16)+1),ROWS(D$16:D89))))</f>
        <v/>
      </c>
      <c r="H89"/>
      <c r="I89"/>
      <c r="J89"/>
      <c r="K89"/>
      <c r="L89"/>
    </row>
    <row r="90" spans="2:13" x14ac:dyDescent="0.3">
      <c r="B90" s="24" t="str">
        <f>IFERROR(IF(Program=Spec[[#This Row],[PROGRAM]],Spec[[#This Row],[INRIKTNING]],""),"")</f>
        <v/>
      </c>
      <c r="C90" s="24">
        <f>ROWS('Program och examenskrav'!F104:Spec[[#Headers],[INRIKTNING]])</f>
        <v>79</v>
      </c>
      <c r="D90" s="24" t="str">
        <f t="array" ref="D90">IF(ROWS($D$16:D90)&gt;$B$11,"",INDEX($B$16:$B$149,SMALL(IF($B$16:$B$149&lt;&gt;"",ROW($B$16:$B$149)-ROW($D$16)+1),ROWS(D$16:D90))))</f>
        <v/>
      </c>
      <c r="H90"/>
      <c r="I90"/>
      <c r="J90"/>
      <c r="K90"/>
      <c r="L90"/>
    </row>
    <row r="91" spans="2:13" x14ac:dyDescent="0.3">
      <c r="B91" s="24" t="str">
        <f>IFERROR(IF(Program=Spec[[#This Row],[PROGRAM]],Spec[[#This Row],[INRIKTNING]],""),"")</f>
        <v/>
      </c>
      <c r="C91" s="24">
        <f>ROWS('Program och examenskrav'!F105:Spec[[#Headers],[INRIKTNING]])</f>
        <v>80</v>
      </c>
      <c r="D91" s="24" t="str">
        <f t="array" ref="D91">IF(ROWS($D$16:D91)&gt;$B$11,"",INDEX($B$16:$B$149,SMALL(IF($B$16:$B$149&lt;&gt;"",ROW($B$16:$B$149)-ROW($D$16)+1),ROWS(D$16:D91))))</f>
        <v/>
      </c>
      <c r="H91"/>
      <c r="I91"/>
      <c r="J91"/>
      <c r="K91"/>
      <c r="L91"/>
    </row>
    <row r="92" spans="2:13" x14ac:dyDescent="0.3">
      <c r="B92" s="24" t="str">
        <f>IFERROR(IF(Program=Spec[[#This Row],[PROGRAM]],Spec[[#This Row],[INRIKTNING]],""),"")</f>
        <v/>
      </c>
      <c r="C92" s="24">
        <f>ROWS('Program och examenskrav'!F106:Spec[[#Headers],[INRIKTNING]])</f>
        <v>81</v>
      </c>
      <c r="D92" s="24" t="str">
        <f t="array" ref="D92">IF(ROWS($D$16:D92)&gt;$B$11,"",INDEX($B$16:$B$149,SMALL(IF($B$16:$B$149&lt;&gt;"",ROW($B$16:$B$149)-ROW($D$16)+1),ROWS(D$16:D92))))</f>
        <v/>
      </c>
      <c r="H92"/>
      <c r="I92"/>
      <c r="J92"/>
      <c r="K92"/>
      <c r="L92"/>
    </row>
    <row r="93" spans="2:13" x14ac:dyDescent="0.3">
      <c r="B93" s="24" t="str">
        <f>IFERROR(IF(Program=Spec[[#This Row],[PROGRAM]],Spec[[#This Row],[INRIKTNING]],""),"")</f>
        <v/>
      </c>
      <c r="C93" s="24">
        <f>ROWS('Program och examenskrav'!F107:Spec[[#Headers],[INRIKTNING]])</f>
        <v>82</v>
      </c>
      <c r="D93" s="24" t="str">
        <f t="array" ref="D93">IF(ROWS($D$16:D93)&gt;$B$11,"",INDEX($B$16:$B$149,SMALL(IF($B$16:$B$149&lt;&gt;"",ROW($B$16:$B$149)-ROW($D$16)+1),ROWS(D$16:D93))))</f>
        <v/>
      </c>
      <c r="H93"/>
      <c r="I93"/>
      <c r="J93"/>
      <c r="K93"/>
      <c r="L93"/>
    </row>
    <row r="94" spans="2:13" x14ac:dyDescent="0.3">
      <c r="B94" s="24" t="str">
        <f>IFERROR(IF(Program=Spec[[#This Row],[PROGRAM]],Spec[[#This Row],[INRIKTNING]],""),"")</f>
        <v/>
      </c>
      <c r="C94" s="24">
        <f>ROWS('Program och examenskrav'!F108:Spec[[#Headers],[INRIKTNING]])</f>
        <v>83</v>
      </c>
      <c r="D94" s="24" t="str">
        <f t="array" ref="D94">IF(ROWS($D$16:D94)&gt;$B$11,"",INDEX($B$16:$B$149,SMALL(IF($B$16:$B$149&lt;&gt;"",ROW($B$16:$B$149)-ROW($D$16)+1),ROWS(D$16:D94))))</f>
        <v/>
      </c>
      <c r="H94"/>
      <c r="I94"/>
      <c r="J94"/>
      <c r="K94"/>
      <c r="L94"/>
    </row>
    <row r="95" spans="2:13" x14ac:dyDescent="0.3">
      <c r="B95" s="24" t="str">
        <f>IFERROR(IF(Program=Spec[[#This Row],[PROGRAM]],Spec[[#This Row],[INRIKTNING]],""),"")</f>
        <v/>
      </c>
      <c r="C95" s="24">
        <f>ROWS('Program och examenskrav'!F109:Spec[[#Headers],[INRIKTNING]])</f>
        <v>84</v>
      </c>
      <c r="D95" s="24" t="str">
        <f t="array" ref="D95">IF(ROWS($D$16:D95)&gt;$B$11,"",INDEX($B$16:$B$149,SMALL(IF($B$16:$B$149&lt;&gt;"",ROW($B$16:$B$149)-ROW($D$16)+1),ROWS(D$16:D95))))</f>
        <v/>
      </c>
      <c r="H95"/>
      <c r="I95"/>
      <c r="J95"/>
      <c r="K95"/>
      <c r="L95"/>
    </row>
    <row r="96" spans="2:13" x14ac:dyDescent="0.3">
      <c r="B96" s="24" t="str">
        <f>IFERROR(IF(Program=Spec[[#This Row],[PROGRAM]],Spec[[#This Row],[INRIKTNING]],""),"")</f>
        <v/>
      </c>
      <c r="C96" s="24">
        <f>ROWS('Program och examenskrav'!F110:Spec[[#Headers],[INRIKTNING]])</f>
        <v>85</v>
      </c>
      <c r="D96" s="24" t="str">
        <f t="array" ref="D96">IF(ROWS($D$16:D96)&gt;$B$11,"",INDEX($B$16:$B$149,SMALL(IF($B$16:$B$149&lt;&gt;"",ROW($B$16:$B$149)-ROW($D$16)+1),ROWS(D$16:D96))))</f>
        <v/>
      </c>
      <c r="H96"/>
      <c r="I96"/>
      <c r="J96"/>
      <c r="K96"/>
      <c r="L96"/>
    </row>
    <row r="97" spans="2:12" x14ac:dyDescent="0.3">
      <c r="B97" s="24" t="str">
        <f>IFERROR(IF(Program=Spec[[#This Row],[PROGRAM]],Spec[[#This Row],[INRIKTNING]],""),"")</f>
        <v/>
      </c>
      <c r="C97" s="24">
        <f>ROWS('Program och examenskrav'!F111:Spec[[#Headers],[INRIKTNING]])</f>
        <v>86</v>
      </c>
      <c r="D97" s="24" t="str">
        <f t="array" ref="D97">IF(ROWS($D$16:D97)&gt;$B$11,"",INDEX($B$16:$B$149,SMALL(IF($B$16:$B$149&lt;&gt;"",ROW($B$16:$B$149)-ROW($D$16)+1),ROWS(D$16:D97))))</f>
        <v/>
      </c>
      <c r="H97"/>
      <c r="I97"/>
      <c r="J97"/>
      <c r="K97"/>
      <c r="L97"/>
    </row>
    <row r="98" spans="2:12" x14ac:dyDescent="0.3">
      <c r="B98" s="24" t="str">
        <f>IFERROR(IF(Program=Spec[[#This Row],[PROGRAM]],Spec[[#This Row],[INRIKTNING]],""),"")</f>
        <v/>
      </c>
      <c r="C98" s="24">
        <f>ROWS('Program och examenskrav'!F112:Spec[[#Headers],[INRIKTNING]])</f>
        <v>87</v>
      </c>
      <c r="D98" s="24" t="str">
        <f t="array" ref="D98">IF(ROWS($D$16:D98)&gt;$B$11,"",INDEX($B$16:$B$149,SMALL(IF($B$16:$B$149&lt;&gt;"",ROW($B$16:$B$149)-ROW($D$16)+1),ROWS(D$16:D98))))</f>
        <v/>
      </c>
      <c r="H98"/>
      <c r="I98"/>
      <c r="J98"/>
      <c r="K98"/>
      <c r="L98"/>
    </row>
    <row r="99" spans="2:12" x14ac:dyDescent="0.3">
      <c r="B99" s="24" t="str">
        <f>IFERROR(IF(Program=Spec[[#This Row],[PROGRAM]],Spec[[#This Row],[INRIKTNING]],""),"")</f>
        <v/>
      </c>
      <c r="C99" s="24">
        <f>ROWS('Program och examenskrav'!F113:Spec[[#Headers],[INRIKTNING]])</f>
        <v>88</v>
      </c>
      <c r="D99" s="24" t="str">
        <f t="array" ref="D99">IF(ROWS($D$16:D99)&gt;$B$11,"",INDEX($B$16:$B$149,SMALL(IF($B$16:$B$149&lt;&gt;"",ROW($B$16:$B$149)-ROW($D$16)+1),ROWS(D$16:D99))))</f>
        <v/>
      </c>
      <c r="H99"/>
      <c r="I99"/>
      <c r="J99"/>
      <c r="K99"/>
      <c r="L99"/>
    </row>
    <row r="100" spans="2:12" x14ac:dyDescent="0.3">
      <c r="B100" s="24" t="str">
        <f>IFERROR(IF(Program=Spec[[#This Row],[PROGRAM]],Spec[[#This Row],[INRIKTNING]],""),"")</f>
        <v/>
      </c>
      <c r="C100" s="24">
        <f>ROWS('Program och examenskrav'!F114:Spec[[#Headers],[INRIKTNING]])</f>
        <v>89</v>
      </c>
      <c r="D100" s="24" t="str">
        <f t="array" ref="D100">IF(ROWS($D$16:D100)&gt;$B$11,"",INDEX($B$16:$B$149,SMALL(IF($B$16:$B$149&lt;&gt;"",ROW($B$16:$B$149)-ROW($D$16)+1),ROWS(D$16:D100))))</f>
        <v/>
      </c>
      <c r="H100"/>
      <c r="I100"/>
      <c r="J100"/>
      <c r="K100"/>
      <c r="L100"/>
    </row>
    <row r="101" spans="2:12" x14ac:dyDescent="0.3">
      <c r="B101" s="24" t="str">
        <f>IFERROR(IF(Program=Spec[[#This Row],[PROGRAM]],Spec[[#This Row],[INRIKTNING]],""),"")</f>
        <v/>
      </c>
      <c r="C101" s="24">
        <f>ROWS('Program och examenskrav'!F115:Spec[[#Headers],[INRIKTNING]])</f>
        <v>90</v>
      </c>
      <c r="D101" s="24" t="str">
        <f t="array" ref="D101">IF(ROWS($D$16:D101)&gt;$B$11,"",INDEX($B$16:$B$149,SMALL(IF($B$16:$B$149&lt;&gt;"",ROW($B$16:$B$149)-ROW($D$16)+1),ROWS(D$16:D101))))</f>
        <v/>
      </c>
      <c r="H101"/>
      <c r="I101"/>
      <c r="J101"/>
      <c r="K101"/>
      <c r="L101"/>
    </row>
    <row r="102" spans="2:12" x14ac:dyDescent="0.3">
      <c r="B102" s="24" t="str">
        <f>IFERROR(IF(Program=Spec[[#This Row],[PROGRAM]],Spec[[#This Row],[INRIKTNING]],""),"")</f>
        <v/>
      </c>
      <c r="C102" s="24">
        <f>ROWS('Program och examenskrav'!F116:Spec[[#Headers],[INRIKTNING]])</f>
        <v>91</v>
      </c>
      <c r="D102" s="24" t="str">
        <f t="array" ref="D102">IF(ROWS($D$16:D102)&gt;$B$11,"",INDEX($B$16:$B$149,SMALL(IF($B$16:$B$149&lt;&gt;"",ROW($B$16:$B$149)-ROW($D$16)+1),ROWS(D$16:D102))))</f>
        <v/>
      </c>
      <c r="H102"/>
      <c r="I102"/>
      <c r="J102"/>
      <c r="K102"/>
      <c r="L102"/>
    </row>
    <row r="103" spans="2:12" x14ac:dyDescent="0.3">
      <c r="B103" s="24" t="str">
        <f>IFERROR(IF(Program=Spec[[#This Row],[PROGRAM]],Spec[[#This Row],[INRIKTNING]],""),"")</f>
        <v/>
      </c>
      <c r="C103" s="24">
        <f>ROWS('Program och examenskrav'!F117:Spec[[#Headers],[INRIKTNING]])</f>
        <v>92</v>
      </c>
      <c r="D103" s="24" t="str">
        <f t="array" ref="D103">IF(ROWS($D$16:D103)&gt;$B$11,"",INDEX($B$16:$B$149,SMALL(IF($B$16:$B$149&lt;&gt;"",ROW($B$16:$B$149)-ROW($D$16)+1),ROWS(D$16:D103))))</f>
        <v/>
      </c>
      <c r="H103"/>
      <c r="I103"/>
      <c r="J103"/>
      <c r="K103"/>
      <c r="L103"/>
    </row>
    <row r="104" spans="2:12" x14ac:dyDescent="0.3">
      <c r="B104" s="24" t="str">
        <f>IFERROR(IF(Program=Spec[[#This Row],[PROGRAM]],Spec[[#This Row],[INRIKTNING]],""),"")</f>
        <v/>
      </c>
      <c r="C104" s="24">
        <f>ROWS('Program och examenskrav'!F118:Spec[[#Headers],[INRIKTNING]])</f>
        <v>93</v>
      </c>
      <c r="D104" s="24" t="str">
        <f t="array" ref="D104">IF(ROWS($D$16:D104)&gt;$B$11,"",INDEX($B$16:$B$149,SMALL(IF($B$16:$B$149&lt;&gt;"",ROW($B$16:$B$149)-ROW($D$16)+1),ROWS(D$16:D104))))</f>
        <v/>
      </c>
      <c r="H104"/>
      <c r="I104"/>
      <c r="J104"/>
      <c r="K104"/>
      <c r="L104"/>
    </row>
    <row r="105" spans="2:12" x14ac:dyDescent="0.3">
      <c r="B105" s="24" t="str">
        <f>IFERROR(IF(Program=Spec[[#This Row],[PROGRAM]],Spec[[#This Row],[INRIKTNING]],""),"")</f>
        <v/>
      </c>
      <c r="C105" s="24">
        <f>ROWS('Program och examenskrav'!F119:Spec[[#Headers],[INRIKTNING]])</f>
        <v>94</v>
      </c>
      <c r="D105" s="24" t="str">
        <f t="array" ref="D105">IF(ROWS($D$16:D105)&gt;$B$11,"",INDEX($B$16:$B$149,SMALL(IF($B$16:$B$149&lt;&gt;"",ROW($B$16:$B$149)-ROW($D$16)+1),ROWS(D$16:D105))))</f>
        <v/>
      </c>
      <c r="H105"/>
      <c r="I105"/>
      <c r="J105"/>
      <c r="K105"/>
      <c r="L105"/>
    </row>
    <row r="106" spans="2:12" x14ac:dyDescent="0.3">
      <c r="B106" s="24" t="str">
        <f>IFERROR(IF(Program=Spec[[#This Row],[PROGRAM]],Spec[[#This Row],[INRIKTNING]],""),"")</f>
        <v/>
      </c>
      <c r="C106" s="24">
        <f>ROWS('Program och examenskrav'!F120:Spec[[#Headers],[INRIKTNING]])</f>
        <v>95</v>
      </c>
      <c r="D106" s="24" t="str">
        <f t="array" ref="D106">IF(ROWS($D$16:D106)&gt;$B$11,"",INDEX($B$16:$B$149,SMALL(IF($B$16:$B$149&lt;&gt;"",ROW($B$16:$B$149)-ROW($D$16)+1),ROWS(D$16:D106))))</f>
        <v/>
      </c>
      <c r="H106"/>
      <c r="I106"/>
      <c r="J106"/>
      <c r="K106"/>
      <c r="L106"/>
    </row>
    <row r="107" spans="2:12" x14ac:dyDescent="0.3">
      <c r="B107" s="24" t="str">
        <f>IFERROR(IF(Program=Spec[[#This Row],[PROGRAM]],Spec[[#This Row],[INRIKTNING]],""),"")</f>
        <v/>
      </c>
      <c r="C107" s="24">
        <f>ROWS('Program och examenskrav'!F121:Spec[[#Headers],[INRIKTNING]])</f>
        <v>96</v>
      </c>
      <c r="D107" s="24" t="str">
        <f t="array" ref="D107">IF(ROWS($D$16:D107)&gt;$B$11,"",INDEX($B$16:$B$149,SMALL(IF($B$16:$B$149&lt;&gt;"",ROW($B$16:$B$149)-ROW($D$16)+1),ROWS(D$16:D107))))</f>
        <v/>
      </c>
      <c r="H107"/>
      <c r="I107"/>
      <c r="J107"/>
      <c r="K107"/>
      <c r="L107"/>
    </row>
    <row r="108" spans="2:12" x14ac:dyDescent="0.3">
      <c r="B108" s="24" t="str">
        <f>IFERROR(IF(Program=Spec[[#This Row],[PROGRAM]],Spec[[#This Row],[INRIKTNING]],""),"")</f>
        <v/>
      </c>
      <c r="C108" s="24">
        <f>ROWS('Program och examenskrav'!F122:Spec[[#Headers],[INRIKTNING]])</f>
        <v>97</v>
      </c>
      <c r="D108" s="24" t="str">
        <f t="array" ref="D108">IF(ROWS($D$16:D108)&gt;$B$11,"",INDEX($B$16:$B$149,SMALL(IF($B$16:$B$149&lt;&gt;"",ROW($B$16:$B$149)-ROW($D$16)+1),ROWS(D$16:D108))))</f>
        <v/>
      </c>
      <c r="H108"/>
      <c r="I108"/>
      <c r="J108"/>
      <c r="K108"/>
      <c r="L108"/>
    </row>
    <row r="109" spans="2:12" x14ac:dyDescent="0.3">
      <c r="B109" s="24" t="str">
        <f>IFERROR(IF(Program=Spec[[#This Row],[PROGRAM]],Spec[[#This Row],[INRIKTNING]],""),"")</f>
        <v/>
      </c>
      <c r="C109" s="24">
        <f>ROWS('Program och examenskrav'!F123:Spec[[#Headers],[INRIKTNING]])</f>
        <v>98</v>
      </c>
      <c r="D109" s="24" t="str">
        <f t="array" ref="D109">IF(ROWS($D$16:D109)&gt;$B$11,"",INDEX($B$16:$B$149,SMALL(IF($B$16:$B$149&lt;&gt;"",ROW($B$16:$B$149)-ROW($D$16)+1),ROWS(D$16:D109))))</f>
        <v/>
      </c>
      <c r="H109"/>
      <c r="I109"/>
      <c r="J109"/>
      <c r="K109"/>
      <c r="L109"/>
    </row>
    <row r="110" spans="2:12" x14ac:dyDescent="0.3">
      <c r="B110" s="24" t="str">
        <f>IFERROR(IF(Program=Spec[[#This Row],[PROGRAM]],Spec[[#This Row],[INRIKTNING]],""),"")</f>
        <v/>
      </c>
      <c r="C110" s="24">
        <f>ROWS('Program och examenskrav'!F124:Spec[[#Headers],[INRIKTNING]])</f>
        <v>99</v>
      </c>
      <c r="D110" s="24" t="str">
        <f t="array" ref="D110">IF(ROWS($D$16:D110)&gt;$B$11,"",INDEX($B$16:$B$149,SMALL(IF($B$16:$B$149&lt;&gt;"",ROW($B$16:$B$149)-ROW($D$16)+1),ROWS(D$16:D110))))</f>
        <v/>
      </c>
      <c r="H110"/>
      <c r="I110"/>
      <c r="J110"/>
      <c r="K110"/>
      <c r="L110"/>
    </row>
    <row r="111" spans="2:12" x14ac:dyDescent="0.3">
      <c r="B111" s="24" t="str">
        <f>IFERROR(IF(Program=Spec[[#This Row],[PROGRAM]],Spec[[#This Row],[INRIKTNING]],""),"")</f>
        <v/>
      </c>
      <c r="C111" s="24">
        <f>ROWS('Program och examenskrav'!F125:Spec[[#Headers],[INRIKTNING]])</f>
        <v>100</v>
      </c>
      <c r="D111" s="24" t="str">
        <f t="array" ref="D111">IF(ROWS($D$16:D111)&gt;$B$11,"",INDEX($B$16:$B$149,SMALL(IF($B$16:$B$149&lt;&gt;"",ROW($B$16:$B$149)-ROW($D$16)+1),ROWS(D$16:D111))))</f>
        <v/>
      </c>
      <c r="H111"/>
      <c r="I111"/>
      <c r="J111"/>
      <c r="K111"/>
      <c r="L111"/>
    </row>
    <row r="112" spans="2:12" x14ac:dyDescent="0.3">
      <c r="B112" s="24" t="str">
        <f>IFERROR(IF(Program=Spec[[#This Row],[PROGRAM]],Spec[[#This Row],[INRIKTNING]],""),"")</f>
        <v/>
      </c>
      <c r="C112" s="24">
        <f>ROWS('Program och examenskrav'!F126:Spec[[#Headers],[INRIKTNING]])</f>
        <v>101</v>
      </c>
      <c r="D112" s="24" t="str">
        <f t="array" ref="D112">IF(ROWS($D$16:D112)&gt;$B$11,"",INDEX($B$16:$B$149,SMALL(IF($B$16:$B$149&lt;&gt;"",ROW($B$16:$B$149)-ROW($D$16)+1),ROWS(D$16:D112))))</f>
        <v/>
      </c>
      <c r="H112"/>
      <c r="I112"/>
      <c r="J112"/>
      <c r="K112"/>
      <c r="L112"/>
    </row>
    <row r="113" spans="2:12" x14ac:dyDescent="0.3">
      <c r="B113" s="24" t="str">
        <f>IFERROR(IF(Program=Spec[[#This Row],[PROGRAM]],Spec[[#This Row],[INRIKTNING]],""),"")</f>
        <v/>
      </c>
      <c r="C113" s="24">
        <f>ROWS('Program och examenskrav'!F127:Spec[[#Headers],[INRIKTNING]])</f>
        <v>102</v>
      </c>
      <c r="D113" s="24" t="str">
        <f t="array" ref="D113">IF(ROWS($D$16:D113)&gt;$B$11,"",INDEX($B$16:$B$149,SMALL(IF($B$16:$B$149&lt;&gt;"",ROW($B$16:$B$149)-ROW($D$16)+1),ROWS(D$16:D113))))</f>
        <v/>
      </c>
      <c r="H113"/>
      <c r="I113"/>
      <c r="J113"/>
      <c r="K113"/>
      <c r="L113"/>
    </row>
    <row r="114" spans="2:12" x14ac:dyDescent="0.3">
      <c r="B114" s="24" t="str">
        <f>IFERROR(IF(Program=Spec[[#This Row],[PROGRAM]],Spec[[#This Row],[INRIKTNING]],""),"")</f>
        <v/>
      </c>
      <c r="C114" s="24">
        <f>ROWS('Program och examenskrav'!F128:Spec[[#Headers],[INRIKTNING]])</f>
        <v>103</v>
      </c>
      <c r="D114" s="24" t="str">
        <f t="array" ref="D114">IF(ROWS($D$16:D114)&gt;$B$11,"",INDEX($B$16:$B$149,SMALL(IF($B$16:$B$149&lt;&gt;"",ROW($B$16:$B$149)-ROW($D$16)+1),ROWS(D$16:D114))))</f>
        <v/>
      </c>
      <c r="H114"/>
      <c r="I114"/>
      <c r="J114"/>
      <c r="K114"/>
      <c r="L114"/>
    </row>
    <row r="115" spans="2:12" x14ac:dyDescent="0.3">
      <c r="B115" s="24" t="str">
        <f>IFERROR(IF(Program=Spec[[#This Row],[PROGRAM]],Spec[[#This Row],[INRIKTNING]],""),"")</f>
        <v/>
      </c>
      <c r="C115" s="24">
        <f>ROWS('Program och examenskrav'!F129:Spec[[#Headers],[INRIKTNING]])</f>
        <v>104</v>
      </c>
      <c r="D115" s="24" t="str">
        <f t="array" ref="D115">IF(ROWS($D$16:D115)&gt;$B$11,"",INDEX($B$16:$B$149,SMALL(IF($B$16:$B$149&lt;&gt;"",ROW($B$16:$B$149)-ROW($D$16)+1),ROWS(D$16:D115))))</f>
        <v/>
      </c>
      <c r="H115"/>
      <c r="I115"/>
      <c r="J115"/>
      <c r="K115"/>
      <c r="L115"/>
    </row>
    <row r="116" spans="2:12" x14ac:dyDescent="0.3">
      <c r="B116" s="24" t="str">
        <f>IFERROR(IF(Program=Spec[[#This Row],[PROGRAM]],Spec[[#This Row],[INRIKTNING]],""),"")</f>
        <v/>
      </c>
      <c r="C116" s="24">
        <f>ROWS('Program och examenskrav'!F130:Spec[[#Headers],[INRIKTNING]])</f>
        <v>105</v>
      </c>
      <c r="D116" s="24" t="str">
        <f t="array" ref="D116">IF(ROWS($D$16:D116)&gt;$B$11,"",INDEX($B$16:$B$149,SMALL(IF($B$16:$B$149&lt;&gt;"",ROW($B$16:$B$149)-ROW($D$16)+1),ROWS(D$16:D116))))</f>
        <v/>
      </c>
      <c r="H116"/>
      <c r="I116"/>
      <c r="J116"/>
      <c r="K116"/>
      <c r="L116"/>
    </row>
    <row r="117" spans="2:12" x14ac:dyDescent="0.3">
      <c r="B117" s="24" t="str">
        <f>IFERROR(IF(Program=Spec[[#This Row],[PROGRAM]],Spec[[#This Row],[INRIKTNING]],""),"")</f>
        <v/>
      </c>
      <c r="C117" s="24">
        <f>ROWS('Program och examenskrav'!F131:Spec[[#Headers],[INRIKTNING]])</f>
        <v>106</v>
      </c>
      <c r="D117" s="24" t="str">
        <f t="array" ref="D117">IF(ROWS($D$16:D117)&gt;$B$11,"",INDEX($B$16:$B$149,SMALL(IF($B$16:$B$149&lt;&gt;"",ROW($B$16:$B$149)-ROW($D$16)+1),ROWS(D$16:D117))))</f>
        <v/>
      </c>
      <c r="H117"/>
      <c r="I117"/>
      <c r="J117"/>
      <c r="K117"/>
      <c r="L117"/>
    </row>
    <row r="118" spans="2:12" x14ac:dyDescent="0.3">
      <c r="B118" s="24" t="str">
        <f>IFERROR(IF(Program=Spec[[#This Row],[PROGRAM]],Spec[[#This Row],[INRIKTNING]],""),"")</f>
        <v/>
      </c>
      <c r="C118" s="24">
        <f>ROWS('Program och examenskrav'!F132:Spec[[#Headers],[INRIKTNING]])</f>
        <v>107</v>
      </c>
      <c r="D118" s="24" t="str">
        <f t="array" ref="D118">IF(ROWS($D$16:D118)&gt;$B$11,"",INDEX($B$16:$B$149,SMALL(IF($B$16:$B$149&lt;&gt;"",ROW($B$16:$B$149)-ROW($D$16)+1),ROWS(D$16:D118))))</f>
        <v/>
      </c>
      <c r="H118"/>
      <c r="I118"/>
      <c r="J118"/>
      <c r="K118"/>
      <c r="L118"/>
    </row>
    <row r="119" spans="2:12" x14ac:dyDescent="0.3">
      <c r="B119" s="24" t="str">
        <f>IFERROR(IF(Program=Spec[[#This Row],[PROGRAM]],Spec[[#This Row],[INRIKTNING]],""),"")</f>
        <v/>
      </c>
      <c r="C119" s="24">
        <f>ROWS('Program och examenskrav'!F133:Spec[[#Headers],[INRIKTNING]])</f>
        <v>108</v>
      </c>
      <c r="D119" s="24" t="str">
        <f t="array" ref="D119">IF(ROWS($D$16:D119)&gt;$B$11,"",INDEX($B$16:$B$149,SMALL(IF($B$16:$B$149&lt;&gt;"",ROW($B$16:$B$149)-ROW($D$16)+1),ROWS(D$16:D119))))</f>
        <v/>
      </c>
      <c r="H119"/>
      <c r="I119"/>
      <c r="J119"/>
      <c r="K119"/>
      <c r="L119"/>
    </row>
    <row r="120" spans="2:12" x14ac:dyDescent="0.3">
      <c r="B120" s="24" t="str">
        <f>IFERROR(IF(Program=Spec[[#This Row],[PROGRAM]],Spec[[#This Row],[INRIKTNING]],""),"")</f>
        <v/>
      </c>
      <c r="C120" s="24">
        <f>ROWS('Program och examenskrav'!F134:Spec[[#Headers],[INRIKTNING]])</f>
        <v>109</v>
      </c>
      <c r="D120" s="24" t="str">
        <f t="array" ref="D120">IF(ROWS($D$16:D120)&gt;$B$11,"",INDEX($B$16:$B$149,SMALL(IF($B$16:$B$149&lt;&gt;"",ROW($B$16:$B$149)-ROW($D$16)+1),ROWS(D$16:D120))))</f>
        <v/>
      </c>
      <c r="H120"/>
      <c r="I120"/>
      <c r="J120"/>
      <c r="K120"/>
      <c r="L120"/>
    </row>
    <row r="121" spans="2:12" x14ac:dyDescent="0.3">
      <c r="B121" s="24" t="str">
        <f>IFERROR(IF(Program=Spec[[#This Row],[PROGRAM]],Spec[[#This Row],[INRIKTNING]],""),"")</f>
        <v/>
      </c>
      <c r="C121" s="24">
        <f>ROWS('Program och examenskrav'!F135:Spec[[#Headers],[INRIKTNING]])</f>
        <v>110</v>
      </c>
      <c r="D121" s="24" t="str">
        <f t="array" ref="D121">IF(ROWS($D$16:D121)&gt;$B$11,"",INDEX($B$16:$B$149,SMALL(IF($B$16:$B$149&lt;&gt;"",ROW($B$16:$B$149)-ROW($D$16)+1),ROWS(D$16:D121))))</f>
        <v/>
      </c>
      <c r="H121"/>
      <c r="I121"/>
      <c r="J121"/>
      <c r="K121"/>
      <c r="L121"/>
    </row>
    <row r="122" spans="2:12" x14ac:dyDescent="0.3">
      <c r="B122" s="24" t="str">
        <f>IFERROR(IF(Program=Spec[[#This Row],[PROGRAM]],Spec[[#This Row],[INRIKTNING]],""),"")</f>
        <v/>
      </c>
      <c r="C122" s="24">
        <f>ROWS('Program och examenskrav'!F136:Spec[[#Headers],[INRIKTNING]])</f>
        <v>111</v>
      </c>
      <c r="D122" s="24" t="str">
        <f t="array" ref="D122">IF(ROWS($D$16:D122)&gt;$B$11,"",INDEX($B$16:$B$149,SMALL(IF($B$16:$B$149&lt;&gt;"",ROW($B$16:$B$149)-ROW($D$16)+1),ROWS(D$16:D122))))</f>
        <v/>
      </c>
      <c r="H122"/>
      <c r="I122"/>
      <c r="J122"/>
      <c r="K122"/>
      <c r="L122"/>
    </row>
    <row r="123" spans="2:12" x14ac:dyDescent="0.3">
      <c r="B123" s="24" t="str">
        <f>IFERROR(IF(Program=Spec[[#This Row],[PROGRAM]],Spec[[#This Row],[INRIKTNING]],""),"")</f>
        <v/>
      </c>
      <c r="C123" s="24">
        <f>ROWS('Program och examenskrav'!F137:Spec[[#Headers],[INRIKTNING]])</f>
        <v>112</v>
      </c>
      <c r="D123" s="24" t="str">
        <f t="array" ref="D123">IF(ROWS($D$16:D123)&gt;$B$11,"",INDEX($B$16:$B$149,SMALL(IF($B$16:$B$149&lt;&gt;"",ROW($B$16:$B$149)-ROW($D$16)+1),ROWS(D$16:D123))))</f>
        <v/>
      </c>
    </row>
    <row r="124" spans="2:12" x14ac:dyDescent="0.3">
      <c r="B124" s="24" t="str">
        <f>IFERROR(IF(Program=Spec[[#This Row],[PROGRAM]],Spec[[#This Row],[INRIKTNING]],""),"")</f>
        <v/>
      </c>
      <c r="C124" s="24">
        <f>ROWS('Program och examenskrav'!F138:Spec[[#Headers],[INRIKTNING]])</f>
        <v>113</v>
      </c>
      <c r="D124" s="24" t="str">
        <f t="array" ref="D124">IF(ROWS($D$16:D124)&gt;$B$11,"",INDEX($B$16:$B$149,SMALL(IF($B$16:$B$149&lt;&gt;"",ROW($B$16:$B$149)-ROW($D$16)+1),ROWS(D$16:D124))))</f>
        <v/>
      </c>
    </row>
    <row r="125" spans="2:12" x14ac:dyDescent="0.3">
      <c r="B125" s="24" t="str">
        <f>IFERROR(IF(Program=Spec[[#This Row],[PROGRAM]],Spec[[#This Row],[INRIKTNING]],""),"")</f>
        <v/>
      </c>
      <c r="C125" s="24">
        <f>ROWS('Program och examenskrav'!F139:Spec[[#Headers],[INRIKTNING]])</f>
        <v>114</v>
      </c>
      <c r="D125" s="24" t="str">
        <f t="array" ref="D125">IF(ROWS($D$16:D125)&gt;$B$11,"",INDEX($B$16:$B$149,SMALL(IF($B$16:$B$149&lt;&gt;"",ROW($B$16:$B$149)-ROW($D$16)+1),ROWS(D$16:D125))))</f>
        <v/>
      </c>
    </row>
    <row r="126" spans="2:12" x14ac:dyDescent="0.3">
      <c r="B126" s="24" t="str">
        <f>IFERROR(IF(Program=Spec[[#This Row],[PROGRAM]],Spec[[#This Row],[INRIKTNING]],""),"")</f>
        <v/>
      </c>
      <c r="C126" s="24">
        <f>ROWS('Program och examenskrav'!F140:Spec[[#Headers],[INRIKTNING]])</f>
        <v>115</v>
      </c>
      <c r="D126" s="24" t="str">
        <f t="array" ref="D126">IF(ROWS($D$16:D126)&gt;$B$11,"",INDEX($B$16:$B$149,SMALL(IF($B$16:$B$149&lt;&gt;"",ROW($B$16:$B$149)-ROW($D$16)+1),ROWS(D$16:D126))))</f>
        <v/>
      </c>
    </row>
    <row r="127" spans="2:12" x14ac:dyDescent="0.3">
      <c r="B127" s="24" t="str">
        <f>IFERROR(IF(Program=Spec[[#This Row],[PROGRAM]],Spec[[#This Row],[INRIKTNING]],""),"")</f>
        <v/>
      </c>
      <c r="C127" s="24">
        <f>ROWS('Program och examenskrav'!F141:Spec[[#Headers],[INRIKTNING]])</f>
        <v>116</v>
      </c>
      <c r="D127" s="24" t="str">
        <f t="array" ref="D127">IF(ROWS($D$16:D127)&gt;$B$11,"",INDEX($B$16:$B$149,SMALL(IF($B$16:$B$149&lt;&gt;"",ROW($B$16:$B$149)-ROW($D$16)+1),ROWS(D$16:D127))))</f>
        <v/>
      </c>
    </row>
    <row r="128" spans="2:12" x14ac:dyDescent="0.3">
      <c r="B128" s="24" t="str">
        <f>IFERROR(IF(Program=Spec[[#This Row],[PROGRAM]],Spec[[#This Row],[INRIKTNING]],""),"")</f>
        <v/>
      </c>
      <c r="C128" s="24">
        <f>ROWS('Program och examenskrav'!F142:Spec[[#Headers],[INRIKTNING]])</f>
        <v>117</v>
      </c>
      <c r="D128" s="24" t="str">
        <f t="array" ref="D128">IF(ROWS($D$16:D128)&gt;$B$11,"",INDEX($B$16:$B$149,SMALL(IF($B$16:$B$149&lt;&gt;"",ROW($B$16:$B$149)-ROW($D$16)+1),ROWS(D$16:D128))))</f>
        <v/>
      </c>
    </row>
    <row r="129" spans="2:4" x14ac:dyDescent="0.3">
      <c r="B129" s="24" t="str">
        <f>IFERROR(IF(Program=Spec[[#This Row],[PROGRAM]],Spec[[#This Row],[INRIKTNING]],""),"")</f>
        <v/>
      </c>
      <c r="C129" s="24">
        <f>ROWS('Program och examenskrav'!F143:Spec[[#Headers],[INRIKTNING]])</f>
        <v>118</v>
      </c>
      <c r="D129" s="24" t="str">
        <f t="array" ref="D129">IF(ROWS($D$16:D129)&gt;$B$11,"",INDEX($B$16:$B$149,SMALL(IF($B$16:$B$149&lt;&gt;"",ROW($B$16:$B$149)-ROW($D$16)+1),ROWS(D$16:D129))))</f>
        <v/>
      </c>
    </row>
    <row r="130" spans="2:4" x14ac:dyDescent="0.3">
      <c r="B130" s="24" t="str">
        <f>IFERROR(IF(Program=Spec[[#This Row],[PROGRAM]],Spec[[#This Row],[INRIKTNING]],""),"")</f>
        <v/>
      </c>
      <c r="C130" s="24">
        <f>ROWS('Program och examenskrav'!F144:Spec[[#Headers],[INRIKTNING]])</f>
        <v>119</v>
      </c>
      <c r="D130" s="24" t="str">
        <f t="array" ref="D130">IF(ROWS($D$16:D130)&gt;$B$11,"",INDEX($B$16:$B$149,SMALL(IF($B$16:$B$149&lt;&gt;"",ROW($B$16:$B$149)-ROW($D$16)+1),ROWS(D$16:D130))))</f>
        <v/>
      </c>
    </row>
    <row r="131" spans="2:4" x14ac:dyDescent="0.3">
      <c r="B131" s="24" t="str">
        <f>IFERROR(IF(Program=Spec[[#This Row],[PROGRAM]],Spec[[#This Row],[INRIKTNING]],""),"")</f>
        <v/>
      </c>
      <c r="C131" s="24">
        <f>ROWS('Program och examenskrav'!F145:Spec[[#Headers],[INRIKTNING]])</f>
        <v>120</v>
      </c>
      <c r="D131" s="24" t="str">
        <f t="array" ref="D131">IF(ROWS($D$16:D131)&gt;$B$11,"",INDEX($B$16:$B$149,SMALL(IF($B$16:$B$149&lt;&gt;"",ROW($B$16:$B$149)-ROW($D$16)+1),ROWS(D$16:D131))))</f>
        <v/>
      </c>
    </row>
    <row r="132" spans="2:4" x14ac:dyDescent="0.3">
      <c r="B132" s="24" t="str">
        <f>IFERROR(IF(Program=Spec[[#This Row],[PROGRAM]],Spec[[#This Row],[INRIKTNING]],""),"")</f>
        <v/>
      </c>
      <c r="C132" s="24">
        <f>ROWS('Program och examenskrav'!F146:Spec[[#Headers],[INRIKTNING]])</f>
        <v>121</v>
      </c>
      <c r="D132" s="24" t="str">
        <f t="array" ref="D132">IF(ROWS($D$16:D132)&gt;$B$11,"",INDEX($B$16:$B$149,SMALL(IF($B$16:$B$149&lt;&gt;"",ROW($B$16:$B$149)-ROW($D$16)+1),ROWS(D$16:D132))))</f>
        <v/>
      </c>
    </row>
    <row r="133" spans="2:4" x14ac:dyDescent="0.3">
      <c r="B133" s="24" t="str">
        <f>IFERROR(IF(Program=Spec[[#This Row],[PROGRAM]],Spec[[#This Row],[INRIKTNING]],""),"")</f>
        <v/>
      </c>
      <c r="C133" s="24">
        <f>ROWS('Program och examenskrav'!F147:Spec[[#Headers],[INRIKTNING]])</f>
        <v>122</v>
      </c>
      <c r="D133" s="24" t="str">
        <f t="array" ref="D133">IF(ROWS($D$16:D133)&gt;$B$11,"",INDEX($B$16:$B$149,SMALL(IF($B$16:$B$149&lt;&gt;"",ROW($B$16:$B$149)-ROW($D$16)+1),ROWS(D$16:D133))))</f>
        <v/>
      </c>
    </row>
    <row r="134" spans="2:4" x14ac:dyDescent="0.3">
      <c r="B134" s="24" t="str">
        <f>IFERROR(IF(Program=Spec[[#This Row],[PROGRAM]],Spec[[#This Row],[INRIKTNING]],""),"")</f>
        <v/>
      </c>
      <c r="C134" s="24">
        <f>ROWS('Program och examenskrav'!F148:Spec[[#Headers],[INRIKTNING]])</f>
        <v>123</v>
      </c>
      <c r="D134" s="24" t="str">
        <f t="array" ref="D134">IF(ROWS($D$16:D134)&gt;$B$11,"",INDEX($B$16:$B$149,SMALL(IF($B$16:$B$149&lt;&gt;"",ROW($B$16:$B$149)-ROW($D$16)+1),ROWS(D$16:D134))))</f>
        <v/>
      </c>
    </row>
    <row r="135" spans="2:4" x14ac:dyDescent="0.3">
      <c r="B135" s="24" t="str">
        <f>IFERROR(IF(Program=Spec[[#This Row],[PROGRAM]],Spec[[#This Row],[INRIKTNING]],""),"")</f>
        <v/>
      </c>
      <c r="C135" s="24">
        <f>ROWS('Program och examenskrav'!F149:Spec[[#Headers],[INRIKTNING]])</f>
        <v>124</v>
      </c>
      <c r="D135" s="24" t="str">
        <f t="array" ref="D135">IF(ROWS($D$16:D135)&gt;$B$11,"",INDEX($B$16:$B$149,SMALL(IF($B$16:$B$149&lt;&gt;"",ROW($B$16:$B$149)-ROW($D$16)+1),ROWS(D$16:D135))))</f>
        <v/>
      </c>
    </row>
    <row r="136" spans="2:4" x14ac:dyDescent="0.3">
      <c r="B136" s="24" t="str">
        <f>IFERROR(IF(Program=Spec[[#This Row],[PROGRAM]],Spec[[#This Row],[INRIKTNING]],""),"")</f>
        <v/>
      </c>
      <c r="C136" s="24">
        <f>ROWS('Program och examenskrav'!F150:Spec[[#Headers],[INRIKTNING]])</f>
        <v>125</v>
      </c>
      <c r="D136" s="24" t="str">
        <f t="array" ref="D136">IF(ROWS($D$16:D136)&gt;$B$11,"",INDEX($B$16:$B$149,SMALL(IF($B$16:$B$149&lt;&gt;"",ROW($B$16:$B$149)-ROW($D$16)+1),ROWS(D$16:D136))))</f>
        <v/>
      </c>
    </row>
    <row r="137" spans="2:4" x14ac:dyDescent="0.3">
      <c r="B137" s="24" t="str">
        <f>IFERROR(IF(Program=Spec[[#This Row],[PROGRAM]],Spec[[#This Row],[INRIKTNING]],""),"")</f>
        <v/>
      </c>
      <c r="C137" s="24">
        <f>ROWS('Program och examenskrav'!F151:Spec[[#Headers],[INRIKTNING]])</f>
        <v>126</v>
      </c>
      <c r="D137" s="24" t="str">
        <f t="array" ref="D137">IF(ROWS($D$16:D137)&gt;$B$11,"",INDEX($B$16:$B$149,SMALL(IF($B$16:$B$149&lt;&gt;"",ROW($B$16:$B$149)-ROW($D$16)+1),ROWS(D$16:D137))))</f>
        <v/>
      </c>
    </row>
    <row r="138" spans="2:4" x14ac:dyDescent="0.3">
      <c r="B138" s="24" t="str">
        <f>IFERROR(IF(Program=Spec[[#This Row],[PROGRAM]],Spec[[#This Row],[INRIKTNING]],""),"")</f>
        <v/>
      </c>
      <c r="C138" s="24">
        <f>ROWS('Program och examenskrav'!F152:Spec[[#Headers],[INRIKTNING]])</f>
        <v>127</v>
      </c>
      <c r="D138" s="24" t="str">
        <f t="array" ref="D138">IF(ROWS($D$16:D138)&gt;$B$11,"",INDEX($B$16:$B$149,SMALL(IF($B$16:$B$149&lt;&gt;"",ROW($B$16:$B$149)-ROW($D$16)+1),ROWS(D$16:D138))))</f>
        <v/>
      </c>
    </row>
    <row r="139" spans="2:4" x14ac:dyDescent="0.3">
      <c r="B139" s="24" t="str">
        <f>IFERROR(IF(Program=Spec[[#This Row],[PROGRAM]],Spec[[#This Row],[INRIKTNING]],""),"")</f>
        <v/>
      </c>
      <c r="C139" s="24">
        <f>ROWS('Program och examenskrav'!F153:Spec[[#Headers],[INRIKTNING]])</f>
        <v>128</v>
      </c>
      <c r="D139" s="24" t="str">
        <f t="array" ref="D139">IF(ROWS($D$16:D139)&gt;$B$11,"",INDEX($B$16:$B$149,SMALL(IF($B$16:$B$149&lt;&gt;"",ROW($B$16:$B$149)-ROW($D$16)+1),ROWS(D$16:D139))))</f>
        <v/>
      </c>
    </row>
    <row r="140" spans="2:4" x14ac:dyDescent="0.3">
      <c r="B140" s="24" t="str">
        <f>IFERROR(IF(Program=Spec[[#This Row],[PROGRAM]],Spec[[#This Row],[INRIKTNING]],""),"")</f>
        <v/>
      </c>
      <c r="C140" s="24">
        <f>ROWS('Program och examenskrav'!F154:Spec[[#Headers],[INRIKTNING]])</f>
        <v>129</v>
      </c>
      <c r="D140" s="24" t="str">
        <f t="array" ref="D140">IF(ROWS($D$16:D140)&gt;$B$11,"",INDEX($B$16:$B$149,SMALL(IF($B$16:$B$149&lt;&gt;"",ROW($B$16:$B$149)-ROW($D$16)+1),ROWS(D$16:D140))))</f>
        <v/>
      </c>
    </row>
    <row r="141" spans="2:4" x14ac:dyDescent="0.3">
      <c r="B141" s="24" t="str">
        <f>IFERROR(IF(Program=Spec[[#This Row],[PROGRAM]],Spec[[#This Row],[INRIKTNING]],""),"")</f>
        <v/>
      </c>
      <c r="C141" s="24">
        <f>ROWS('Program och examenskrav'!F155:Spec[[#Headers],[INRIKTNING]])</f>
        <v>130</v>
      </c>
      <c r="D141" s="24" t="str">
        <f t="array" ref="D141">IF(ROWS($D$16:D141)&gt;$B$11,"",INDEX($B$16:$B$149,SMALL(IF($B$16:$B$149&lt;&gt;"",ROW($B$16:$B$149)-ROW($D$16)+1),ROWS(D$16:D141))))</f>
        <v/>
      </c>
    </row>
    <row r="142" spans="2:4" x14ac:dyDescent="0.3">
      <c r="B142" s="24" t="str">
        <f>IFERROR(IF(Program=Spec[[#This Row],[PROGRAM]],Spec[[#This Row],[INRIKTNING]],""),"")</f>
        <v/>
      </c>
      <c r="C142" s="24">
        <f>ROWS('Program och examenskrav'!F156:Spec[[#Headers],[INRIKTNING]])</f>
        <v>131</v>
      </c>
      <c r="D142" s="24" t="str">
        <f t="array" ref="D142">IF(ROWS($D$16:D142)&gt;$B$11,"",INDEX($B$16:$B$149,SMALL(IF($B$16:$B$149&lt;&gt;"",ROW($B$16:$B$149)-ROW($D$16)+1),ROWS(D$16:D142))))</f>
        <v/>
      </c>
    </row>
    <row r="143" spans="2:4" x14ac:dyDescent="0.3">
      <c r="B143" s="24" t="str">
        <f>IFERROR(IF(Program=Spec[[#This Row],[PROGRAM]],Spec[[#This Row],[INRIKTNING]],""),"")</f>
        <v/>
      </c>
      <c r="C143" s="24">
        <f>ROWS('Program och examenskrav'!F157:Spec[[#Headers],[INRIKTNING]])</f>
        <v>132</v>
      </c>
      <c r="D143" s="24" t="str">
        <f t="array" ref="D143">IF(ROWS($D$16:D143)&gt;$B$11,"",INDEX($B$16:$B$149,SMALL(IF($B$16:$B$149&lt;&gt;"",ROW($B$16:$B$149)-ROW($D$16)+1),ROWS(D$16:D143))))</f>
        <v/>
      </c>
    </row>
    <row r="144" spans="2:4" x14ac:dyDescent="0.3">
      <c r="B144" s="24" t="str">
        <f>IFERROR(IF(Program=Spec[[#This Row],[PROGRAM]],Spec[[#This Row],[INRIKTNING]],""),"")</f>
        <v/>
      </c>
      <c r="C144" s="24">
        <f>ROWS('Program och examenskrav'!F158:Spec[[#Headers],[INRIKTNING]])</f>
        <v>133</v>
      </c>
      <c r="D144" s="24" t="str">
        <f t="array" ref="D144">IF(ROWS($D$16:D144)&gt;$B$11,"",INDEX($B$16:$B$149,SMALL(IF($B$16:$B$149&lt;&gt;"",ROW($B$16:$B$149)-ROW($D$16)+1),ROWS(D$16:D144))))</f>
        <v/>
      </c>
    </row>
    <row r="145" spans="2:4" x14ac:dyDescent="0.3">
      <c r="B145" s="24" t="str">
        <f>IFERROR(IF(Program=Spec[[#This Row],[PROGRAM]],Spec[[#This Row],[INRIKTNING]],""),"")</f>
        <v/>
      </c>
      <c r="C145" s="24">
        <f>ROWS('Program och examenskrav'!F159:Spec[[#Headers],[INRIKTNING]])</f>
        <v>134</v>
      </c>
      <c r="D145" s="24" t="str">
        <f t="array" ref="D145">IF(ROWS($D$16:D145)&gt;$B$11,"",INDEX($B$16:$B$149,SMALL(IF($B$16:$B$149&lt;&gt;"",ROW($B$16:$B$149)-ROW($D$16)+1),ROWS(D$16:D145))))</f>
        <v/>
      </c>
    </row>
    <row r="146" spans="2:4" x14ac:dyDescent="0.3">
      <c r="B146" s="24" t="str">
        <f>IFERROR(IF(Program=Spec[[#This Row],[PROGRAM]],Spec[[#This Row],[INRIKTNING]],""),"")</f>
        <v/>
      </c>
      <c r="C146" s="24">
        <f>ROWS('Program och examenskrav'!F160:Spec[[#Headers],[INRIKTNING]])</f>
        <v>135</v>
      </c>
      <c r="D146" s="24" t="str">
        <f t="array" ref="D146">IF(ROWS($D$16:D146)&gt;$B$11,"",INDEX($B$16:$B$149,SMALL(IF($B$16:$B$149&lt;&gt;"",ROW($B$16:$B$149)-ROW($D$16)+1),ROWS(D$16:D146))))</f>
        <v/>
      </c>
    </row>
    <row r="147" spans="2:4" x14ac:dyDescent="0.3">
      <c r="B147" s="24" t="str">
        <f>IFERROR(IF(Program=Spec[[#This Row],[PROGRAM]],Spec[[#This Row],[INRIKTNING]],""),"")</f>
        <v/>
      </c>
      <c r="C147" s="24">
        <f>ROWS('Program och examenskrav'!F161:Spec[[#Headers],[INRIKTNING]])</f>
        <v>136</v>
      </c>
      <c r="D147" s="24" t="str">
        <f t="array" ref="D147">IF(ROWS($D$16:D147)&gt;$B$11,"",INDEX($B$16:$B$149,SMALL(IF($B$16:$B$149&lt;&gt;"",ROW($B$16:$B$149)-ROW($D$16)+1),ROWS(D$16:D147))))</f>
        <v/>
      </c>
    </row>
    <row r="148" spans="2:4" x14ac:dyDescent="0.3">
      <c r="B148" s="24" t="str">
        <f>IFERROR(IF(Program=Spec[[#This Row],[PROGRAM]],Spec[[#This Row],[INRIKTNING]],""),"")</f>
        <v/>
      </c>
      <c r="C148" s="24">
        <f>ROWS('Program och examenskrav'!F162:Spec[[#Headers],[INRIKTNING]])</f>
        <v>137</v>
      </c>
      <c r="D148" s="24" t="str">
        <f t="array" ref="D148">IF(ROWS($D$16:D148)&gt;$B$11,"",INDEX($B$16:$B$149,SMALL(IF($B$16:$B$149&lt;&gt;"",ROW($B$16:$B$149)-ROW($D$16)+1),ROWS(D$16:D148))))</f>
        <v/>
      </c>
    </row>
    <row r="149" spans="2:4" x14ac:dyDescent="0.3">
      <c r="B149" s="24" t="str">
        <f>IFERROR(IF(Program=Spec[[#This Row],[PROGRAM]],Spec[[#This Row],[INRIKTNING]],""),"")</f>
        <v/>
      </c>
      <c r="C149" s="24">
        <f>ROWS('Program och examenskrav'!F163:Spec[[#Headers],[INRIKTNING]])</f>
        <v>138</v>
      </c>
      <c r="D149" s="24" t="str">
        <f t="array" ref="D149">IF(ROWS($D$16:D149)&gt;$B$11,"",INDEX($B$16:$B$149,SMALL(IF($B$16:$B$149&lt;&gt;"",ROW($B$16:$B$149)-ROW($D$16)+1),ROWS(D$16:D149))))</f>
        <v/>
      </c>
    </row>
    <row r="150" spans="2:4" x14ac:dyDescent="0.3">
      <c r="B150" s="24" t="str">
        <f>IFERROR(IF(Program=Spec[[#This Row],[PROGRAM]],Spec[[#This Row],[INRIKTNING]],""),"")</f>
        <v/>
      </c>
      <c r="C150" s="24">
        <f>ROWS('Program och examenskrav'!F164:Spec[[#Headers],[INRIKTNING]])</f>
        <v>139</v>
      </c>
      <c r="D150" s="24" t="str">
        <f t="array" ref="D150">IF(ROWS($D$16:D150)&gt;$B$11,"",INDEX($B$16:$B$149,SMALL(IF($B$16:$B$149&lt;&gt;"",ROW($B$16:$B$149)-ROW($D$16)+1),ROWS(D$16:D150))))</f>
        <v/>
      </c>
    </row>
    <row r="151" spans="2:4" x14ac:dyDescent="0.3">
      <c r="B151" s="24" t="str">
        <f>IFERROR(IF(Program=Spec[[#This Row],[PROGRAM]],Spec[[#This Row],[INRIKTNING]],""),"")</f>
        <v/>
      </c>
      <c r="C151" s="24">
        <f>ROWS('Program och examenskrav'!F165:Spec[[#Headers],[INRIKTNING]])</f>
        <v>140</v>
      </c>
      <c r="D151" s="24" t="str">
        <f t="array" ref="D151">IF(ROWS($D$16:D151)&gt;$B$11,"",INDEX($B$16:$B$149,SMALL(IF($B$16:$B$149&lt;&gt;"",ROW($B$16:$B$149)-ROW($D$16)+1),ROWS(D$16:D151))))</f>
        <v/>
      </c>
    </row>
    <row r="152" spans="2:4" x14ac:dyDescent="0.3">
      <c r="B152" s="24" t="str">
        <f>IFERROR(IF(Program=Spec[[#This Row],[PROGRAM]],Spec[[#This Row],[INRIKTNING]],""),"")</f>
        <v/>
      </c>
      <c r="C152" s="24">
        <f>ROWS('Program och examenskrav'!F166:Spec[[#Headers],[INRIKTNING]])</f>
        <v>141</v>
      </c>
      <c r="D152" s="24" t="str">
        <f t="array" ref="D152">IF(ROWS($D$16:D152)&gt;$B$11,"",INDEX($B$16:$B$149,SMALL(IF($B$16:$B$149&lt;&gt;"",ROW($B$16:$B$149)-ROW($D$16)+1),ROWS(D$16:D152))))</f>
        <v/>
      </c>
    </row>
    <row r="153" spans="2:4" x14ac:dyDescent="0.3">
      <c r="B153" s="24" t="str">
        <f>IFERROR(IF(Program=Spec[[#This Row],[PROGRAM]],Spec[[#This Row],[INRIKTNING]],""),"")</f>
        <v/>
      </c>
      <c r="C153" s="24">
        <f>ROWS('Program och examenskrav'!F167:Spec[[#Headers],[INRIKTNING]])</f>
        <v>142</v>
      </c>
      <c r="D153" s="24" t="str">
        <f t="array" ref="D153">IF(ROWS($D$16:D153)&gt;$B$11,"",INDEX($B$16:$B$149,SMALL(IF($B$16:$B$149&lt;&gt;"",ROW($B$16:$B$149)-ROW($D$16)+1),ROWS(D$16:D153))))</f>
        <v/>
      </c>
    </row>
    <row r="154" spans="2:4" x14ac:dyDescent="0.3">
      <c r="B154" s="24" t="str">
        <f>IFERROR(IF(Program=Spec[[#This Row],[PROGRAM]],Spec[[#This Row],[INRIKTNING]],""),"")</f>
        <v/>
      </c>
      <c r="C154" s="24">
        <f>ROWS('Program och examenskrav'!F168:Spec[[#Headers],[INRIKTNING]])</f>
        <v>143</v>
      </c>
      <c r="D154" s="24" t="str">
        <f t="array" ref="D154">IF(ROWS($D$16:D154)&gt;$B$11,"",INDEX($B$16:$B$149,SMALL(IF($B$16:$B$149&lt;&gt;"",ROW($B$16:$B$149)-ROW($D$16)+1),ROWS(D$16:D154))))</f>
        <v/>
      </c>
    </row>
    <row r="155" spans="2:4" x14ac:dyDescent="0.3">
      <c r="B155" s="24" t="str">
        <f>IFERROR(IF(Program=Spec[[#This Row],[PROGRAM]],Spec[[#This Row],[INRIKTNING]],""),"")</f>
        <v/>
      </c>
      <c r="C155" s="24">
        <f>ROWS('Program och examenskrav'!F169:Spec[[#Headers],[INRIKTNING]])</f>
        <v>144</v>
      </c>
      <c r="D155" s="24" t="str">
        <f t="array" ref="D155">IF(ROWS($D$16:D155)&gt;$B$11,"",INDEX($B$16:$B$149,SMALL(IF($B$16:$B$149&lt;&gt;"",ROW($B$16:$B$149)-ROW($D$16)+1),ROWS(D$16:D155))))</f>
        <v/>
      </c>
    </row>
    <row r="156" spans="2:4" x14ac:dyDescent="0.3">
      <c r="B156" s="24" t="str">
        <f>IFERROR(IF(Program=Spec[[#This Row],[PROGRAM]],Spec[[#This Row],[INRIKTNING]],""),"")</f>
        <v/>
      </c>
      <c r="C156" s="24">
        <f>ROWS('Program och examenskrav'!F170:Spec[[#Headers],[INRIKTNING]])</f>
        <v>145</v>
      </c>
      <c r="D156" s="24" t="str">
        <f t="array" ref="D156">IF(ROWS($D$16:D156)&gt;$B$11,"",INDEX($B$16:$B$149,SMALL(IF($B$16:$B$149&lt;&gt;"",ROW($B$16:$B$149)-ROW($D$16)+1),ROWS(D$16:D156))))</f>
        <v/>
      </c>
    </row>
    <row r="157" spans="2:4" x14ac:dyDescent="0.3">
      <c r="B157" s="24" t="str">
        <f>IFERROR(IF(Program=Spec[[#This Row],[PROGRAM]],Spec[[#This Row],[INRIKTNING]],""),"")</f>
        <v/>
      </c>
      <c r="C157" s="24">
        <f>ROWS('Program och examenskrav'!F171:Spec[[#Headers],[INRIKTNING]])</f>
        <v>146</v>
      </c>
      <c r="D157" s="24" t="str">
        <f t="array" ref="D157">IF(ROWS($D$16:D157)&gt;$B$11,"",INDEX($B$16:$B$149,SMALL(IF($B$16:$B$149&lt;&gt;"",ROW($B$16:$B$149)-ROW($D$16)+1),ROWS(D$16:D157))))</f>
        <v/>
      </c>
    </row>
    <row r="158" spans="2:4" x14ac:dyDescent="0.3">
      <c r="B158" s="24" t="str">
        <f>IFERROR(IF(Program=Spec[[#This Row],[PROGRAM]],Spec[[#This Row],[INRIKTNING]],""),"")</f>
        <v/>
      </c>
      <c r="C158" s="24">
        <f>ROWS('Program och examenskrav'!F172:Spec[[#Headers],[INRIKTNING]])</f>
        <v>147</v>
      </c>
      <c r="D158" s="24" t="str">
        <f t="array" ref="D158">IF(ROWS($D$16:D158)&gt;$B$11,"",INDEX($B$16:$B$149,SMALL(IF($B$16:$B$149&lt;&gt;"",ROW($B$16:$B$149)-ROW($D$16)+1),ROWS(D$16:D158))))</f>
        <v/>
      </c>
    </row>
    <row r="159" spans="2:4" x14ac:dyDescent="0.3">
      <c r="B159" s="24" t="str">
        <f>IFERROR(IF(Program=Spec[[#This Row],[PROGRAM]],Spec[[#This Row],[INRIKTNING]],""),"")</f>
        <v/>
      </c>
      <c r="C159" s="24">
        <f>ROWS('Program och examenskrav'!F173:Spec[[#Headers],[INRIKTNING]])</f>
        <v>148</v>
      </c>
      <c r="D159" s="24" t="str">
        <f t="array" ref="D159">IF(ROWS($D$16:D159)&gt;$B$11,"",INDEX($B$16:$B$149,SMALL(IF($B$16:$B$149&lt;&gt;"",ROW($B$16:$B$149)-ROW($D$16)+1),ROWS(D$16:D159))))</f>
        <v/>
      </c>
    </row>
    <row r="160" spans="2:4" x14ac:dyDescent="0.3">
      <c r="B160" s="24" t="str">
        <f>IFERROR(IF(Program=Spec[[#This Row],[PROGRAM]],Spec[[#This Row],[INRIKTNING]],""),"")</f>
        <v/>
      </c>
      <c r="C160" s="24">
        <f>ROWS('Program och examenskrav'!F174:Spec[[#Headers],[INRIKTNING]])</f>
        <v>149</v>
      </c>
      <c r="D160" s="24" t="str">
        <f t="array" ref="D160">IF(ROWS($D$16:D160)&gt;$B$11,"",INDEX($B$16:$B$149,SMALL(IF($B$16:$B$149&lt;&gt;"",ROW($B$16:$B$149)-ROW($D$16)+1),ROWS(D$16:D160))))</f>
        <v/>
      </c>
    </row>
    <row r="161" spans="2:4" x14ac:dyDescent="0.3">
      <c r="B161" s="24" t="str">
        <f>IFERROR(IF(Program=Spec[[#This Row],[PROGRAM]],Spec[[#This Row],[INRIKTNING]],""),"")</f>
        <v/>
      </c>
      <c r="C161" s="24">
        <f>ROWS('Program och examenskrav'!F175:Spec[[#Headers],[INRIKTNING]])</f>
        <v>150</v>
      </c>
      <c r="D161" s="24" t="str">
        <f t="array" ref="D161">IF(ROWS($D$16:D161)&gt;$B$11,"",INDEX($B$16:$B$149,SMALL(IF($B$16:$B$149&lt;&gt;"",ROW($B$16:$B$149)-ROW($D$16)+1),ROWS(D$16:D161))))</f>
        <v/>
      </c>
    </row>
    <row r="162" spans="2:4" x14ac:dyDescent="0.3">
      <c r="B162" s="24" t="str">
        <f>IFERROR(IF(Program=Spec[[#This Row],[PROGRAM]],Spec[[#This Row],[INRIKTNING]],""),"")</f>
        <v/>
      </c>
      <c r="C162" s="24">
        <f>ROWS('Program och examenskrav'!F176:Spec[[#Headers],[INRIKTNING]])</f>
        <v>151</v>
      </c>
      <c r="D162" s="24" t="str">
        <f t="array" ref="D162">IF(ROWS($D$16:D162)&gt;$B$11,"",INDEX($B$16:$B$149,SMALL(IF($B$16:$B$149&lt;&gt;"",ROW($B$16:$B$149)-ROW($D$16)+1),ROWS(D$16:D162))))</f>
        <v/>
      </c>
    </row>
    <row r="163" spans="2:4" x14ac:dyDescent="0.3">
      <c r="B163" s="24" t="str">
        <f>IFERROR(IF(Program=Spec[[#This Row],[PROGRAM]],Spec[[#This Row],[INRIKTNING]],""),"")</f>
        <v/>
      </c>
      <c r="C163" s="24">
        <f>ROWS('Program och examenskrav'!F177:Spec[[#Headers],[INRIKTNING]])</f>
        <v>152</v>
      </c>
      <c r="D163" s="24" t="str">
        <f t="array" ref="D163">IF(ROWS($D$16:D163)&gt;$B$11,"",INDEX($B$16:$B$149,SMALL(IF($B$16:$B$149&lt;&gt;"",ROW($B$16:$B$149)-ROW($D$16)+1),ROWS(D$16:D163))))</f>
        <v/>
      </c>
    </row>
    <row r="164" spans="2:4" x14ac:dyDescent="0.3">
      <c r="B164" s="24" t="str">
        <f>IFERROR(IF(Program=Spec[[#This Row],[PROGRAM]],Spec[[#This Row],[INRIKTNING]],""),"")</f>
        <v/>
      </c>
      <c r="C164" s="24">
        <f>ROWS('Program och examenskrav'!F178:Spec[[#Headers],[INRIKTNING]])</f>
        <v>153</v>
      </c>
      <c r="D164" s="24" t="str">
        <f t="array" ref="D164">IF(ROWS($D$16:D164)&gt;$B$11,"",INDEX($B$16:$B$149,SMALL(IF($B$16:$B$149&lt;&gt;"",ROW($B$16:$B$149)-ROW($D$16)+1),ROWS(D$16:D164))))</f>
        <v/>
      </c>
    </row>
    <row r="165" spans="2:4" x14ac:dyDescent="0.3">
      <c r="B165" s="24" t="str">
        <f>IFERROR(IF(Program=Spec[[#This Row],[PROGRAM]],Spec[[#This Row],[INRIKTNING]],""),"")</f>
        <v/>
      </c>
      <c r="C165" s="24">
        <f>ROWS('Program och examenskrav'!F179:Spec[[#Headers],[INRIKTNING]])</f>
        <v>154</v>
      </c>
      <c r="D165" s="24" t="str">
        <f t="array" ref="D165">IF(ROWS($D$16:D165)&gt;$B$11,"",INDEX($B$16:$B$149,SMALL(IF($B$16:$B$149&lt;&gt;"",ROW($B$16:$B$149)-ROW($D$16)+1),ROWS(D$16:D165))))</f>
        <v/>
      </c>
    </row>
    <row r="166" spans="2:4" x14ac:dyDescent="0.3">
      <c r="B166" s="24" t="str">
        <f>IFERROR(IF(Program=Spec[[#This Row],[PROGRAM]],Spec[[#This Row],[INRIKTNING]],""),"")</f>
        <v/>
      </c>
      <c r="C166" s="24">
        <f>ROWS('Program och examenskrav'!F180:Spec[[#Headers],[INRIKTNING]])</f>
        <v>155</v>
      </c>
      <c r="D166" s="24" t="str">
        <f t="array" ref="D166">IF(ROWS($D$16:D166)&gt;$B$11,"",INDEX($B$16:$B$149,SMALL(IF($B$16:$B$149&lt;&gt;"",ROW($B$16:$B$149)-ROW($D$16)+1),ROWS(D$16:D166))))</f>
        <v/>
      </c>
    </row>
    <row r="167" spans="2:4" x14ac:dyDescent="0.3">
      <c r="B167" s="24" t="str">
        <f>IFERROR(IF(Program=Spec[[#This Row],[PROGRAM]],Spec[[#This Row],[INRIKTNING]],""),"")</f>
        <v/>
      </c>
      <c r="C167" s="24">
        <f>ROWS('Program och examenskrav'!F181:Spec[[#Headers],[INRIKTNING]])</f>
        <v>156</v>
      </c>
      <c r="D167" s="24" t="str">
        <f t="array" ref="D167">IF(ROWS($D$16:D167)&gt;$B$11,"",INDEX($B$16:$B$149,SMALL(IF($B$16:$B$149&lt;&gt;"",ROW($B$16:$B$149)-ROW($D$16)+1),ROWS(D$16:D167))))</f>
        <v/>
      </c>
    </row>
    <row r="168" spans="2:4" x14ac:dyDescent="0.3">
      <c r="B168" s="24" t="str">
        <f>IFERROR(IF(Program=Spec[[#This Row],[PROGRAM]],Spec[[#This Row],[INRIKTNING]],""),"")</f>
        <v/>
      </c>
      <c r="C168" s="24">
        <f>ROWS('Program och examenskrav'!F182:Spec[[#Headers],[INRIKTNING]])</f>
        <v>157</v>
      </c>
      <c r="D168" s="24" t="str">
        <f t="array" ref="D168">IF(ROWS($D$16:D168)&gt;$B$11,"",INDEX($B$16:$B$149,SMALL(IF($B$16:$B$149&lt;&gt;"",ROW($B$16:$B$149)-ROW($D$16)+1),ROWS(D$16:D168))))</f>
        <v/>
      </c>
    </row>
    <row r="169" spans="2:4" x14ac:dyDescent="0.3">
      <c r="B169" s="24" t="str">
        <f>IFERROR(IF(Program=Spec[[#This Row],[PROGRAM]],Spec[[#This Row],[INRIKTNING]],""),"")</f>
        <v/>
      </c>
      <c r="C169" s="24">
        <f>ROWS('Program och examenskrav'!F183:Spec[[#Headers],[INRIKTNING]])</f>
        <v>158</v>
      </c>
      <c r="D169" s="24" t="str">
        <f t="array" ref="D169">IF(ROWS($D$16:D169)&gt;$B$11,"",INDEX($B$16:$B$149,SMALL(IF($B$16:$B$149&lt;&gt;"",ROW($B$16:$B$149)-ROW($D$16)+1),ROWS(D$16:D169))))</f>
        <v/>
      </c>
    </row>
    <row r="170" spans="2:4" x14ac:dyDescent="0.3">
      <c r="B170" s="24" t="str">
        <f>IFERROR(IF(Program=Spec[[#This Row],[PROGRAM]],Spec[[#This Row],[INRIKTNING]],""),"")</f>
        <v/>
      </c>
      <c r="C170" s="24">
        <f>ROWS('Program och examenskrav'!F184:Spec[[#Headers],[INRIKTNING]])</f>
        <v>159</v>
      </c>
      <c r="D170" s="24" t="str">
        <f t="array" ref="D170">IF(ROWS($D$16:D170)&gt;$B$11,"",INDEX($B$16:$B$149,SMALL(IF($B$16:$B$149&lt;&gt;"",ROW($B$16:$B$149)-ROW($D$16)+1),ROWS(D$16:D170))))</f>
        <v/>
      </c>
    </row>
    <row r="171" spans="2:4" x14ac:dyDescent="0.3">
      <c r="B171" s="24" t="str">
        <f>IFERROR(IF(Program=Spec[[#This Row],[PROGRAM]],Spec[[#This Row],[INRIKTNING]],""),"")</f>
        <v/>
      </c>
      <c r="C171" s="24">
        <f>ROWS('Program och examenskrav'!F185:Spec[[#Headers],[INRIKTNING]])</f>
        <v>160</v>
      </c>
      <c r="D171" s="24" t="str">
        <f t="array" ref="D171">IF(ROWS($D$16:D171)&gt;$B$11,"",INDEX($B$16:$B$149,SMALL(IF($B$16:$B$149&lt;&gt;"",ROW($B$16:$B$149)-ROW($D$16)+1),ROWS(D$16:D171))))</f>
        <v/>
      </c>
    </row>
    <row r="172" spans="2:4" x14ac:dyDescent="0.3">
      <c r="B172" s="24" t="s">
        <v>47</v>
      </c>
      <c r="C172" s="24">
        <f>ROWS('Program och examenskrav'!F186:Spec[[#Headers],[INRIKTNING]])</f>
        <v>161</v>
      </c>
      <c r="D172" s="24" t="str">
        <f t="array" ref="D172">IF(ROWS($D$16:D172)&gt;$B$11,"",INDEX($B$16:$B$149,SMALL(IF($B$16:$B$149&lt;&gt;"",ROW($B$16:$B$149)-ROW($D$16)+1),ROWS(D$16:D172))))</f>
        <v/>
      </c>
    </row>
    <row r="173" spans="2:4" x14ac:dyDescent="0.3">
      <c r="B173" s="24" t="s">
        <v>48</v>
      </c>
      <c r="C173" s="24">
        <f>ROWS('Program och examenskrav'!F187:Spec[[#Headers],[INRIKTNING]])</f>
        <v>162</v>
      </c>
      <c r="D173" s="24" t="str">
        <f t="array" ref="D173">IF(ROWS($D$16:D173)&gt;$B$11,"",INDEX($B$16:$B$149,SMALL(IF($B$16:$B$149&lt;&gt;"",ROW($B$16:$B$149)-ROW($D$16)+1),ROWS(D$16:D173))))</f>
        <v/>
      </c>
    </row>
    <row r="174" spans="2:4" x14ac:dyDescent="0.3">
      <c r="B174" s="24" t="s">
        <v>193</v>
      </c>
      <c r="C174" s="24">
        <f>ROWS('Program och examenskrav'!F188:Spec[[#Headers],[INRIKTNING]])</f>
        <v>163</v>
      </c>
      <c r="D174" s="24" t="str">
        <f t="array" ref="D174">IF(ROWS($D$16:D174)&gt;$B$11,"",INDEX($B$16:$B$149,SMALL(IF($B$16:$B$149&lt;&gt;"",ROW($B$16:$B$149)-ROW($D$16)+1),ROWS(D$16:D174))))</f>
        <v/>
      </c>
    </row>
  </sheetData>
  <mergeCells count="3">
    <mergeCell ref="B5:E5"/>
    <mergeCell ref="G8:L8"/>
    <mergeCell ref="N8:T8"/>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6">
    <tabColor rgb="FF002060"/>
  </sheetPr>
  <dimension ref="A1:R154"/>
  <sheetViews>
    <sheetView workbookViewId="0">
      <selection activeCell="O5" sqref="O5"/>
    </sheetView>
  </sheetViews>
  <sheetFormatPr defaultRowHeight="15" x14ac:dyDescent="0.3"/>
  <cols>
    <col min="1" max="1" width="4.25" style="24" customWidth="1"/>
    <col min="2" max="2" width="14.375" style="24" customWidth="1"/>
    <col min="3" max="3" width="4.25" style="24" customWidth="1"/>
    <col min="4" max="4" width="14.625" style="24" customWidth="1"/>
    <col min="5" max="5" width="4.375" style="24" customWidth="1"/>
    <col min="6" max="6" width="11.875" style="24" customWidth="1"/>
    <col min="7" max="7" width="3.25" style="24" customWidth="1"/>
    <col min="8" max="8" width="11.375" style="24" customWidth="1"/>
    <col min="9" max="9" width="4" style="24" customWidth="1"/>
    <col min="10" max="10" width="9.625" style="24" customWidth="1"/>
    <col min="11" max="11" width="3.875" style="24" customWidth="1"/>
    <col min="12" max="13" width="10" style="24" customWidth="1"/>
    <col min="14" max="14" width="17" style="24" customWidth="1"/>
    <col min="15" max="15" width="14.875" style="24" customWidth="1"/>
    <col min="16" max="16" width="36.375" style="24" customWidth="1"/>
    <col min="17" max="17" width="9" style="24"/>
    <col min="18" max="18" width="14.625" style="24" customWidth="1"/>
    <col min="19" max="19" width="9" style="24"/>
    <col min="20" max="20" width="15.875" style="24" customWidth="1"/>
    <col min="21" max="16384" width="9" style="24"/>
  </cols>
  <sheetData>
    <row r="1" spans="1:18" ht="9" customHeight="1" x14ac:dyDescent="0.3">
      <c r="A1" s="1"/>
      <c r="B1" s="1"/>
      <c r="C1" s="1"/>
      <c r="D1" s="1"/>
      <c r="E1" s="1"/>
      <c r="F1" s="1"/>
      <c r="G1" s="1"/>
      <c r="H1" s="1"/>
      <c r="I1" s="1"/>
      <c r="J1" s="1"/>
      <c r="K1" s="1"/>
      <c r="L1" s="1"/>
      <c r="M1" s="1"/>
      <c r="N1" s="1"/>
      <c r="O1" s="1"/>
      <c r="P1" s="1"/>
      <c r="Q1" s="1"/>
      <c r="R1" s="1"/>
    </row>
    <row r="2" spans="1:18" ht="51" customHeight="1" x14ac:dyDescent="0.3">
      <c r="A2" s="10" t="s">
        <v>191</v>
      </c>
      <c r="B2" s="133"/>
      <c r="C2" s="133"/>
      <c r="D2" s="1"/>
      <c r="E2" s="1"/>
      <c r="F2" s="134"/>
      <c r="G2" s="129"/>
      <c r="H2" s="129"/>
      <c r="I2" s="129"/>
      <c r="J2" s="129"/>
      <c r="K2" s="129"/>
      <c r="L2" s="129"/>
      <c r="M2" s="129"/>
      <c r="N2" s="129"/>
      <c r="O2" s="1"/>
      <c r="P2" s="1"/>
      <c r="Q2" s="1"/>
      <c r="R2" s="1"/>
    </row>
    <row r="3" spans="1:18" ht="9" customHeight="1" x14ac:dyDescent="0.3">
      <c r="A3" s="1"/>
      <c r="B3" s="1"/>
      <c r="C3" s="1"/>
      <c r="D3" s="1"/>
      <c r="E3" s="1"/>
      <c r="F3" s="1"/>
      <c r="G3" s="1"/>
      <c r="H3" s="5"/>
      <c r="I3" s="5"/>
      <c r="J3" s="1"/>
      <c r="K3" s="1"/>
      <c r="L3" s="1"/>
      <c r="M3" s="1"/>
      <c r="N3" s="1"/>
      <c r="O3" s="1"/>
      <c r="P3" s="1"/>
      <c r="Q3" s="1"/>
      <c r="R3" s="1"/>
    </row>
    <row r="5" spans="1:18" ht="15.75" x14ac:dyDescent="0.3">
      <c r="B5" s="137" t="s">
        <v>192</v>
      </c>
      <c r="D5" s="24" t="s">
        <v>12</v>
      </c>
      <c r="F5" s="24" t="s">
        <v>39</v>
      </c>
      <c r="H5" s="24" t="s">
        <v>40</v>
      </c>
      <c r="J5" s="24" t="s">
        <v>41</v>
      </c>
      <c r="L5" s="24" t="s">
        <v>43</v>
      </c>
      <c r="N5" s="130" t="s">
        <v>35</v>
      </c>
      <c r="O5" s="130" t="s">
        <v>36</v>
      </c>
      <c r="P5" s="130" t="s">
        <v>37</v>
      </c>
    </row>
    <row r="6" spans="1:18" x14ac:dyDescent="0.3">
      <c r="B6" s="24" t="s">
        <v>52</v>
      </c>
      <c r="D6" s="24">
        <f ca="1">YEAR(NOW())-7</f>
        <v>2007</v>
      </c>
      <c r="F6" s="24" t="s">
        <v>109</v>
      </c>
      <c r="H6" s="24">
        <v>1</v>
      </c>
      <c r="J6" s="24">
        <v>1</v>
      </c>
      <c r="L6" s="24">
        <v>1</v>
      </c>
      <c r="N6" s="131" t="str">
        <f>IFERROR(_xlfn.RANK.EQ(O7,SearchTable[Search],1),"FEL")</f>
        <v>FEL</v>
      </c>
      <c r="O6" s="131"/>
      <c r="P6" s="131"/>
    </row>
    <row r="7" spans="1:18" x14ac:dyDescent="0.3">
      <c r="B7" s="24" t="s">
        <v>53</v>
      </c>
      <c r="D7" s="24">
        <f ca="1">YEAR(NOW())-6</f>
        <v>2008</v>
      </c>
      <c r="F7" s="24" t="s">
        <v>110</v>
      </c>
      <c r="H7" s="24">
        <v>2</v>
      </c>
      <c r="J7" s="24">
        <v>2</v>
      </c>
      <c r="L7" s="24">
        <v>2</v>
      </c>
      <c r="N7" s="131" t="str">
        <f>IFERROR(_xlfn.RANK.EQ(O7,SearchTable[Search],1),"FEL")</f>
        <v>FEL</v>
      </c>
      <c r="O7" s="131" t="str">
        <f>IFERROR(SEARCH(SearchField,ProgramKurser[KURSNAMN])+ROW()/100000,"")</f>
        <v/>
      </c>
      <c r="P7" s="131" t="e">
        <f>ProgramKurser[KURSNAMN]</f>
        <v>#VALUE!</v>
      </c>
    </row>
    <row r="8" spans="1:18" x14ac:dyDescent="0.3">
      <c r="B8" s="24">
        <v>3</v>
      </c>
      <c r="D8" s="24">
        <f ca="1">YEAR(NOW())-5</f>
        <v>2009</v>
      </c>
      <c r="F8" s="24" t="s">
        <v>114</v>
      </c>
      <c r="H8" s="24">
        <v>3</v>
      </c>
      <c r="J8" s="24" t="s">
        <v>42</v>
      </c>
      <c r="L8" s="24">
        <v>3</v>
      </c>
      <c r="N8" s="131" t="str">
        <f>IFERROR(_xlfn.RANK.EQ(O8,SearchTable[Search],1),"FEL")</f>
        <v>FEL</v>
      </c>
      <c r="O8" s="131" t="str">
        <f>IFERROR(SEARCH(SearchField,ProgramKurser[KURSNAMN])+ROW()/100000,"")</f>
        <v/>
      </c>
      <c r="P8" s="131" t="e">
        <f>ProgramKurser[KURSNAMN]</f>
        <v>#VALUE!</v>
      </c>
    </row>
    <row r="9" spans="1:18" x14ac:dyDescent="0.3">
      <c r="B9" s="24">
        <v>4</v>
      </c>
      <c r="D9" s="24">
        <f ca="1">YEAR(NOW())-4</f>
        <v>2010</v>
      </c>
      <c r="H9" s="24">
        <v>4</v>
      </c>
      <c r="L9" s="24">
        <v>4</v>
      </c>
      <c r="N9" s="131" t="str">
        <f>IFERROR(_xlfn.RANK.EQ(O9,SearchTable[Search],1),"FEL")</f>
        <v>FEL</v>
      </c>
      <c r="O9" s="131" t="str">
        <f>IFERROR(SEARCH(SearchField,ProgramKurser[KURSNAMN])+ROW()/100000,"")</f>
        <v/>
      </c>
      <c r="P9" s="131" t="e">
        <f>ProgramKurser[KURSNAMN]</f>
        <v>#VALUE!</v>
      </c>
    </row>
    <row r="10" spans="1:18" x14ac:dyDescent="0.3">
      <c r="B10" s="24">
        <v>5</v>
      </c>
      <c r="D10" s="24">
        <f ca="1">YEAR(NOW())-3</f>
        <v>2011</v>
      </c>
      <c r="H10" s="24">
        <v>5</v>
      </c>
      <c r="L10" s="24">
        <v>5</v>
      </c>
      <c r="N10" s="131" t="str">
        <f>IFERROR(_xlfn.RANK.EQ(O10,SearchTable[Search],1),"FEL")</f>
        <v>FEL</v>
      </c>
      <c r="O10" s="131" t="str">
        <f>IFERROR(SEARCH(SearchField,ProgramKurser[KURSNAMN])+ROW()/100000,"")</f>
        <v/>
      </c>
      <c r="P10" s="132" t="e">
        <f>ProgramKurser[KURSNAMN]</f>
        <v>#VALUE!</v>
      </c>
    </row>
    <row r="11" spans="1:18" x14ac:dyDescent="0.3">
      <c r="D11" s="24">
        <f ca="1">YEAR(NOW())-2</f>
        <v>2012</v>
      </c>
      <c r="H11" s="24">
        <v>6</v>
      </c>
      <c r="N11" s="131" t="str">
        <f>IFERROR(_xlfn.RANK.EQ(O11,SearchTable[Search],1),"FEL")</f>
        <v>FEL</v>
      </c>
      <c r="O11" s="131" t="str">
        <f>IFERROR(SEARCH(SearchField,ProgramKurser[KURSNAMN])+ROW()/100000,"")</f>
        <v/>
      </c>
      <c r="P11" s="132" t="e">
        <f>ProgramKurser[KURSNAMN]</f>
        <v>#VALUE!</v>
      </c>
    </row>
    <row r="12" spans="1:18" x14ac:dyDescent="0.3">
      <c r="D12" s="24">
        <f ca="1">YEAR(NOW())-1</f>
        <v>2013</v>
      </c>
      <c r="H12" s="24">
        <v>7</v>
      </c>
      <c r="N12" s="131" t="str">
        <f>IFERROR(_xlfn.RANK.EQ(O12,SearchTable[Search],1),"FEL")</f>
        <v>FEL</v>
      </c>
      <c r="O12" s="131" t="str">
        <f>IFERROR(SEARCH(SearchField,ProgramKurser[KURSNAMN])+ROW()/100000,"")</f>
        <v/>
      </c>
      <c r="P12" s="132" t="e">
        <f>ProgramKurser[KURSNAMN]</f>
        <v>#VALUE!</v>
      </c>
    </row>
    <row r="13" spans="1:18" x14ac:dyDescent="0.3">
      <c r="D13" s="24">
        <f ca="1">YEAR(NOW())-0</f>
        <v>2014</v>
      </c>
      <c r="H13" s="24">
        <v>8</v>
      </c>
      <c r="N13" s="131" t="str">
        <f>IFERROR(_xlfn.RANK.EQ(O13,SearchTable[Search],1),"FEL")</f>
        <v>FEL</v>
      </c>
      <c r="O13" s="131" t="str">
        <f>IFERROR(SEARCH(SearchField,ProgramKurser[KURSNAMN])+ROW()/100000,"")</f>
        <v/>
      </c>
      <c r="P13" s="132" t="e">
        <f>ProgramKurser[KURSNAMN]</f>
        <v>#VALUE!</v>
      </c>
    </row>
    <row r="14" spans="1:18" x14ac:dyDescent="0.3">
      <c r="H14" s="24">
        <v>9</v>
      </c>
      <c r="N14" s="131" t="str">
        <f>IFERROR(_xlfn.RANK.EQ(O14,SearchTable[Search],1),"FEL")</f>
        <v>FEL</v>
      </c>
      <c r="O14" s="131" t="str">
        <f>IFERROR(SEARCH(SearchField,ProgramKurser[KURSNAMN])+ROW()/100000,"")</f>
        <v/>
      </c>
      <c r="P14" s="132" t="e">
        <f>ProgramKurser[KURSNAMN]</f>
        <v>#VALUE!</v>
      </c>
    </row>
    <row r="15" spans="1:18" x14ac:dyDescent="0.3">
      <c r="H15" s="24">
        <v>10</v>
      </c>
      <c r="N15" s="131" t="str">
        <f>IFERROR(_xlfn.RANK.EQ(O15,SearchTable[Search],1),"FEL")</f>
        <v>FEL</v>
      </c>
      <c r="O15" s="131" t="str">
        <f>IFERROR(SEARCH(SearchField,ProgramKurser[KURSNAMN])+ROW()/100000,"")</f>
        <v/>
      </c>
      <c r="P15" s="132" t="e">
        <f>ProgramKurser[KURSNAMN]</f>
        <v>#VALUE!</v>
      </c>
    </row>
    <row r="16" spans="1:18" x14ac:dyDescent="0.3">
      <c r="N16" s="131">
        <f>IFERROR(_xlfn.RANK.EQ(O16,SearchTable[Search],1),"FEL")</f>
        <v>1</v>
      </c>
      <c r="O16" s="131">
        <f>IFERROR(SEARCH(SearchField,ProgramKurser[KURSNAMN])+ROW()/100000,"")</f>
        <v>1.0001599999999999</v>
      </c>
      <c r="P16" s="132" t="str">
        <f>ProgramKurser[KURSNAMN]</f>
        <v>Matematisk grundkurs</v>
      </c>
    </row>
    <row r="17" spans="14:16" x14ac:dyDescent="0.3">
      <c r="N17" s="131">
        <f>IFERROR(_xlfn.RANK.EQ(O17,SearchTable[Search],1),"FEL")</f>
        <v>2</v>
      </c>
      <c r="O17" s="131">
        <f>IFERROR(SEARCH(SearchField,ProgramKurser[KURSNAMN])+ROW()/100000,"")</f>
        <v>1.00017</v>
      </c>
      <c r="P17" s="132" t="str">
        <f>ProgramKurser[KURSNAMN]</f>
        <v>Linjär algebra</v>
      </c>
    </row>
    <row r="18" spans="14:16" x14ac:dyDescent="0.3">
      <c r="N18" s="131">
        <f>IFERROR(_xlfn.RANK.EQ(O18,SearchTable[Search],1),"FEL")</f>
        <v>3</v>
      </c>
      <c r="O18" s="131">
        <f>IFERROR(SEARCH(SearchField,ProgramKurser[KURSNAMN])+ROW()/100000,"")</f>
        <v>1.0001800000000001</v>
      </c>
      <c r="P18" s="132" t="str">
        <f>ProgramKurser[KURSNAMN]</f>
        <v>Industriell ekonomi</v>
      </c>
    </row>
    <row r="19" spans="14:16" x14ac:dyDescent="0.3">
      <c r="N19" s="131">
        <f>IFERROR(_xlfn.RANK.EQ(O19,SearchTable[Search],1),"FEL")</f>
        <v>4</v>
      </c>
      <c r="O19" s="131">
        <f>IFERROR(SEARCH(SearchField,ProgramKurser[KURSNAMN])+ROW()/100000,"")</f>
        <v>1.0001899999999999</v>
      </c>
      <c r="P19" s="132" t="str">
        <f>ProgramKurser[KURSNAMN]</f>
        <v>Envariabelanalys 1</v>
      </c>
    </row>
    <row r="20" spans="14:16" x14ac:dyDescent="0.3">
      <c r="N20" s="131">
        <f>IFERROR(_xlfn.RANK.EQ(O20,SearchTable[Search],1),"FEL")</f>
        <v>5</v>
      </c>
      <c r="O20" s="131">
        <f>IFERROR(SEARCH(SearchField,ProgramKurser[KURSNAMN])+ROW()/100000,"")</f>
        <v>1.0002</v>
      </c>
      <c r="P20" s="132" t="str">
        <f>ProgramKurser[KURSNAMN]</f>
        <v>Introduktionskurs för universitetsstudier</v>
      </c>
    </row>
    <row r="21" spans="14:16" x14ac:dyDescent="0.3">
      <c r="N21" s="131">
        <f>IFERROR(_xlfn.RANK.EQ(O21,SearchTable[Search],1),"FEL")</f>
        <v>6</v>
      </c>
      <c r="O21" s="131">
        <f>IFERROR(SEARCH(SearchField,ProgramKurser[KURSNAMN])+ROW()/100000,"")</f>
        <v>1.00021</v>
      </c>
      <c r="P21" s="132" t="str">
        <f>ProgramKurser[KURSNAMN]</f>
        <v>Envariabelanalys 2</v>
      </c>
    </row>
    <row r="22" spans="14:16" x14ac:dyDescent="0.3">
      <c r="N22" s="131">
        <f>IFERROR(_xlfn.RANK.EQ(O22,SearchTable[Search],1),"FEL")</f>
        <v>7</v>
      </c>
      <c r="O22" s="131">
        <f>IFERROR(SEARCH(SearchField,ProgramKurser[KURSNAMN])+ROW()/100000,"")</f>
        <v>1.0002200000000001</v>
      </c>
      <c r="P22" s="132" t="str">
        <f>ProgramKurser[KURSNAMN]</f>
        <v>Nationalekonomi</v>
      </c>
    </row>
    <row r="23" spans="14:16" x14ac:dyDescent="0.3">
      <c r="N23" s="131">
        <f>IFERROR(_xlfn.RANK.EQ(O23,SearchTable[Search],1),"FEL")</f>
        <v>8</v>
      </c>
      <c r="O23" s="131">
        <f>IFERROR(SEARCH(SearchField,ProgramKurser[KURSNAMN])+ROW()/100000,"")</f>
        <v>1.00023</v>
      </c>
      <c r="P23" s="132" t="str">
        <f>ProgramKurser[KURSNAMN]</f>
        <v>Fysik</v>
      </c>
    </row>
    <row r="24" spans="14:16" x14ac:dyDescent="0.3">
      <c r="N24" s="131">
        <f>IFERROR(_xlfn.RANK.EQ(O24,SearchTable[Search],1),"FEL")</f>
        <v>9</v>
      </c>
      <c r="O24" s="131">
        <f>IFERROR(SEARCH(SearchField,ProgramKurser[KURSNAMN])+ROW()/100000,"")</f>
        <v>1.00024</v>
      </c>
      <c r="P24" s="132" t="str">
        <f>ProgramKurser[KURSNAMN]</f>
        <v>Matematisk fördjupning</v>
      </c>
    </row>
    <row r="25" spans="14:16" x14ac:dyDescent="0.3">
      <c r="N25" s="131">
        <f>IFERROR(_xlfn.RANK.EQ(O25,SearchTable[Search],1),"FEL")</f>
        <v>10</v>
      </c>
      <c r="O25" s="131">
        <f>IFERROR(SEARCH(SearchField,ProgramKurser[KURSNAMN])+ROW()/100000,"")</f>
        <v>1.0002500000000001</v>
      </c>
      <c r="P25" s="132" t="str">
        <f>ProgramKurser[KURSNAMN]</f>
        <v>Flervariabelanalys</v>
      </c>
    </row>
    <row r="26" spans="14:16" x14ac:dyDescent="0.3">
      <c r="N26" s="131">
        <f>IFERROR(_xlfn.RANK.EQ(O26,SearchTable[Search],1),"FEL")</f>
        <v>11</v>
      </c>
      <c r="O26" s="131">
        <f>IFERROR(SEARCH(SearchField,ProgramKurser[KURSNAMN])+ROW()/100000,"")</f>
        <v>1.0002599999999999</v>
      </c>
      <c r="P26" s="132" t="str">
        <f>ProgramKurser[KURSNAMN]</f>
        <v>Linjära system och Matlab</v>
      </c>
    </row>
    <row r="27" spans="14:16" x14ac:dyDescent="0.3">
      <c r="N27" s="131">
        <f>IFERROR(_xlfn.RANK.EQ(O27,SearchTable[Search],1),"FEL")</f>
        <v>12</v>
      </c>
      <c r="O27" s="131">
        <f>IFERROR(SEARCH(SearchField,ProgramKurser[KURSNAMN])+ROW()/100000,"")</f>
        <v>1.00027</v>
      </c>
      <c r="P27" s="132" t="str">
        <f>ProgramKurser[KURSNAMN]</f>
        <v>Programmering, grundkurs</v>
      </c>
    </row>
    <row r="28" spans="14:16" x14ac:dyDescent="0.3">
      <c r="N28" s="131">
        <f>IFERROR(_xlfn.RANK.EQ(O28,SearchTable[Search],1),"FEL")</f>
        <v>13</v>
      </c>
      <c r="O28" s="131">
        <f>IFERROR(SEARCH(SearchField,ProgramKurser[KURSNAMN])+ROW()/100000,"")</f>
        <v>1.0002800000000001</v>
      </c>
      <c r="P28" s="132" t="str">
        <f>ProgramKurser[KURSNAMN]</f>
        <v>Linjära system</v>
      </c>
    </row>
    <row r="29" spans="14:16" x14ac:dyDescent="0.3">
      <c r="N29" s="131">
        <f>IFERROR(_xlfn.RANK.EQ(O29,SearchTable[Search],1),"FEL")</f>
        <v>14</v>
      </c>
      <c r="O29" s="131">
        <f>IFERROR(SEARCH(SearchField,ProgramKurser[KURSNAMN])+ROW()/100000,"")</f>
        <v>1.0002899999999999</v>
      </c>
      <c r="P29" s="132" t="str">
        <f>ProgramKurser[KURSNAMN]</f>
        <v>Introduktionskurs i Matlab</v>
      </c>
    </row>
    <row r="30" spans="14:16" x14ac:dyDescent="0.3">
      <c r="N30" s="131">
        <f>IFERROR(_xlfn.RANK.EQ(O30,SearchTable[Search],1),"FEL")</f>
        <v>15</v>
      </c>
      <c r="O30" s="131">
        <f>IFERROR(SEARCH(SearchField,ProgramKurser[KURSNAMN])+ROW()/100000,"")</f>
        <v>1.0003</v>
      </c>
      <c r="P30" s="132" t="str">
        <f>ProgramKurser[KURSNAMN]</f>
        <v>Industriell organisation, grundkurs</v>
      </c>
    </row>
    <row r="31" spans="14:16" x14ac:dyDescent="0.3">
      <c r="N31" s="131">
        <f>IFERROR(_xlfn.RANK.EQ(O31,SearchTable[Search],1),"FEL")</f>
        <v>16</v>
      </c>
      <c r="O31" s="131">
        <f>IFERROR(SEARCH(SearchField,ProgramKurser[KURSNAMN])+ROW()/100000,"")</f>
        <v>1.00031</v>
      </c>
      <c r="P31" s="132" t="str">
        <f>ProgramKurser[KURSNAMN]</f>
        <v>Optimeringslära, grundkurs</v>
      </c>
    </row>
    <row r="32" spans="14:16" x14ac:dyDescent="0.3">
      <c r="N32" s="131">
        <f>IFERROR(_xlfn.RANK.EQ(O32,SearchTable[Search],1),"FEL")</f>
        <v>17</v>
      </c>
      <c r="O32" s="131">
        <f>IFERROR(SEARCH(SearchField,ProgramKurser[KURSNAMN])+ROW()/100000,"")</f>
        <v>1.0003200000000001</v>
      </c>
      <c r="P32" s="132" t="str">
        <f>ProgramKurser[KURSNAMN]</f>
        <v>Industriell organisation, grundkurs</v>
      </c>
    </row>
    <row r="33" spans="14:16" x14ac:dyDescent="0.3">
      <c r="N33" s="131">
        <f>IFERROR(_xlfn.RANK.EQ(O33,SearchTable[Search],1),"FEL")</f>
        <v>18</v>
      </c>
      <c r="O33" s="131">
        <f>IFERROR(SEARCH(SearchField,ProgramKurser[KURSNAMN])+ROW()/100000,"")</f>
        <v>1.0003299999999999</v>
      </c>
      <c r="P33" s="132" t="str">
        <f>ProgramKurser[KURSNAMN]</f>
        <v>Mekanik I</v>
      </c>
    </row>
    <row r="34" spans="14:16" x14ac:dyDescent="0.3">
      <c r="N34" s="131">
        <f>IFERROR(_xlfn.RANK.EQ(O34,SearchTable[Search],1),"FEL")</f>
        <v>19</v>
      </c>
      <c r="O34" s="131">
        <f>IFERROR(SEARCH(SearchField,ProgramKurser[KURSNAMN])+ROW()/100000,"")</f>
        <v>1.00034</v>
      </c>
      <c r="P34" s="132" t="str">
        <f>ProgramKurser[KURSNAMN]</f>
        <v>Engelska</v>
      </c>
    </row>
    <row r="35" spans="14:16" x14ac:dyDescent="0.3">
      <c r="N35" s="131">
        <f>IFERROR(_xlfn.RANK.EQ(O35,SearchTable[Search],1),"FEL")</f>
        <v>20</v>
      </c>
      <c r="O35" s="131">
        <f>IFERROR(SEARCH(SearchField,ProgramKurser[KURSNAMN])+ROW()/100000,"")</f>
        <v>1.0003500000000001</v>
      </c>
      <c r="P35" s="132" t="str">
        <f>ProgramKurser[KURSNAMN]</f>
        <v>Matematisk statistik I, grundkurs</v>
      </c>
    </row>
    <row r="36" spans="14:16" x14ac:dyDescent="0.3">
      <c r="N36" s="131">
        <f>IFERROR(_xlfn.RANK.EQ(O36,SearchTable[Search],1),"FEL")</f>
        <v>21</v>
      </c>
      <c r="O36" s="131">
        <f>IFERROR(SEARCH(SearchField,ProgramKurser[KURSNAMN])+ROW()/100000,"")</f>
        <v>1.0003599999999999</v>
      </c>
      <c r="P36" s="132" t="str">
        <f>ProgramKurser[KURSNAMN]</f>
        <v>Interkulturell kommunikation</v>
      </c>
    </row>
    <row r="37" spans="14:16" x14ac:dyDescent="0.3">
      <c r="N37" s="131">
        <f>IFERROR(_xlfn.RANK.EQ(O37,SearchTable[Search],1),"FEL")</f>
        <v>22</v>
      </c>
      <c r="O37" s="131">
        <f>IFERROR(SEARCH(SearchField,ProgramKurser[KURSNAMN])+ROW()/100000,"")</f>
        <v>1.00037</v>
      </c>
      <c r="P37" s="132" t="str">
        <f>ProgramKurser[KURSNAMN]</f>
        <v>Mekanik I</v>
      </c>
    </row>
    <row r="38" spans="14:16" x14ac:dyDescent="0.3">
      <c r="N38" s="131">
        <f>IFERROR(_xlfn.RANK.EQ(O38,SearchTable[Search],1),"FEL")</f>
        <v>23</v>
      </c>
      <c r="O38" s="131">
        <f>IFERROR(SEARCH(SearchField,ProgramKurser[KURSNAMN])+ROW()/100000,"")</f>
        <v>1.00038</v>
      </c>
      <c r="P38" s="132" t="str">
        <f>ProgramKurser[KURSNAMN]</f>
        <v>Linjära system</v>
      </c>
    </row>
    <row r="39" spans="14:16" x14ac:dyDescent="0.3">
      <c r="N39" s="131">
        <f>IFERROR(_xlfn.RANK.EQ(O39,SearchTable[Search],1),"FEL")</f>
        <v>24</v>
      </c>
      <c r="O39" s="131">
        <f>IFERROR(SEARCH(SearchField,ProgramKurser[KURSNAMN])+ROW()/100000,"")</f>
        <v>1.0003899999999999</v>
      </c>
      <c r="P39" s="132" t="str">
        <f>ProgramKurser[KURSNAMN]</f>
        <v>Optimeringslära, fortsättningskurs</v>
      </c>
    </row>
    <row r="40" spans="14:16" x14ac:dyDescent="0.3">
      <c r="N40" s="131">
        <f>IFERROR(_xlfn.RANK.EQ(O40,SearchTable[Search],1),"FEL")</f>
        <v>25</v>
      </c>
      <c r="O40" s="131">
        <f>IFERROR(SEARCH(SearchField,ProgramKurser[KURSNAMN])+ROW()/100000,"")</f>
        <v>1.0004</v>
      </c>
      <c r="P40" s="132" t="str">
        <f>ProgramKurser[KURSNAMN]</f>
        <v>Fysik</v>
      </c>
    </row>
    <row r="41" spans="14:16" x14ac:dyDescent="0.3">
      <c r="N41" s="131">
        <f>IFERROR(_xlfn.RANK.EQ(O41,SearchTable[Search],1),"FEL")</f>
        <v>26</v>
      </c>
      <c r="O41" s="131">
        <f>IFERROR(SEARCH(SearchField,ProgramKurser[KURSNAMN])+ROW()/100000,"")</f>
        <v>1.00041</v>
      </c>
      <c r="P41" s="132" t="str">
        <f>ProgramKurser[KURSNAMN]</f>
        <v>Matematisk statistik, grundkurs</v>
      </c>
    </row>
    <row r="42" spans="14:16" x14ac:dyDescent="0.3">
      <c r="N42" s="131">
        <f>IFERROR(_xlfn.RANK.EQ(O42,SearchTable[Search],1),"FEL")</f>
        <v>27</v>
      </c>
      <c r="O42" s="131">
        <f>IFERROR(SEARCH(SearchField,ProgramKurser[KURSNAMN])+ROW()/100000,"")</f>
        <v>1.0004200000000001</v>
      </c>
      <c r="P42" s="132" t="str">
        <f>ProgramKurser[KURSNAMN]</f>
        <v>Diskret matematik</v>
      </c>
    </row>
    <row r="43" spans="14:16" x14ac:dyDescent="0.3">
      <c r="N43" s="131">
        <f>IFERROR(_xlfn.RANK.EQ(O43,SearchTable[Search],1),"FEL")</f>
        <v>28</v>
      </c>
      <c r="O43" s="131">
        <f>IFERROR(SEARCH(SearchField,ProgramKurser[KURSNAMN])+ROW()/100000,"")</f>
        <v>1.0004299999999999</v>
      </c>
      <c r="P43" s="132" t="str">
        <f>ProgramKurser[KURSNAMN]</f>
        <v>Programmering i Java, datastrukturer och algoritmer</v>
      </c>
    </row>
    <row r="44" spans="14:16" x14ac:dyDescent="0.3">
      <c r="N44" s="131">
        <f>IFERROR(_xlfn.RANK.EQ(O44,SearchTable[Search],1),"FEL")</f>
        <v>29</v>
      </c>
      <c r="O44" s="131">
        <f>IFERROR(SEARCH(SearchField,ProgramKurser[KURSNAMN])+ROW()/100000,"")</f>
        <v>1.00044</v>
      </c>
      <c r="P44" s="132" t="str">
        <f>ProgramKurser[KURSNAMN]</f>
        <v>Energiomvandling - tekniska perspektiv</v>
      </c>
    </row>
    <row r="45" spans="14:16" x14ac:dyDescent="0.3">
      <c r="N45" s="131">
        <f>IFERROR(_xlfn.RANK.EQ(O45,SearchTable[Search],1),"FEL")</f>
        <v>30</v>
      </c>
      <c r="O45" s="131">
        <f>IFERROR(SEARCH(SearchField,ProgramKurser[KURSNAMN])+ROW()/100000,"")</f>
        <v>1.0004500000000001</v>
      </c>
      <c r="P45" s="132" t="str">
        <f>ProgramKurser[KURSNAMN]</f>
        <v>Genetik och evolution</v>
      </c>
    </row>
    <row r="46" spans="14:16" x14ac:dyDescent="0.3">
      <c r="N46" s="131">
        <f>IFERROR(_xlfn.RANK.EQ(O46,SearchTable[Search],1),"FEL")</f>
        <v>31</v>
      </c>
      <c r="O46" s="131">
        <f>IFERROR(SEARCH(SearchField,ProgramKurser[KURSNAMN])+ROW()/100000,"")</f>
        <v>1.0004599999999999</v>
      </c>
      <c r="P46" s="132" t="str">
        <f>ProgramKurser[KURSNAMN]</f>
        <v>Grundläggande kemi</v>
      </c>
    </row>
    <row r="47" spans="14:16" x14ac:dyDescent="0.3">
      <c r="N47" s="131">
        <f>IFERROR(_xlfn.RANK.EQ(O47,SearchTable[Search],1),"FEL")</f>
        <v>32</v>
      </c>
      <c r="O47" s="131">
        <f>IFERROR(SEARCH(SearchField,ProgramKurser[KURSNAMN])+ROW()/100000,"")</f>
        <v>1.00047</v>
      </c>
      <c r="P47" s="132" t="str">
        <f>ProgramKurser[KURSNAMN]</f>
        <v>Hållfasthetslära, grundkurs</v>
      </c>
    </row>
    <row r="48" spans="14:16" x14ac:dyDescent="0.3">
      <c r="N48" s="131">
        <f>IFERROR(_xlfn.RANK.EQ(O48,SearchTable[Search],1),"FEL")</f>
        <v>33</v>
      </c>
      <c r="O48" s="131">
        <f>IFERROR(SEARCH(SearchField,ProgramKurser[KURSNAMN])+ROW()/100000,"")</f>
        <v>1.00048</v>
      </c>
      <c r="P48" s="132" t="str">
        <f>ProgramKurser[KURSNAMN]</f>
        <v>Matematiska modeller i bioteknik</v>
      </c>
    </row>
    <row r="49" spans="14:16" x14ac:dyDescent="0.3">
      <c r="N49" s="131">
        <f>IFERROR(_xlfn.RANK.EQ(O49,SearchTable[Search],1),"FEL")</f>
        <v>34</v>
      </c>
      <c r="O49" s="131">
        <f>IFERROR(SEARCH(SearchField,ProgramKurser[KURSNAMN])+ROW()/100000,"")</f>
        <v>1.0004900000000001</v>
      </c>
      <c r="P49" s="132" t="str">
        <f>ProgramKurser[KURSNAMN]</f>
        <v>Numeriska metoder</v>
      </c>
    </row>
    <row r="50" spans="14:16" x14ac:dyDescent="0.3">
      <c r="N50" s="131">
        <f>IFERROR(_xlfn.RANK.EQ(O50,SearchTable[Search],1),"FEL")</f>
        <v>35</v>
      </c>
      <c r="O50" s="131">
        <f>IFERROR(SEARCH(SearchField,ProgramKurser[KURSNAMN])+ROW()/100000,"")</f>
        <v>1.0004999999999999</v>
      </c>
      <c r="P50" s="132" t="str">
        <f>ProgramKurser[KURSNAMN]</f>
        <v>Tillämpad termodynamik och strömningslära</v>
      </c>
    </row>
    <row r="51" spans="14:16" x14ac:dyDescent="0.3">
      <c r="N51" s="131">
        <f>IFERROR(_xlfn.RANK.EQ(O51,SearchTable[Search],1),"FEL")</f>
        <v>36</v>
      </c>
      <c r="O51" s="131">
        <f>IFERROR(SEARCH(SearchField,ProgramKurser[KURSNAMN])+ROW()/100000,"")</f>
        <v>1.00051</v>
      </c>
      <c r="P51" s="132" t="str">
        <f>ProgramKurser[KURSNAMN]</f>
        <v>Matematisk statistik I, fortsättningskurs</v>
      </c>
    </row>
    <row r="52" spans="14:16" x14ac:dyDescent="0.3">
      <c r="N52" s="131">
        <f>IFERROR(_xlfn.RANK.EQ(O52,SearchTable[Search],1),"FEL")</f>
        <v>37</v>
      </c>
      <c r="O52" s="131">
        <f>IFERROR(SEARCH(SearchField,ProgramKurser[KURSNAMN])+ROW()/100000,"")</f>
        <v>1.0005200000000001</v>
      </c>
      <c r="P52" s="132" t="str">
        <f>ProgramKurser[KURSNAMN]</f>
        <v>Programmering, grundkurs</v>
      </c>
    </row>
    <row r="53" spans="14:16" x14ac:dyDescent="0.3">
      <c r="N53" s="131">
        <f>IFERROR(_xlfn.RANK.EQ(O53,SearchTable[Search],1),"FEL")</f>
        <v>38</v>
      </c>
      <c r="O53" s="131">
        <f>IFERROR(SEARCH(SearchField,ProgramKurser[KURSNAMN])+ROW()/100000,"")</f>
        <v>1.0005299999999999</v>
      </c>
      <c r="P53" s="132" t="str">
        <f>ProgramKurser[KURSNAMN]</f>
        <v>Ekonomisk analys: Ekonomisk teori</v>
      </c>
    </row>
    <row r="54" spans="14:16" x14ac:dyDescent="0.3">
      <c r="N54" s="131">
        <f>IFERROR(_xlfn.RANK.EQ(O54,SearchTable[Search],1),"FEL")</f>
        <v>39</v>
      </c>
      <c r="O54" s="131">
        <f>IFERROR(SEARCH(SearchField,ProgramKurser[KURSNAMN])+ROW()/100000,"")</f>
        <v>1.00054</v>
      </c>
      <c r="P54" s="132" t="str">
        <f>ProgramKurser[KURSNAMN]</f>
        <v>Ekonomisk analys: Besluts- och finansiell metodik</v>
      </c>
    </row>
    <row r="55" spans="14:16" x14ac:dyDescent="0.3">
      <c r="N55" s="131">
        <f>IFERROR(_xlfn.RANK.EQ(O55,SearchTable[Search],1),"FEL")</f>
        <v>40</v>
      </c>
      <c r="O55" s="131">
        <f>IFERROR(SEARCH(SearchField,ProgramKurser[KURSNAMN])+ROW()/100000,"")</f>
        <v>1.0005500000000001</v>
      </c>
      <c r="P55" s="132" t="str">
        <f>ProgramKurser[KURSNAMN]</f>
        <v>Transformteori</v>
      </c>
    </row>
    <row r="56" spans="14:16" x14ac:dyDescent="0.3">
      <c r="N56" s="131">
        <f>IFERROR(_xlfn.RANK.EQ(O56,SearchTable[Search],1),"FEL")</f>
        <v>41</v>
      </c>
      <c r="O56" s="131">
        <f>IFERROR(SEARCH(SearchField,ProgramKurser[KURSNAMN])+ROW()/100000,"")</f>
        <v>1.0005599999999999</v>
      </c>
      <c r="P56" s="132" t="str">
        <f>ProgramKurser[KURSNAMN]</f>
        <v>Fysik</v>
      </c>
    </row>
    <row r="57" spans="14:16" x14ac:dyDescent="0.3">
      <c r="N57" s="131">
        <f>IFERROR(_xlfn.RANK.EQ(O57,SearchTable[Search],1),"FEL")</f>
        <v>42</v>
      </c>
      <c r="O57" s="131">
        <f>IFERROR(SEARCH(SearchField,ProgramKurser[KURSNAMN])+ROW()/100000,"")</f>
        <v>1.00057</v>
      </c>
      <c r="P57" s="132" t="str">
        <f>ProgramKurser[KURSNAMN]</f>
        <v>Praktik</v>
      </c>
    </row>
    <row r="58" spans="14:16" x14ac:dyDescent="0.3">
      <c r="N58" s="131">
        <f>IFERROR(_xlfn.RANK.EQ(O58,SearchTable[Search],1),"FEL")</f>
        <v>43</v>
      </c>
      <c r="O58" s="131">
        <f>IFERROR(SEARCH(SearchField,ProgramKurser[KURSNAMN])+ROW()/100000,"")</f>
        <v>1.00058</v>
      </c>
      <c r="P58" s="132" t="str">
        <f>ProgramKurser[KURSNAMN]</f>
        <v>Optimeringslära, fortsättningskurs</v>
      </c>
    </row>
    <row r="59" spans="14:16" x14ac:dyDescent="0.3">
      <c r="N59" s="131">
        <f>IFERROR(_xlfn.RANK.EQ(O59,SearchTable[Search],1),"FEL")</f>
        <v>44</v>
      </c>
      <c r="O59" s="131">
        <f>IFERROR(SEARCH(SearchField,ProgramKurser[KURSNAMN])+ROW()/100000,"")</f>
        <v>1.0005900000000001</v>
      </c>
      <c r="P59" s="132" t="str">
        <f>ProgramKurser[KURSNAMN]</f>
        <v>Matematisk statistik, grundkurs</v>
      </c>
    </row>
    <row r="60" spans="14:16" x14ac:dyDescent="0.3">
      <c r="N60" s="131">
        <f>IFERROR(_xlfn.RANK.EQ(O60,SearchTable[Search],1),"FEL")</f>
        <v>45</v>
      </c>
      <c r="O60" s="131">
        <f>IFERROR(SEARCH(SearchField,ProgramKurser[KURSNAMN])+ROW()/100000,"")</f>
        <v>1.0005999999999999</v>
      </c>
      <c r="P60" s="132" t="str">
        <f>ProgramKurser[KURSNAMN]</f>
        <v>Ekonomisk analys: Ekonomisk teori</v>
      </c>
    </row>
    <row r="61" spans="14:16" x14ac:dyDescent="0.3">
      <c r="N61" s="131">
        <f>IFERROR(_xlfn.RANK.EQ(O61,SearchTable[Search],1),"FEL")</f>
        <v>46</v>
      </c>
      <c r="O61" s="131">
        <f>IFERROR(SEARCH(SearchField,ProgramKurser[KURSNAMN])+ROW()/100000,"")</f>
        <v>1.00061</v>
      </c>
      <c r="P61" s="132" t="str">
        <f>ProgramKurser[KURSNAMN]</f>
        <v>Digitalteknik M</v>
      </c>
    </row>
    <row r="62" spans="14:16" x14ac:dyDescent="0.3">
      <c r="N62" s="131">
        <f>IFERROR(_xlfn.RANK.EQ(O62,SearchTable[Search],1),"FEL")</f>
        <v>47</v>
      </c>
      <c r="O62" s="131">
        <f>IFERROR(SEARCH(SearchField,ProgramKurser[KURSNAMN])+ROW()/100000,"")</f>
        <v>1.0006200000000001</v>
      </c>
      <c r="P62" s="132" t="str">
        <f>ProgramKurser[KURSNAMN]</f>
        <v>Transformteori</v>
      </c>
    </row>
    <row r="63" spans="14:16" x14ac:dyDescent="0.3">
      <c r="N63" s="131">
        <f>IFERROR(_xlfn.RANK.EQ(O63,SearchTable[Search],1),"FEL")</f>
        <v>48</v>
      </c>
      <c r="O63" s="131">
        <f>IFERROR(SEARCH(SearchField,ProgramKurser[KURSNAMN])+ROW()/100000,"")</f>
        <v>1.0006299999999999</v>
      </c>
      <c r="P63" s="132" t="str">
        <f>ProgramKurser[KURSNAMN]</f>
        <v>Anatomi och fysiologi</v>
      </c>
    </row>
    <row r="64" spans="14:16" x14ac:dyDescent="0.3">
      <c r="N64" s="131">
        <f>IFERROR(_xlfn.RANK.EQ(O64,SearchTable[Search],1),"FEL")</f>
        <v>49</v>
      </c>
      <c r="O64" s="131">
        <f>IFERROR(SEARCH(SearchField,ProgramKurser[KURSNAMN])+ROW()/100000,"")</f>
        <v>1.00064</v>
      </c>
      <c r="P64" s="132" t="str">
        <f>ProgramKurser[KURSNAMN]</f>
        <v>Datastrukturer och algoritmer</v>
      </c>
    </row>
    <row r="65" spans="14:16" x14ac:dyDescent="0.3">
      <c r="N65" s="131">
        <f>IFERROR(_xlfn.RANK.EQ(O65,SearchTable[Search],1),"FEL")</f>
        <v>50</v>
      </c>
      <c r="O65" s="131">
        <f>IFERROR(SEARCH(SearchField,ProgramKurser[KURSNAMN])+ROW()/100000,"")</f>
        <v>1.00065</v>
      </c>
      <c r="P65" s="132" t="str">
        <f>ProgramKurser[KURSNAMN]</f>
        <v>Datorarkitektur</v>
      </c>
    </row>
    <row r="66" spans="14:16" x14ac:dyDescent="0.3">
      <c r="N66" s="131">
        <f>IFERROR(_xlfn.RANK.EQ(O66,SearchTable[Search],1),"FEL")</f>
        <v>51</v>
      </c>
      <c r="O66" s="131">
        <f>IFERROR(SEARCH(SearchField,ProgramKurser[KURSNAMN])+ROW()/100000,"")</f>
        <v>1.0006600000000001</v>
      </c>
      <c r="P66" s="132" t="str">
        <f>ProgramKurser[KURSNAMN]</f>
        <v>Digitalteknik</v>
      </c>
    </row>
    <row r="67" spans="14:16" x14ac:dyDescent="0.3">
      <c r="N67" s="131">
        <f>IFERROR(_xlfn.RANK.EQ(O67,SearchTable[Search],1),"FEL")</f>
        <v>52</v>
      </c>
      <c r="O67" s="131">
        <f>IFERROR(SEARCH(SearchField,ProgramKurser[KURSNAMN])+ROW()/100000,"")</f>
        <v>1.0006699999999999</v>
      </c>
      <c r="P67" s="132" t="str">
        <f>ProgramKurser[KURSNAMN]</f>
        <v>Orientering i IT infrastukturer</v>
      </c>
    </row>
    <row r="68" spans="14:16" x14ac:dyDescent="0.3">
      <c r="N68" s="131">
        <f>IFERROR(_xlfn.RANK.EQ(O68,SearchTable[Search],1),"FEL")</f>
        <v>53</v>
      </c>
      <c r="O68" s="131">
        <f>IFERROR(SEARCH(SearchField,ProgramKurser[KURSNAMN])+ROW()/100000,"")</f>
        <v>1.00068</v>
      </c>
      <c r="P68" s="132" t="str">
        <f>ProgramKurser[KURSNAMN]</f>
        <v>Bioteknisk biokemi</v>
      </c>
    </row>
    <row r="69" spans="14:16" x14ac:dyDescent="0.3">
      <c r="N69" s="131">
        <f>IFERROR(_xlfn.RANK.EQ(O69,SearchTable[Search],1),"FEL")</f>
        <v>54</v>
      </c>
      <c r="O69" s="131">
        <f>IFERROR(SEARCH(SearchField,ProgramKurser[KURSNAMN])+ROW()/100000,"")</f>
        <v>1.0006900000000001</v>
      </c>
      <c r="P69" s="132" t="str">
        <f>ProgramKurser[KURSNAMN]</f>
        <v>Cellbiologi och mikrobiella processer</v>
      </c>
    </row>
    <row r="70" spans="14:16" x14ac:dyDescent="0.3">
      <c r="N70" s="131">
        <f>IFERROR(_xlfn.RANK.EQ(O70,SearchTable[Search],1),"FEL")</f>
        <v>55</v>
      </c>
      <c r="O70" s="131">
        <f>IFERROR(SEARCH(SearchField,ProgramKurser[KURSNAMN])+ROW()/100000,"")</f>
        <v>1.0006999999999999</v>
      </c>
      <c r="P70" s="132" t="str">
        <f>ProgramKurser[KURSNAMN]</f>
        <v>Programmering i Java, datastrukturer och algoritmer</v>
      </c>
    </row>
    <row r="71" spans="14:16" x14ac:dyDescent="0.3">
      <c r="N71" s="131">
        <f>IFERROR(_xlfn.RANK.EQ(O71,SearchTable[Search],1),"FEL")</f>
        <v>56</v>
      </c>
      <c r="O71" s="131">
        <f>IFERROR(SEARCH(SearchField,ProgramKurser[KURSNAMN])+ROW()/100000,"")</f>
        <v>1.00071</v>
      </c>
      <c r="P71" s="132" t="str">
        <f>ProgramKurser[KURSNAMN]</f>
        <v>Energisystem - tillförsel och användning</v>
      </c>
    </row>
    <row r="72" spans="14:16" x14ac:dyDescent="0.3">
      <c r="N72" s="131">
        <f>IFERROR(_xlfn.RANK.EQ(O72,SearchTable[Search],1),"FEL")</f>
        <v>57</v>
      </c>
      <c r="O72" s="131">
        <f>IFERROR(SEARCH(SearchField,ProgramKurser[KURSNAMN])+ROW()/100000,"")</f>
        <v>1.0007200000000001</v>
      </c>
      <c r="P72" s="132" t="str">
        <f>ProgramKurser[KURSNAMN]</f>
        <v>Fysiologiska principer och etik</v>
      </c>
    </row>
    <row r="73" spans="14:16" x14ac:dyDescent="0.3">
      <c r="N73" s="131">
        <f>IFERROR(_xlfn.RANK.EQ(O73,SearchTable[Search],1),"FEL")</f>
        <v>58</v>
      </c>
      <c r="O73" s="131">
        <f>IFERROR(SEARCH(SearchField,ProgramKurser[KURSNAMN])+ROW()/100000,"")</f>
        <v>1.0007299999999999</v>
      </c>
      <c r="P73" s="132" t="str">
        <f>ProgramKurser[KURSNAMN]</f>
        <v>Hållfasthetslära, grundkurs</v>
      </c>
    </row>
    <row r="74" spans="14:16" x14ac:dyDescent="0.3">
      <c r="N74" s="131">
        <f>IFERROR(_xlfn.RANK.EQ(O74,SearchTable[Search],1),"FEL")</f>
        <v>59</v>
      </c>
      <c r="O74" s="131">
        <f>IFERROR(SEARCH(SearchField,ProgramKurser[KURSNAMN])+ROW()/100000,"")</f>
        <v>1.00074</v>
      </c>
      <c r="P74" s="132" t="str">
        <f>ProgramKurser[KURSNAMN]</f>
        <v>Kemi</v>
      </c>
    </row>
    <row r="75" spans="14:16" x14ac:dyDescent="0.3">
      <c r="N75" s="131">
        <f>IFERROR(_xlfn.RANK.EQ(O75,SearchTable[Search],1),"FEL")</f>
        <v>60</v>
      </c>
      <c r="O75" s="131">
        <f>IFERROR(SEARCH(SearchField,ProgramKurser[KURSNAMN])+ROW()/100000,"")</f>
        <v>1.00075</v>
      </c>
      <c r="P75" s="132" t="str">
        <f>ProgramKurser[KURSNAMN]</f>
        <v>Konstruktionsmaterial</v>
      </c>
    </row>
    <row r="76" spans="14:16" x14ac:dyDescent="0.3">
      <c r="N76" s="131">
        <f>IFERROR(_xlfn.RANK.EQ(O76,SearchTable[Search],1),"FEL")</f>
        <v>61</v>
      </c>
      <c r="O76" s="131">
        <f>IFERROR(SEARCH(SearchField,ProgramKurser[KURSNAMN])+ROW()/100000,"")</f>
        <v>1.0007600000000001</v>
      </c>
      <c r="P76" s="132" t="str">
        <f>ProgramKurser[KURSNAMN]</f>
        <v>Miljöteknik</v>
      </c>
    </row>
    <row r="77" spans="14:16" x14ac:dyDescent="0.3">
      <c r="N77" s="131">
        <f>IFERROR(_xlfn.RANK.EQ(O77,SearchTable[Search],1),"FEL")</f>
        <v>62</v>
      </c>
      <c r="O77" s="131">
        <f>IFERROR(SEARCH(SearchField,ProgramKurser[KURSNAMN])+ROW()/100000,"")</f>
        <v>1.0007699999999999</v>
      </c>
      <c r="P77" s="132" t="str">
        <f>ProgramKurser[KURSNAMN]</f>
        <v>Produktionsteknik</v>
      </c>
    </row>
    <row r="78" spans="14:16" x14ac:dyDescent="0.3">
      <c r="N78" s="131">
        <f>IFERROR(_xlfn.RANK.EQ(O78,SearchTable[Search],1),"FEL")</f>
        <v>63</v>
      </c>
      <c r="O78" s="131">
        <f>IFERROR(SEARCH(SearchField,ProgramKurser[KURSNAMN])+ROW()/100000,"")</f>
        <v>1.00078</v>
      </c>
      <c r="P78" s="132" t="str">
        <f>ProgramKurser[KURSNAMN]</f>
        <v>Grundläggande marknadsföring</v>
      </c>
    </row>
    <row r="79" spans="14:16" x14ac:dyDescent="0.3">
      <c r="N79" s="131">
        <f>IFERROR(_xlfn.RANK.EQ(O79,SearchTable[Search],1),"FEL")</f>
        <v>64</v>
      </c>
      <c r="O79" s="131">
        <f>IFERROR(SEARCH(SearchField,ProgramKurser[KURSNAMN])+ROW()/100000,"")</f>
        <v>1.0007900000000001</v>
      </c>
      <c r="P79" s="132" t="str">
        <f>ProgramKurser[KURSNAMN]</f>
        <v>Reglerteknik I</v>
      </c>
    </row>
    <row r="80" spans="14:16" x14ac:dyDescent="0.3">
      <c r="N80" s="131">
        <f>IFERROR(_xlfn.RANK.EQ(O80,SearchTable[Search],1),"FEL")</f>
        <v>65</v>
      </c>
      <c r="O80" s="131">
        <f>IFERROR(SEARCH(SearchField,ProgramKurser[KURSNAMN])+ROW()/100000,"")</f>
        <v>1.0007999999999999</v>
      </c>
      <c r="P80" s="132" t="str">
        <f>ProgramKurser[KURSNAMN]</f>
        <v>Kommunikativ tyska</v>
      </c>
    </row>
    <row r="81" spans="14:16" x14ac:dyDescent="0.3">
      <c r="N81" s="131">
        <f>IFERROR(_xlfn.RANK.EQ(O81,SearchTable[Search],1),"FEL")</f>
        <v>66</v>
      </c>
      <c r="O81" s="131">
        <f>IFERROR(SEARCH(SearchField,ProgramKurser[KURSNAMN])+ROW()/100000,"")</f>
        <v>1.00081</v>
      </c>
      <c r="P81" s="132" t="str">
        <f>ProgramKurser[KURSNAMN]</f>
        <v>Produktionsekonomi</v>
      </c>
    </row>
    <row r="82" spans="14:16" x14ac:dyDescent="0.3">
      <c r="N82" s="131">
        <f>IFERROR(_xlfn.RANK.EQ(O82,SearchTable[Search],1),"FEL")</f>
        <v>67</v>
      </c>
      <c r="O82" s="131">
        <f>IFERROR(SEARCH(SearchField,ProgramKurser[KURSNAMN])+ROW()/100000,"")</f>
        <v>1.00082</v>
      </c>
      <c r="P82" s="132" t="str">
        <f>ProgramKurser[KURSNAMN]</f>
        <v>Signaler och system, del 1</v>
      </c>
    </row>
    <row r="83" spans="14:16" x14ac:dyDescent="0.3">
      <c r="N83" s="131">
        <f>IFERROR(_xlfn.RANK.EQ(O83,SearchTable[Search],1),"FEL")</f>
        <v>68</v>
      </c>
      <c r="O83" s="131">
        <f>IFERROR(SEARCH(SearchField,ProgramKurser[KURSNAMN])+ROW()/100000,"")</f>
        <v>1.0008300000000001</v>
      </c>
      <c r="P83" s="132" t="str">
        <f>ProgramKurser[KURSNAMN]</f>
        <v>Kommunikativ franska</v>
      </c>
    </row>
    <row r="84" spans="14:16" x14ac:dyDescent="0.3">
      <c r="N84" s="131">
        <f>IFERROR(_xlfn.RANK.EQ(O84,SearchTable[Search],1),"FEL")</f>
        <v>69</v>
      </c>
      <c r="O84" s="131">
        <f>IFERROR(SEARCH(SearchField,ProgramKurser[KURSNAMN])+ROW()/100000,"")</f>
        <v>1.00084</v>
      </c>
      <c r="P84" s="132" t="str">
        <f>ProgramKurser[KURSNAMN]</f>
        <v>Kommunikativ spanska</v>
      </c>
    </row>
    <row r="85" spans="14:16" x14ac:dyDescent="0.3">
      <c r="N85" s="131">
        <f>IFERROR(_xlfn.RANK.EQ(O85,SearchTable[Search],1),"FEL")</f>
        <v>70</v>
      </c>
      <c r="O85" s="131">
        <f>IFERROR(SEARCH(SearchField,ProgramKurser[KURSNAMN])+ROW()/100000,"")</f>
        <v>1.00085</v>
      </c>
      <c r="P85" s="132" t="str">
        <f>ProgramKurser[KURSNAMN]</f>
        <v>Resursteori</v>
      </c>
    </row>
    <row r="86" spans="14:16" x14ac:dyDescent="0.3">
      <c r="N86" s="131">
        <f>IFERROR(_xlfn.RANK.EQ(O86,SearchTable[Search],1),"FEL")</f>
        <v>71</v>
      </c>
      <c r="O86" s="131">
        <f>IFERROR(SEARCH(SearchField,ProgramKurser[KURSNAMN])+ROW()/100000,"")</f>
        <v>1.0008600000000001</v>
      </c>
      <c r="P86" s="132" t="str">
        <f>ProgramKurser[KURSNAMN]</f>
        <v>Signaler och system</v>
      </c>
    </row>
    <row r="87" spans="14:16" x14ac:dyDescent="0.3">
      <c r="N87" s="131">
        <f>IFERROR(_xlfn.RANK.EQ(O87,SearchTable[Search],1),"FEL")</f>
        <v>72</v>
      </c>
      <c r="O87" s="131">
        <f>IFERROR(SEARCH(SearchField,ProgramKurser[KURSNAMN])+ROW()/100000,"")</f>
        <v>1.0008699999999999</v>
      </c>
      <c r="P87" s="132" t="str">
        <f>ProgramKurser[KURSNAMN]</f>
        <v>Datorteknik</v>
      </c>
    </row>
    <row r="88" spans="14:16" x14ac:dyDescent="0.3">
      <c r="N88" s="131">
        <f>IFERROR(_xlfn.RANK.EQ(O88,SearchTable[Search],1),"FEL")</f>
        <v>73</v>
      </c>
      <c r="O88" s="131">
        <f>IFERROR(SEARCH(SearchField,ProgramKurser[KURSNAMN])+ROW()/100000,"")</f>
        <v>1.00088</v>
      </c>
      <c r="P88" s="132" t="str">
        <f>ProgramKurser[KURSNAMN]</f>
        <v>Datorteknik</v>
      </c>
    </row>
    <row r="89" spans="14:16" x14ac:dyDescent="0.3">
      <c r="N89" s="131">
        <f>IFERROR(_xlfn.RANK.EQ(O89,SearchTable[Search],1),"FEL")</f>
        <v>74</v>
      </c>
      <c r="O89" s="131">
        <f>IFERROR(SEARCH(SearchField,ProgramKurser[KURSNAMN])+ROW()/100000,"")</f>
        <v>1.0008900000000001</v>
      </c>
      <c r="P89" s="132" t="str">
        <f>ProgramKurser[KURSNAMN]</f>
        <v>CAD och maskinelement</v>
      </c>
    </row>
    <row r="90" spans="14:16" x14ac:dyDescent="0.3">
      <c r="N90" s="131">
        <f>IFERROR(_xlfn.RANK.EQ(O90,SearchTable[Search],1),"FEL")</f>
        <v>75</v>
      </c>
      <c r="O90" s="131">
        <f>IFERROR(SEARCH(SearchField,ProgramKurser[KURSNAMN])+ROW()/100000,"")</f>
        <v>1.0008999999999999</v>
      </c>
      <c r="P90" s="132" t="str">
        <f>ProgramKurser[KURSNAMN]</f>
        <v>Cellbiologi</v>
      </c>
    </row>
    <row r="91" spans="14:16" x14ac:dyDescent="0.3">
      <c r="N91" s="131">
        <f>IFERROR(_xlfn.RANK.EQ(O91,SearchTable[Search],1),"FEL")</f>
        <v>76</v>
      </c>
      <c r="O91" s="131">
        <f>IFERROR(SEARCH(SearchField,ProgramKurser[KURSNAMN])+ROW()/100000,"")</f>
        <v>1.00091</v>
      </c>
      <c r="P91" s="132" t="str">
        <f>ProgramKurser[KURSNAMN]</f>
        <v>Databasteknik</v>
      </c>
    </row>
    <row r="92" spans="14:16" x14ac:dyDescent="0.3">
      <c r="N92" s="131">
        <f>IFERROR(_xlfn.RANK.EQ(O92,SearchTable[Search],1),"FEL")</f>
        <v>77</v>
      </c>
      <c r="O92" s="131">
        <f>IFERROR(SEARCH(SearchField,ProgramKurser[KURSNAMN])+ROW()/100000,"")</f>
        <v>1.00092</v>
      </c>
      <c r="P92" s="132" t="str">
        <f>ProgramKurser[KURSNAMN]</f>
        <v>Databasteknik för kandidatprojekt</v>
      </c>
    </row>
    <row r="93" spans="14:16" x14ac:dyDescent="0.3">
      <c r="N93" s="131">
        <f>IFERROR(_xlfn.RANK.EQ(O93,SearchTable[Search],1),"FEL")</f>
        <v>78</v>
      </c>
      <c r="O93" s="131">
        <f>IFERROR(SEARCH(SearchField,ProgramKurser[KURSNAMN])+ROW()/100000,"")</f>
        <v>1.0009300000000001</v>
      </c>
      <c r="P93" s="132" t="str">
        <f>ProgramKurser[KURSNAMN]</f>
        <v>Datorarkitektur</v>
      </c>
    </row>
    <row r="94" spans="14:16" x14ac:dyDescent="0.3">
      <c r="N94" s="131">
        <f>IFERROR(_xlfn.RANK.EQ(O94,SearchTable[Search],1),"FEL")</f>
        <v>79</v>
      </c>
      <c r="O94" s="131">
        <f>IFERROR(SEARCH(SearchField,ProgramKurser[KURSNAMN])+ROW()/100000,"")</f>
        <v>1.0009399999999999</v>
      </c>
      <c r="P94" s="132" t="str">
        <f>ProgramKurser[KURSNAMN]</f>
        <v>Design och implementering av programmodul i Java</v>
      </c>
    </row>
    <row r="95" spans="14:16" x14ac:dyDescent="0.3">
      <c r="N95" s="131">
        <f>IFERROR(_xlfn.RANK.EQ(O95,SearchTable[Search],1),"FEL")</f>
        <v>80</v>
      </c>
      <c r="O95" s="131">
        <f>IFERROR(SEARCH(SearchField,ProgramKurser[KURSNAMN])+ROW()/100000,"")</f>
        <v>1.00095</v>
      </c>
      <c r="P95" s="132" t="str">
        <f>ProgramKurser[KURSNAMN]</f>
        <v>Kandidatprojekt datateknik</v>
      </c>
    </row>
    <row r="96" spans="14:16" x14ac:dyDescent="0.3">
      <c r="N96" s="131">
        <f>IFERROR(_xlfn.RANK.EQ(O96,SearchTable[Search],1),"FEL")</f>
        <v>81</v>
      </c>
      <c r="O96" s="131">
        <f>IFERROR(SEARCH(SearchField,ProgramKurser[KURSNAMN])+ROW()/100000,"")</f>
        <v>1.0009600000000001</v>
      </c>
      <c r="P96" s="132" t="str">
        <f>ProgramKurser[KURSNAMN]</f>
        <v>Webbprogrammering - grundkurs</v>
      </c>
    </row>
    <row r="97" spans="14:16" x14ac:dyDescent="0.3">
      <c r="N97" s="131">
        <f>IFERROR(_xlfn.RANK.EQ(O97,SearchTable[Search],1),"FEL")</f>
        <v>82</v>
      </c>
      <c r="O97" s="131">
        <f>IFERROR(SEARCH(SearchField,ProgramKurser[KURSNAMN])+ROW()/100000,"")</f>
        <v>1.0009699999999999</v>
      </c>
      <c r="P97" s="132" t="str">
        <f>ProgramKurser[KURSNAMN]</f>
        <v>Kandidatprojekt bioteknik</v>
      </c>
    </row>
    <row r="98" spans="14:16" x14ac:dyDescent="0.3">
      <c r="N98" s="131">
        <f>IFERROR(_xlfn.RANK.EQ(O98,SearchTable[Search],1),"FEL")</f>
        <v>83</v>
      </c>
      <c r="O98" s="131">
        <f>IFERROR(SEARCH(SearchField,ProgramKurser[KURSNAMN])+ROW()/100000,"")</f>
        <v>1.00098</v>
      </c>
      <c r="P98" s="132" t="str">
        <f>ProgramKurser[KURSNAMN]</f>
        <v>Kandidatprojekt energiteknik</v>
      </c>
    </row>
    <row r="99" spans="14:16" x14ac:dyDescent="0.3">
      <c r="N99" s="131">
        <f>IFERROR(_xlfn.RANK.EQ(O99,SearchTable[Search],1),"FEL")</f>
        <v>84</v>
      </c>
      <c r="O99" s="131">
        <f>IFERROR(SEARCH(SearchField,ProgramKurser[KURSNAMN])+ROW()/100000,"")</f>
        <v>1.00099</v>
      </c>
      <c r="P99" s="132" t="str">
        <f>ProgramKurser[KURSNAMN]</f>
        <v>Kandidatprojekt maskinteknik</v>
      </c>
    </row>
    <row r="100" spans="14:16" x14ac:dyDescent="0.3">
      <c r="N100" s="131">
        <f>IFERROR(_xlfn.RANK.EQ(O100,SearchTable[Search],1),"FEL")</f>
        <v>85</v>
      </c>
      <c r="O100" s="131">
        <f>IFERROR(SEARCH(SearchField,ProgramKurser[KURSNAMN])+ROW()/100000,"")</f>
        <v>1.0009999999999999</v>
      </c>
      <c r="P100" s="132" t="str">
        <f>ProgramKurser[KURSNAMN]</f>
        <v>Konstruktionsmaterial</v>
      </c>
    </row>
    <row r="101" spans="14:16" x14ac:dyDescent="0.3">
      <c r="N101" s="131">
        <f>IFERROR(_xlfn.RANK.EQ(O101,SearchTable[Search],1),"FEL")</f>
        <v>86</v>
      </c>
      <c r="O101" s="131">
        <f>IFERROR(SEARCH(SearchField,ProgramKurser[KURSNAMN])+ROW()/100000,"")</f>
        <v>1.00101</v>
      </c>
      <c r="P101" s="132" t="str">
        <f>ProgramKurser[KURSNAMN]</f>
        <v>Medicintekniska utblickar</v>
      </c>
    </row>
    <row r="102" spans="14:16" x14ac:dyDescent="0.3">
      <c r="N102" s="131">
        <f>IFERROR(_xlfn.RANK.EQ(O102,SearchTable[Search],1),"FEL")</f>
        <v>87</v>
      </c>
      <c r="O102" s="131">
        <f>IFERROR(SEARCH(SearchField,ProgramKurser[KURSNAMN])+ROW()/100000,"")</f>
        <v>1.00102</v>
      </c>
      <c r="P102" s="132" t="str">
        <f>ProgramKurser[KURSNAMN]</f>
        <v>Mekatronik</v>
      </c>
    </row>
    <row r="103" spans="14:16" x14ac:dyDescent="0.3">
      <c r="N103" s="131">
        <f>IFERROR(_xlfn.RANK.EQ(O103,SearchTable[Search],1),"FEL")</f>
        <v>88</v>
      </c>
      <c r="O103" s="131">
        <f>IFERROR(SEARCH(SearchField,ProgramKurser[KURSNAMN])+ROW()/100000,"")</f>
        <v>1.0010300000000001</v>
      </c>
      <c r="P103" s="132" t="str">
        <f>ProgramKurser[KURSNAMN]</f>
        <v>Mikrobiologi</v>
      </c>
    </row>
    <row r="104" spans="14:16" x14ac:dyDescent="0.3">
      <c r="N104" s="131">
        <f>IFERROR(_xlfn.RANK.EQ(O104,SearchTable[Search],1),"FEL")</f>
        <v>89</v>
      </c>
      <c r="O104" s="131">
        <f>IFERROR(SEARCH(SearchField,ProgramKurser[KURSNAMN])+ROW()/100000,"")</f>
        <v>1.0010399999999999</v>
      </c>
      <c r="P104" s="132" t="str">
        <f>ProgramKurser[KURSNAMN]</f>
        <v>Resurseffektiva produkter och produktion</v>
      </c>
    </row>
    <row r="105" spans="14:16" x14ac:dyDescent="0.3">
      <c r="N105" s="131">
        <f>IFERROR(_xlfn.RANK.EQ(O105,SearchTable[Search],1),"FEL")</f>
        <v>90</v>
      </c>
      <c r="O105" s="131">
        <f>IFERROR(SEARCH(SearchField,ProgramKurser[KURSNAMN])+ROW()/100000,"")</f>
        <v>1.00105</v>
      </c>
      <c r="P105" s="132" t="str">
        <f>ProgramKurser[KURSNAMN]</f>
        <v>Systembiologisk modellering</v>
      </c>
    </row>
    <row r="106" spans="14:16" x14ac:dyDescent="0.3">
      <c r="N106" s="131">
        <f>IFERROR(_xlfn.RANK.EQ(O106,SearchTable[Search],1),"FEL")</f>
        <v>91</v>
      </c>
      <c r="O106" s="131">
        <f>IFERROR(SEARCH(SearchField,ProgramKurser[KURSNAMN])+ROW()/100000,"")</f>
        <v>1.0010600000000001</v>
      </c>
      <c r="P106" s="132" t="str">
        <f>ProgramKurser[KURSNAMN]</f>
        <v>Systembiologiskt modelleringsprojekt</v>
      </c>
    </row>
    <row r="107" spans="14:16" x14ac:dyDescent="0.3">
      <c r="N107" s="131">
        <f>IFERROR(_xlfn.RANK.EQ(O107,SearchTable[Search],1),"FEL")</f>
        <v>92</v>
      </c>
      <c r="O107" s="131">
        <f>IFERROR(SEARCH(SearchField,ProgramKurser[KURSNAMN])+ROW()/100000,"")</f>
        <v>1.0010699999999999</v>
      </c>
      <c r="P107" s="132" t="str">
        <f>ProgramKurser[KURSNAMN]</f>
        <v>Teknisk mikrobiologi och immunologi</v>
      </c>
    </row>
    <row r="108" spans="14:16" x14ac:dyDescent="0.3">
      <c r="N108" s="131">
        <f>IFERROR(_xlfn.RANK.EQ(O108,SearchTable[Search],1),"FEL")</f>
        <v>93</v>
      </c>
      <c r="O108" s="131">
        <f>IFERROR(SEARCH(SearchField,ProgramKurser[KURSNAMN])+ROW()/100000,"")</f>
        <v>1.00108</v>
      </c>
      <c r="P108" s="132" t="str">
        <f>ProgramKurser[KURSNAMN]</f>
        <v>Tillämpad cellbiologi</v>
      </c>
    </row>
    <row r="109" spans="14:16" x14ac:dyDescent="0.3">
      <c r="N109" s="131">
        <f>IFERROR(_xlfn.RANK.EQ(O109,SearchTable[Search],1),"FEL")</f>
        <v>94</v>
      </c>
      <c r="O109" s="131">
        <f>IFERROR(SEARCH(SearchField,ProgramKurser[KURSNAMN])+ROW()/100000,"")</f>
        <v>1.00109</v>
      </c>
      <c r="P109" s="132" t="str">
        <f>ProgramKurser[KURSNAMN]</f>
        <v>Tillämpad termodynamik och strömningslära</v>
      </c>
    </row>
    <row r="110" spans="14:16" x14ac:dyDescent="0.3">
      <c r="N110" s="131">
        <f>IFERROR(_xlfn.RANK.EQ(O110,SearchTable[Search],1),"FEL")</f>
        <v>95</v>
      </c>
      <c r="O110" s="131">
        <f>IFERROR(SEARCH(SearchField,ProgramKurser[KURSNAMN])+ROW()/100000,"")</f>
        <v>1.0011000000000001</v>
      </c>
      <c r="P110" s="132" t="str">
        <f>ProgramKurser[KURSNAMN]</f>
        <v>Projektledning</v>
      </c>
    </row>
    <row r="111" spans="14:16" x14ac:dyDescent="0.3">
      <c r="N111" s="131">
        <f>IFERROR(_xlfn.RANK.EQ(O111,SearchTable[Search],1),"FEL")</f>
        <v>96</v>
      </c>
      <c r="O111" s="131">
        <f>IFERROR(SEARCH(SearchField,ProgramKurser[KURSNAMN])+ROW()/100000,"")</f>
        <v>1.0011099999999999</v>
      </c>
      <c r="P111" s="132" t="str">
        <f>ProgramKurser[KURSNAMN]</f>
        <v>Entreprenörskap och start av nya verksamheter</v>
      </c>
    </row>
    <row r="112" spans="14:16" x14ac:dyDescent="0.3">
      <c r="N112" s="131">
        <f>IFERROR(_xlfn.RANK.EQ(O112,SearchTable[Search],1),"FEL")</f>
        <v>97</v>
      </c>
      <c r="O112" s="131">
        <f>IFERROR(SEARCH(SearchField,ProgramKurser[KURSNAMN])+ROW()/100000,"")</f>
        <v>1.00112</v>
      </c>
      <c r="P112" s="132" t="str">
        <f>ProgramKurser[KURSNAMN]</f>
        <v>Signaler och system, del 2</v>
      </c>
    </row>
    <row r="113" spans="14:16" x14ac:dyDescent="0.3">
      <c r="N113" s="131">
        <f>IFERROR(_xlfn.RANK.EQ(O113,SearchTable[Search],1),"FEL")</f>
        <v>98</v>
      </c>
      <c r="O113" s="131">
        <f>IFERROR(SEARCH(SearchField,ProgramKurser[KURSNAMN])+ROW()/100000,"")</f>
        <v>1.0011300000000001</v>
      </c>
      <c r="P113" s="132" t="str">
        <f>ProgramKurser[KURSNAMN]</f>
        <v>Datorteknik Y</v>
      </c>
    </row>
    <row r="114" spans="14:16" x14ac:dyDescent="0.3">
      <c r="N114" s="131">
        <f>IFERROR(_xlfn.RANK.EQ(O114,SearchTable[Search],1),"FEL")</f>
        <v>99</v>
      </c>
      <c r="O114" s="131">
        <f>IFERROR(SEARCH(SearchField,ProgramKurser[KURSNAMN])+ROW()/100000,"")</f>
        <v>1.0011399999999999</v>
      </c>
      <c r="P114" s="132" t="str">
        <f>ProgramKurser[KURSNAMN]</f>
        <v>Industriell reglerteknik</v>
      </c>
    </row>
    <row r="115" spans="14:16" x14ac:dyDescent="0.3">
      <c r="N115" s="131">
        <f>IFERROR(_xlfn.RANK.EQ(O115,SearchTable[Search],1),"FEL")</f>
        <v>100</v>
      </c>
      <c r="O115" s="131">
        <f>IFERROR(SEARCH(SearchField,ProgramKurser[KURSNAMN])+ROW()/100000,"")</f>
        <v>1.00115</v>
      </c>
      <c r="P115" s="132" t="str">
        <f>ProgramKurser[KURSNAMN]</f>
        <v>Optimeringslära, fortsättningskurs</v>
      </c>
    </row>
    <row r="116" spans="14:16" x14ac:dyDescent="0.3">
      <c r="N116" s="131">
        <f>IFERROR(_xlfn.RANK.EQ(O116,SearchTable[Search],1),"FEL")</f>
        <v>101</v>
      </c>
      <c r="O116" s="131">
        <f>IFERROR(SEARCH(SearchField,ProgramKurser[KURSNAMN])+ROW()/100000,"")</f>
        <v>1.00116</v>
      </c>
      <c r="P116" s="132" t="str">
        <f>ProgramKurser[KURSNAMN]</f>
        <v>Affärsrätt I</v>
      </c>
    </row>
    <row r="117" spans="14:16" x14ac:dyDescent="0.3">
      <c r="N117" s="131">
        <f>IFERROR(_xlfn.RANK.EQ(O117,SearchTable[Search],1),"FEL")</f>
        <v>102</v>
      </c>
      <c r="O117" s="131">
        <f>IFERROR(SEARCH(SearchField,ProgramKurser[KURSNAMN])+ROW()/100000,"")</f>
        <v>1.0011699999999999</v>
      </c>
      <c r="P117" s="132" t="str">
        <f>ProgramKurser[KURSNAMN]</f>
        <v>Entreprenörskap och start av nya verksamheter</v>
      </c>
    </row>
    <row r="118" spans="14:16" x14ac:dyDescent="0.3">
      <c r="N118" s="131">
        <f>IFERROR(_xlfn.RANK.EQ(O118,SearchTable[Search],1),"FEL")</f>
        <v>103</v>
      </c>
      <c r="O118" s="131">
        <f>IFERROR(SEARCH(SearchField,ProgramKurser[KURSNAMN])+ROW()/100000,"")</f>
        <v>1.00118</v>
      </c>
      <c r="P118" s="132" t="str">
        <f>ProgramKurser[KURSNAMN]</f>
        <v>Signaler, information och kommunikation</v>
      </c>
    </row>
    <row r="119" spans="14:16" x14ac:dyDescent="0.3">
      <c r="N119" s="131">
        <f>IFERROR(_xlfn.RANK.EQ(O119,SearchTable[Search],1),"FEL")</f>
        <v>104</v>
      </c>
      <c r="O119" s="131">
        <f>IFERROR(SEARCH(SearchField,ProgramKurser[KURSNAMN])+ROW()/100000,"")</f>
        <v>1.00119</v>
      </c>
      <c r="P119" s="132" t="str">
        <f>ProgramKurser[KURSNAMN]</f>
        <v>Internationellt företagande</v>
      </c>
    </row>
    <row r="120" spans="14:16" x14ac:dyDescent="0.3">
      <c r="N120" s="131">
        <f>IFERROR(_xlfn.RANK.EQ(O120,SearchTable[Search],1),"FEL")</f>
        <v>105</v>
      </c>
      <c r="O120" s="131">
        <f>IFERROR(SEARCH(SearchField,ProgramKurser[KURSNAMN])+ROW()/100000,"")</f>
        <v>1.0012000000000001</v>
      </c>
      <c r="P120" s="132" t="str">
        <f>ProgramKurser[KURSNAMN]</f>
        <v>Programmering i Java, datastrukturer och algoritmer</v>
      </c>
    </row>
    <row r="121" spans="14:16" x14ac:dyDescent="0.3">
      <c r="N121" s="131">
        <f>IFERROR(_xlfn.RANK.EQ(O121,SearchTable[Search],1),"FEL")</f>
        <v>106</v>
      </c>
      <c r="O121" s="131">
        <f>IFERROR(SEARCH(SearchField,ProgramKurser[KURSNAMN])+ROW()/100000,"")</f>
        <v>1.0012099999999999</v>
      </c>
      <c r="P121" s="132" t="str">
        <f>ProgramKurser[KURSNAMN]</f>
        <v>Elektronik kandidatprojekt</v>
      </c>
    </row>
    <row r="122" spans="14:16" x14ac:dyDescent="0.3">
      <c r="N122" s="131">
        <f>IFERROR(_xlfn.RANK.EQ(O122,SearchTable[Search],1),"FEL")</f>
        <v>107</v>
      </c>
      <c r="O122" s="131">
        <f>IFERROR(SEARCH(SearchField,ProgramKurser[KURSNAMN])+ROW()/100000,"")</f>
        <v>1.00122</v>
      </c>
      <c r="P122" s="132" t="str">
        <f>ProgramKurser[KURSNAMN]</f>
        <v>Affektiv produktutveckling</v>
      </c>
    </row>
    <row r="123" spans="14:16" x14ac:dyDescent="0.3">
      <c r="N123" s="131">
        <f>IFERROR(_xlfn.RANK.EQ(O123,SearchTable[Search],1),"FEL")</f>
        <v>108</v>
      </c>
      <c r="O123" s="131">
        <f>IFERROR(SEARCH(SearchField,ProgramKurser[KURSNAMN])+ROW()/100000,"")</f>
        <v>1.0012300000000001</v>
      </c>
      <c r="P123" s="132" t="str">
        <f>ProgramKurser[KURSNAMN]</f>
        <v>Affärsstrategier</v>
      </c>
    </row>
    <row r="124" spans="14:16" x14ac:dyDescent="0.3">
      <c r="N124" s="131">
        <f>IFERROR(_xlfn.RANK.EQ(O124,SearchTable[Search],1),"FEL")</f>
        <v>109</v>
      </c>
      <c r="O124" s="131">
        <f>IFERROR(SEARCH(SearchField,ProgramKurser[KURSNAMN])+ROW()/100000,"")</f>
        <v>1.0012399999999999</v>
      </c>
      <c r="P124" s="132" t="str">
        <f>ProgramKurser[KURSNAMN]</f>
        <v>Affärssystem: process och implementering</v>
      </c>
    </row>
    <row r="125" spans="14:16" x14ac:dyDescent="0.3">
      <c r="N125" s="131">
        <f>IFERROR(_xlfn.RANK.EQ(O125,SearchTable[Search],1),"FEL")</f>
        <v>110</v>
      </c>
      <c r="O125" s="131">
        <f>IFERROR(SEARCH(SearchField,ProgramKurser[KURSNAMN])+ROW()/100000,"")</f>
        <v>1.00125</v>
      </c>
      <c r="P125" s="132" t="str">
        <f>ProgramKurser[KURSNAMN]</f>
        <v>Analog konstruktion</v>
      </c>
    </row>
    <row r="126" spans="14:16" x14ac:dyDescent="0.3">
      <c r="N126" s="131">
        <f>IFERROR(_xlfn.RANK.EQ(O126,SearchTable[Search],1),"FEL")</f>
        <v>111</v>
      </c>
      <c r="O126" s="131">
        <f>IFERROR(SEARCH(SearchField,ProgramKurser[KURSNAMN])+ROW()/100000,"")</f>
        <v>1.00126</v>
      </c>
      <c r="P126" s="132" t="str">
        <f>ProgramKurser[KURSNAMN]</f>
        <v>Analys av bioelektriska signaler</v>
      </c>
    </row>
    <row r="127" spans="14:16" x14ac:dyDescent="0.3">
      <c r="N127" s="131">
        <f>IFERROR(_xlfn.RANK.EQ(O127,SearchTable[Search],1),"FEL")</f>
        <v>112</v>
      </c>
      <c r="O127" s="131">
        <f>IFERROR(SEARCH(SearchField,ProgramKurser[KURSNAMN])+ROW()/100000,"")</f>
        <v>1.0012700000000001</v>
      </c>
      <c r="P127" s="132" t="str">
        <f>ProgramKurser[KURSNAMN]</f>
        <v>Analys, överkurs</v>
      </c>
    </row>
    <row r="128" spans="14:16" x14ac:dyDescent="0.3">
      <c r="N128" s="131">
        <f>IFERROR(_xlfn.RANK.EQ(O128,SearchTable[Search],1),"FEL")</f>
        <v>113</v>
      </c>
      <c r="O128" s="131">
        <f>IFERROR(SEARCH(SearchField,ProgramKurser[KURSNAMN])+ROW()/100000,"")</f>
        <v>1.0012799999999999</v>
      </c>
      <c r="P128" s="132" t="str">
        <f>ProgramKurser[KURSNAMN]</f>
        <v>Anatomi och fysiologi</v>
      </c>
    </row>
    <row r="129" spans="14:16" x14ac:dyDescent="0.3">
      <c r="N129" s="131">
        <f>IFERROR(_xlfn.RANK.EQ(O129,SearchTable[Search],1),"FEL")</f>
        <v>114</v>
      </c>
      <c r="O129" s="131">
        <f>IFERROR(SEARCH(SearchField,ProgramKurser[KURSNAMN])+ROW()/100000,"")</f>
        <v>1.00129</v>
      </c>
      <c r="P129" s="132" t="str">
        <f>ProgramKurser[KURSNAMN]</f>
        <v>Avancerad projektverksamhet</v>
      </c>
    </row>
    <row r="130" spans="14:16" x14ac:dyDescent="0.3">
      <c r="N130" s="131">
        <f>IFERROR(_xlfn.RANK.EQ(O130,SearchTable[Search],1),"FEL")</f>
        <v>115</v>
      </c>
      <c r="O130" s="131">
        <f>IFERROR(SEARCH(SearchField,ProgramKurser[KURSNAMN])+ROW()/100000,"")</f>
        <v>1.0013000000000001</v>
      </c>
      <c r="P130" s="132" t="str">
        <f>ProgramKurser[KURSNAMN]</f>
        <v>Bildsensorer</v>
      </c>
    </row>
    <row r="131" spans="14:16" x14ac:dyDescent="0.3">
      <c r="N131" s="131">
        <f>IFERROR(_xlfn.RANK.EQ(O131,SearchTable[Search],1),"FEL")</f>
        <v>116</v>
      </c>
      <c r="O131" s="131">
        <f>IFERROR(SEARCH(SearchField,ProgramKurser[KURSNAMN])+ROW()/100000,"")</f>
        <v>1.0013099999999999</v>
      </c>
      <c r="P131" s="132" t="str">
        <f>ProgramKurser[KURSNAMN]</f>
        <v>Bioinformatik</v>
      </c>
    </row>
    <row r="132" spans="14:16" x14ac:dyDescent="0.3">
      <c r="N132" s="131">
        <f>IFERROR(_xlfn.RANK.EQ(O132,SearchTable[Search],1),"FEL")</f>
        <v>117</v>
      </c>
      <c r="O132" s="131">
        <f>IFERROR(SEARCH(SearchField,ProgramKurser[KURSNAMN])+ROW()/100000,"")</f>
        <v>1.00132</v>
      </c>
      <c r="P132" s="132" t="str">
        <f>ProgramKurser[KURSNAMN]</f>
        <v>Bioinformatik - översikt och praktiska tillämpningar</v>
      </c>
    </row>
    <row r="133" spans="14:16" x14ac:dyDescent="0.3">
      <c r="N133" s="131">
        <f>IFERROR(_xlfn.RANK.EQ(O133,SearchTable[Search],1),"FEL")</f>
        <v>118</v>
      </c>
      <c r="O133" s="131">
        <f>IFERROR(SEARCH(SearchField,ProgramKurser[KURSNAMN])+ROW()/100000,"")</f>
        <v>1.0013300000000001</v>
      </c>
      <c r="P133" s="132" t="str">
        <f>ProgramKurser[KURSNAMN]</f>
        <v>Biomekanik</v>
      </c>
    </row>
    <row r="134" spans="14:16" x14ac:dyDescent="0.3">
      <c r="N134" s="131">
        <f>IFERROR(_xlfn.RANK.EQ(O134,SearchTable[Search],1),"FEL")</f>
        <v>119</v>
      </c>
      <c r="O134" s="131">
        <f>IFERROR(SEARCH(SearchField,ProgramKurser[KURSNAMN])+ROW()/100000,"")</f>
        <v>1.0013399999999999</v>
      </c>
      <c r="P134" s="132" t="str">
        <f>ProgramKurser[KURSNAMN]</f>
        <v>Biostatistik</v>
      </c>
    </row>
    <row r="135" spans="14:16" x14ac:dyDescent="0.3">
      <c r="N135" s="131">
        <f>IFERROR(_xlfn.RANK.EQ(O135,SearchTable[Search],1),"FEL")</f>
        <v>120</v>
      </c>
      <c r="O135" s="131">
        <f>IFERROR(SEARCH(SearchField,ProgramKurser[KURSNAMN])+ROW()/100000,"")</f>
        <v>1.00135</v>
      </c>
      <c r="P135" s="132" t="str">
        <f>ProgramKurser[KURSNAMN]</f>
        <v>Celltillväxt och celldifferentiering</v>
      </c>
    </row>
    <row r="136" spans="14:16" x14ac:dyDescent="0.3">
      <c r="N136" s="131">
        <f>IFERROR(_xlfn.RANK.EQ(O136,SearchTable[Search],1),"FEL")</f>
        <v>121</v>
      </c>
      <c r="O136" s="131">
        <f>IFERROR(SEARCH(SearchField,ProgramKurser[KURSNAMN])+ROW()/100000,"")</f>
        <v>1.00136</v>
      </c>
      <c r="P136" s="132" t="str">
        <f>ProgramKurser[KURSNAMN]</f>
        <v>Corporate Finance</v>
      </c>
    </row>
    <row r="137" spans="14:16" x14ac:dyDescent="0.3">
      <c r="N137" s="131">
        <f>IFERROR(_xlfn.RANK.EQ(O137,SearchTable[Search],1),"FEL")</f>
        <v>122</v>
      </c>
      <c r="O137" s="131">
        <f>IFERROR(SEARCH(SearchField,ProgramKurser[KURSNAMN])+ROW()/100000,"")</f>
        <v>1.0013700000000001</v>
      </c>
      <c r="P137" s="132" t="str">
        <f>ProgramKurser[KURSNAMN]</f>
        <v>Datoriserad produktionsutrustning</v>
      </c>
    </row>
    <row r="138" spans="14:16" x14ac:dyDescent="0.3">
      <c r="N138" s="131">
        <f>IFERROR(_xlfn.RANK.EQ(O138,SearchTable[Search],1),"FEL")</f>
        <v>123</v>
      </c>
      <c r="O138" s="131">
        <f>IFERROR(SEARCH(SearchField,ProgramKurser[KURSNAMN])+ROW()/100000,"")</f>
        <v>1.0013799999999999</v>
      </c>
      <c r="P138" s="132" t="str">
        <f>ProgramKurser[KURSNAMN]</f>
        <v>Artificiell intelligens</v>
      </c>
    </row>
    <row r="139" spans="14:16" x14ac:dyDescent="0.3">
      <c r="N139" s="131">
        <f>IFERROR(_xlfn.RANK.EQ(O139,SearchTable[Search],1),"FEL")</f>
        <v>124</v>
      </c>
      <c r="O139" s="131">
        <f>IFERROR(SEARCH(SearchField,ProgramKurser[KURSNAMN])+ROW()/100000,"")</f>
        <v>1.00139</v>
      </c>
      <c r="P139" s="132" t="str">
        <f>ProgramKurser[KURSNAMN]</f>
        <v>Artificiell intelligens och LISP</v>
      </c>
    </row>
    <row r="140" spans="14:16" x14ac:dyDescent="0.3">
      <c r="N140" s="131">
        <f>IFERROR(_xlfn.RANK.EQ(O140,SearchTable[Search],1),"FEL")</f>
        <v>125</v>
      </c>
      <c r="O140" s="131">
        <f>IFERROR(SEARCH(SearchField,ProgramKurser[KURSNAMN])+ROW()/100000,"")</f>
        <v>1.0014000000000001</v>
      </c>
      <c r="P140" s="132" t="str">
        <f>ProgramKurser[KURSNAMN]</f>
        <v>Avancerad programmering i C++</v>
      </c>
    </row>
    <row r="141" spans="14:16" x14ac:dyDescent="0.3">
      <c r="N141" s="131">
        <f>IFERROR(_xlfn.RANK.EQ(O141,SearchTable[Search],1),"FEL")</f>
        <v>126</v>
      </c>
      <c r="O141" s="131">
        <f>IFERROR(SEARCH(SearchField,ProgramKurser[KURSNAMN])+ROW()/100000,"")</f>
        <v>1.0014099999999999</v>
      </c>
      <c r="P141" s="132" t="str">
        <f>ProgramKurser[KURSNAMN]</f>
        <v>Datasäkerhet</v>
      </c>
    </row>
    <row r="142" spans="14:16" x14ac:dyDescent="0.3">
      <c r="N142" s="131">
        <f>IFERROR(_xlfn.RANK.EQ(O142,SearchTable[Search],1),"FEL")</f>
        <v>127</v>
      </c>
      <c r="O142" s="131">
        <f>IFERROR(SEARCH(SearchField,ProgramKurser[KURSNAMN])+ROW()/100000,"")</f>
        <v>1.00142</v>
      </c>
      <c r="P142" s="132" t="str">
        <f>ProgramKurser[KURSNAMN]</f>
        <v>Datorteknik och realtidssystem</v>
      </c>
    </row>
    <row r="143" spans="14:16" x14ac:dyDescent="0.3">
      <c r="N143" s="131">
        <f>IFERROR(_xlfn.RANK.EQ(O143,SearchTable[Search],1),"FEL")</f>
        <v>128</v>
      </c>
      <c r="O143" s="131">
        <f>IFERROR(SEARCH(SearchField,ProgramKurser[KURSNAMN])+ROW()/100000,"")</f>
        <v>1.00143</v>
      </c>
      <c r="P143" s="132" t="str">
        <f>ProgramKurser[KURSNAMN]</f>
        <v>Digital bildbehandling grundkurs</v>
      </c>
    </row>
    <row r="144" spans="14:16" x14ac:dyDescent="0.3">
      <c r="N144" s="131">
        <f>IFERROR(_xlfn.RANK.EQ(O144,SearchTable[Search],1),"FEL")</f>
        <v>129</v>
      </c>
      <c r="O144" s="131">
        <f>IFERROR(SEARCH(SearchField,ProgramKurser[KURSNAMN])+ROW()/100000,"")</f>
        <v>1.0014400000000001</v>
      </c>
      <c r="P144" s="132" t="str">
        <f>ProgramKurser[KURSNAMN]</f>
        <v>Digital kommunikation</v>
      </c>
    </row>
    <row r="145" spans="14:16" x14ac:dyDescent="0.3">
      <c r="N145" s="131">
        <f>IFERROR(_xlfn.RANK.EQ(O145,SearchTable[Search],1),"FEL")</f>
        <v>130</v>
      </c>
      <c r="O145" s="131">
        <f>IFERROR(SEARCH(SearchField,ProgramKurser[KURSNAMN])+ROW()/100000,"")</f>
        <v>1.00145</v>
      </c>
      <c r="P145" s="132" t="str">
        <f>ProgramKurser[KURSNAMN]</f>
        <v>Digital signalbehandling</v>
      </c>
    </row>
    <row r="146" spans="14:16" x14ac:dyDescent="0.3">
      <c r="N146" s="131">
        <f>IFERROR(_xlfn.RANK.EQ(O146,SearchTable[Search],1),"FEL")</f>
        <v>131</v>
      </c>
      <c r="O146" s="131">
        <f>IFERROR(SEARCH(SearchField,ProgramKurser[KURSNAMN])+ROW()/100000,"")</f>
        <v>1.00146</v>
      </c>
      <c r="P146" s="132" t="str">
        <f>ProgramKurser[KURSNAMN]</f>
        <v>Design och programmering av datorspel</v>
      </c>
    </row>
    <row r="147" spans="14:16" x14ac:dyDescent="0.3">
      <c r="N147" s="131">
        <f>IFERROR(_xlfn.RANK.EQ(O147,SearchTable[Search],1),"FEL")</f>
        <v>132</v>
      </c>
      <c r="O147" s="131">
        <f>IFERROR(SEARCH(SearchField,ProgramKurser[KURSNAMN])+ROW()/100000,"")</f>
        <v>1.0014700000000001</v>
      </c>
      <c r="P147" s="132" t="str">
        <f>ProgramKurser[KURSNAMN]</f>
        <v>Designmönster</v>
      </c>
    </row>
    <row r="148" spans="14:16" x14ac:dyDescent="0.3">
      <c r="N148" s="131">
        <f>IFERROR(_xlfn.RANK.EQ(O148,SearchTable[Search],1),"FEL")</f>
        <v>133</v>
      </c>
      <c r="O148" s="131">
        <f>IFERROR(SEARCH(SearchField,ProgramKurser[KURSNAMN])+ROW()/100000,"")</f>
        <v>1.0014799999999999</v>
      </c>
      <c r="P148" s="132" t="str">
        <f>ProgramKurser[KURSNAMN]</f>
        <v>Integrerad företagsplanering</v>
      </c>
    </row>
    <row r="149" spans="14:16" x14ac:dyDescent="0.3">
      <c r="N149" s="131">
        <f>IFERROR(_xlfn.RANK.EQ(O149,SearchTable[Search],1),"FEL")</f>
        <v>134</v>
      </c>
      <c r="O149" s="131">
        <f>IFERROR(SEARCH(SearchField,ProgramKurser[KURSNAMN])+ROW()/100000,"")</f>
        <v>1.00149</v>
      </c>
      <c r="P149" s="132" t="str">
        <f>ProgramKurser[KURSNAMN]</f>
        <v>Formella språk och automatateori</v>
      </c>
    </row>
    <row r="150" spans="14:16" x14ac:dyDescent="0.3">
      <c r="N150" s="131">
        <f>IFERROR(_xlfn.RANK.EQ(O150,SearchTable[Search],1),"FEL")</f>
        <v>135</v>
      </c>
      <c r="O150" s="131">
        <f>IFERROR(SEARCH(SearchField,ProgramKurser[KURSNAMN])+ROW()/100000,"")</f>
        <v>1.0015000000000001</v>
      </c>
      <c r="P150" s="132" t="str">
        <f>ProgramKurser[KURSNAMN]</f>
        <v>Ekonomisk styrning</v>
      </c>
    </row>
    <row r="151" spans="14:16" x14ac:dyDescent="0.3">
      <c r="N151" s="131">
        <f>IFERROR(_xlfn.RANK.EQ(O151,SearchTable[Search],1),"FEL")</f>
        <v>136</v>
      </c>
      <c r="O151" s="131">
        <f>IFERROR(SEARCH(SearchField,ProgramKurser[KURSNAMN])+ROW()/100000,"")</f>
        <v>1.0015099999999999</v>
      </c>
      <c r="P151" s="132" t="str">
        <f>ProgramKurser[KURSNAMN]</f>
        <v>Elkraftteknik</v>
      </c>
    </row>
    <row r="152" spans="14:16" x14ac:dyDescent="0.3">
      <c r="N152" s="131">
        <f>IFERROR(_xlfn.RANK.EQ(O152,SearchTable[Search],1),"FEL")</f>
        <v>137</v>
      </c>
      <c r="O152" s="131">
        <f>IFERROR(SEARCH(SearchField,ProgramKurser[KURSNAMN])+ROW()/100000,"")</f>
        <v>1.00152</v>
      </c>
      <c r="P152" s="132" t="str">
        <f>ProgramKurser[KURSNAMN]</f>
        <v>Energiresurser</v>
      </c>
    </row>
    <row r="153" spans="14:16" x14ac:dyDescent="0.3">
      <c r="N153" s="131">
        <f>IFERROR(_xlfn.RANK.EQ(O153,SearchTable[Search],1),"FEL")</f>
        <v>138</v>
      </c>
      <c r="O153" s="131">
        <f>IFERROR(SEARCH(SearchField,ProgramKurser[KURSNAMN])+ROW()/100000,"")</f>
        <v>1.00153</v>
      </c>
      <c r="P153" s="132" t="str">
        <f>ProgramKurser[KURSNAMN]</f>
        <v>Finansiella marknader och instrument</v>
      </c>
    </row>
    <row r="154" spans="14:16" x14ac:dyDescent="0.3">
      <c r="N154" s="131">
        <f>IFERROR(_xlfn.RANK.EQ(O154,SearchTable[Search],1),"FEL")</f>
        <v>139</v>
      </c>
      <c r="O154" s="131">
        <f>IFERROR(SEARCH(SearchField,ProgramKurser[KURSNAMN])+ROW()/100000,"")</f>
        <v>1.0015400000000001</v>
      </c>
      <c r="P154" s="132" t="str">
        <f>ProgramKurser[KURSNAMN]</f>
        <v>Kompilatorer och interpretatorer</v>
      </c>
    </row>
  </sheetData>
  <pageMargins left="0.7" right="0.7" top="0.75" bottom="0.75" header="0.3" footer="0.3"/>
  <tableParts count="7">
    <tablePart r:id="rId1"/>
    <tablePart r:id="rId2"/>
    <tablePart r:id="rId3"/>
    <tablePart r:id="rId4"/>
    <tablePart r:id="rId5"/>
    <tablePart r:id="rId6"/>
    <tablePart r:id="rId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mso-contentType ?>
<FormTemplates xmlns="http://schemas.microsoft.com/sharepoint/v3/contenttype/forms">
  <Display>DocumentLibraryForm</Display>
  <Edit>AssetEditForm</Edit>
  <New>DocumentLibraryForm</New>
</FormTemplates>
</file>

<file path=customXml/itemProps1.xml><?xml version="1.0" encoding="utf-8"?>
<ds:datastoreItem xmlns:ds="http://schemas.openxmlformats.org/officeDocument/2006/customXml" ds:itemID="{8F329870-9647-4925-B360-398BCCCEDFA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10</vt:i4>
      </vt:variant>
      <vt:variant>
        <vt:lpstr>Namngivna områden</vt:lpstr>
      </vt:variant>
      <vt:variant>
        <vt:i4>222</vt:i4>
      </vt:variant>
    </vt:vector>
  </HeadingPairs>
  <TitlesOfParts>
    <vt:vector size="232" baseType="lpstr">
      <vt:lpstr>Sammanställning</vt:lpstr>
      <vt:lpstr>Ditt informationsblad</vt:lpstr>
      <vt:lpstr>Programkurser</vt:lpstr>
      <vt:lpstr>Examenskrav</vt:lpstr>
      <vt:lpstr>Program och examenskrav</vt:lpstr>
      <vt:lpstr>Automatiserad import</vt:lpstr>
      <vt:lpstr>Data från webbimport</vt:lpstr>
      <vt:lpstr>Om arbetsboken</vt:lpstr>
      <vt:lpstr>Data</vt:lpstr>
      <vt:lpstr>Konstanter</vt:lpstr>
      <vt:lpstr>Admission_Year</vt:lpstr>
      <vt:lpstr>Avslutade_poäng</vt:lpstr>
      <vt:lpstr>Block</vt:lpstr>
      <vt:lpstr>EcoSpec</vt:lpstr>
      <vt:lpstr>'Data från webbimport'!Externadata_100</vt:lpstr>
      <vt:lpstr>'Data från webbimport'!Externadata_101</vt:lpstr>
      <vt:lpstr>'Data från webbimport'!Externadata_102</vt:lpstr>
      <vt:lpstr>'Data från webbimport'!Externadata_103</vt:lpstr>
      <vt:lpstr>'Data från webbimport'!Externadata_104</vt:lpstr>
      <vt:lpstr>'Data från webbimport'!Externadata_105</vt:lpstr>
      <vt:lpstr>'Data från webbimport'!Externadata_106</vt:lpstr>
      <vt:lpstr>'Data från webbimport'!Externadata_107</vt:lpstr>
      <vt:lpstr>'Data från webbimport'!Externadata_108</vt:lpstr>
      <vt:lpstr>'Data från webbimport'!Externadata_109</vt:lpstr>
      <vt:lpstr>'Data från webbimport'!Externadata_110</vt:lpstr>
      <vt:lpstr>'Data från webbimport'!Externadata_111</vt:lpstr>
      <vt:lpstr>'Data från webbimport'!Externadata_112</vt:lpstr>
      <vt:lpstr>'Data från webbimport'!Externadata_113</vt:lpstr>
      <vt:lpstr>'Data från webbimport'!Externadata_114</vt:lpstr>
      <vt:lpstr>'Data från webbimport'!Externadata_115</vt:lpstr>
      <vt:lpstr>'Data från webbimport'!Externadata_116</vt:lpstr>
      <vt:lpstr>'Data från webbimport'!Externadata_117</vt:lpstr>
      <vt:lpstr>'Data från webbimport'!Externadata_118</vt:lpstr>
      <vt:lpstr>'Data från webbimport'!Externadata_119</vt:lpstr>
      <vt:lpstr>'Data från webbimport'!Externadata_120</vt:lpstr>
      <vt:lpstr>'Data från webbimport'!Externadata_121</vt:lpstr>
      <vt:lpstr>'Data från webbimport'!Externadata_122</vt:lpstr>
      <vt:lpstr>'Data från webbimport'!Externadata_123</vt:lpstr>
      <vt:lpstr>'Data från webbimport'!Externadata_124</vt:lpstr>
      <vt:lpstr>'Data från webbimport'!Externadata_125</vt:lpstr>
      <vt:lpstr>'Data från webbimport'!Externadata_126</vt:lpstr>
      <vt:lpstr>'Data från webbimport'!Externadata_127</vt:lpstr>
      <vt:lpstr>'Data från webbimport'!Externadata_128</vt:lpstr>
      <vt:lpstr>'Data från webbimport'!Externadata_129</vt:lpstr>
      <vt:lpstr>'Data från webbimport'!Externadata_130</vt:lpstr>
      <vt:lpstr>'Data från webbimport'!Externadata_131</vt:lpstr>
      <vt:lpstr>'Data från webbimport'!Externadata_132</vt:lpstr>
      <vt:lpstr>'Data från webbimport'!Externadata_133</vt:lpstr>
      <vt:lpstr>'Data från webbimport'!Externadata_134</vt:lpstr>
      <vt:lpstr>'Data från webbimport'!Externadata_135</vt:lpstr>
      <vt:lpstr>'Data från webbimport'!Externadata_136</vt:lpstr>
      <vt:lpstr>'Data från webbimport'!Externadata_137</vt:lpstr>
      <vt:lpstr>'Data från webbimport'!Externadata_138</vt:lpstr>
      <vt:lpstr>'Data från webbimport'!Externadata_139</vt:lpstr>
      <vt:lpstr>'Data från webbimport'!Externadata_140</vt:lpstr>
      <vt:lpstr>'Data från webbimport'!Externadata_141</vt:lpstr>
      <vt:lpstr>'Data från webbimport'!Externadata_142</vt:lpstr>
      <vt:lpstr>'Data från webbimport'!Externadata_143</vt:lpstr>
      <vt:lpstr>'Data från webbimport'!Externadata_144</vt:lpstr>
      <vt:lpstr>'Data från webbimport'!Externadata_145</vt:lpstr>
      <vt:lpstr>'Data från webbimport'!Externadata_146</vt:lpstr>
      <vt:lpstr>'Data från webbimport'!Externadata_147</vt:lpstr>
      <vt:lpstr>'Data från webbimport'!Externadata_148</vt:lpstr>
      <vt:lpstr>'Data från webbimport'!Externadata_149</vt:lpstr>
      <vt:lpstr>'Data från webbimport'!Externadata_150</vt:lpstr>
      <vt:lpstr>'Data från webbimport'!Externadata_151</vt:lpstr>
      <vt:lpstr>'Data från webbimport'!Externadata_152</vt:lpstr>
      <vt:lpstr>'Data från webbimport'!Externadata_153</vt:lpstr>
      <vt:lpstr>'Data från webbimport'!Externadata_154</vt:lpstr>
      <vt:lpstr>'Data från webbimport'!Externadata_155</vt:lpstr>
      <vt:lpstr>'Data från webbimport'!Externadata_156</vt:lpstr>
      <vt:lpstr>'Data från webbimport'!Externadata_157</vt:lpstr>
      <vt:lpstr>'Data från webbimport'!Externadata_158</vt:lpstr>
      <vt:lpstr>'Data från webbimport'!Externadata_159</vt:lpstr>
      <vt:lpstr>'Data från webbimport'!Externadata_160</vt:lpstr>
      <vt:lpstr>'Data från webbimport'!Externadata_161</vt:lpstr>
      <vt:lpstr>'Data från webbimport'!Externadata_162</vt:lpstr>
      <vt:lpstr>'Data från webbimport'!Externadata_163</vt:lpstr>
      <vt:lpstr>'Data från webbimport'!Externadata_164</vt:lpstr>
      <vt:lpstr>'Data från webbimport'!Externadata_165</vt:lpstr>
      <vt:lpstr>'Data från webbimport'!Externadata_166</vt:lpstr>
      <vt:lpstr>'Data från webbimport'!Externadata_167</vt:lpstr>
      <vt:lpstr>'Data från webbimport'!Externadata_168</vt:lpstr>
      <vt:lpstr>'Data från webbimport'!Externadata_169</vt:lpstr>
      <vt:lpstr>'Data från webbimport'!Externadata_170</vt:lpstr>
      <vt:lpstr>'Data från webbimport'!Externadata_171</vt:lpstr>
      <vt:lpstr>'Data från webbimport'!Externadata_172</vt:lpstr>
      <vt:lpstr>'Data från webbimport'!Externadata_173</vt:lpstr>
      <vt:lpstr>'Data från webbimport'!Externadata_174</vt:lpstr>
      <vt:lpstr>'Data från webbimport'!Externadata_175</vt:lpstr>
      <vt:lpstr>'Data från webbimport'!Externadata_176</vt:lpstr>
      <vt:lpstr>'Data från webbimport'!Externadata_177</vt:lpstr>
      <vt:lpstr>'Data från webbimport'!Externadata_178</vt:lpstr>
      <vt:lpstr>'Data från webbimport'!Externadata_179</vt:lpstr>
      <vt:lpstr>'Data från webbimport'!Externadata_180</vt:lpstr>
      <vt:lpstr>'Data från webbimport'!Externadata_181</vt:lpstr>
      <vt:lpstr>'Data från webbimport'!Externadata_182</vt:lpstr>
      <vt:lpstr>'Data från webbimport'!Externadata_183</vt:lpstr>
      <vt:lpstr>'Data från webbimport'!Externadata_184</vt:lpstr>
      <vt:lpstr>'Data från webbimport'!Externadata_185</vt:lpstr>
      <vt:lpstr>'Data från webbimport'!Externadata_186</vt:lpstr>
      <vt:lpstr>'Data från webbimport'!Externadata_187</vt:lpstr>
      <vt:lpstr>'Data från webbimport'!Externadata_188</vt:lpstr>
      <vt:lpstr>'Data från webbimport'!Externadata_189</vt:lpstr>
      <vt:lpstr>'Data från webbimport'!Externadata_190</vt:lpstr>
      <vt:lpstr>'Data från webbimport'!Externadata_191</vt:lpstr>
      <vt:lpstr>'Data från webbimport'!Externadata_192</vt:lpstr>
      <vt:lpstr>'Data från webbimport'!Externadata_193</vt:lpstr>
      <vt:lpstr>'Data från webbimport'!Externadata_194</vt:lpstr>
      <vt:lpstr>'Data från webbimport'!Externadata_195</vt:lpstr>
      <vt:lpstr>'Data från webbimport'!Externadata_196</vt:lpstr>
      <vt:lpstr>'Data från webbimport'!Externadata_197</vt:lpstr>
      <vt:lpstr>'Data från webbimport'!Externadata_198</vt:lpstr>
      <vt:lpstr>'Data från webbimport'!Externadata_199</vt:lpstr>
      <vt:lpstr>'Data från webbimport'!Externadata_200</vt:lpstr>
      <vt:lpstr>'Data från webbimport'!Externadata_201</vt:lpstr>
      <vt:lpstr>'Data från webbimport'!Externadata_202</vt:lpstr>
      <vt:lpstr>'Data från webbimport'!Externadata_203</vt:lpstr>
      <vt:lpstr>'Data från webbimport'!Externadata_204</vt:lpstr>
      <vt:lpstr>'Data från webbimport'!Externadata_28</vt:lpstr>
      <vt:lpstr>'Data från webbimport'!Externadata_29</vt:lpstr>
      <vt:lpstr>'Data från webbimport'!Externadata_30</vt:lpstr>
      <vt:lpstr>'Data från webbimport'!Externadata_31</vt:lpstr>
      <vt:lpstr>'Data från webbimport'!Externadata_32</vt:lpstr>
      <vt:lpstr>'Data från webbimport'!Externadata_33</vt:lpstr>
      <vt:lpstr>'Data från webbimport'!Externadata_34</vt:lpstr>
      <vt:lpstr>'Data från webbimport'!Externadata_35</vt:lpstr>
      <vt:lpstr>'Data från webbimport'!Externadata_41</vt:lpstr>
      <vt:lpstr>'Data från webbimport'!Externadata_42</vt:lpstr>
      <vt:lpstr>'Data från webbimport'!Externadata_43</vt:lpstr>
      <vt:lpstr>'Data från webbimport'!Externadata_44</vt:lpstr>
      <vt:lpstr>'Data från webbimport'!Externadata_45</vt:lpstr>
      <vt:lpstr>'Data från webbimport'!Externadata_46</vt:lpstr>
      <vt:lpstr>'Data från webbimport'!Externadata_47</vt:lpstr>
      <vt:lpstr>'Data från webbimport'!Externadata_48</vt:lpstr>
      <vt:lpstr>'Data från webbimport'!Externadata_49</vt:lpstr>
      <vt:lpstr>'Data från webbimport'!Externadata_50</vt:lpstr>
      <vt:lpstr>'Data från webbimport'!Externadata_51</vt:lpstr>
      <vt:lpstr>'Data från webbimport'!Externadata_52</vt:lpstr>
      <vt:lpstr>'Data från webbimport'!Externadata_53</vt:lpstr>
      <vt:lpstr>'Data från webbimport'!Externadata_54</vt:lpstr>
      <vt:lpstr>'Data från webbimport'!Externadata_55</vt:lpstr>
      <vt:lpstr>'Data från webbimport'!Externadata_56</vt:lpstr>
      <vt:lpstr>'Data från webbimport'!Externadata_57</vt:lpstr>
      <vt:lpstr>'Data från webbimport'!Externadata_58</vt:lpstr>
      <vt:lpstr>'Data från webbimport'!Externadata_59</vt:lpstr>
      <vt:lpstr>'Data från webbimport'!Externadata_60</vt:lpstr>
      <vt:lpstr>'Data från webbimport'!Externadata_61</vt:lpstr>
      <vt:lpstr>'Data från webbimport'!Externadata_62</vt:lpstr>
      <vt:lpstr>'Data från webbimport'!Externadata_63</vt:lpstr>
      <vt:lpstr>'Data från webbimport'!Externadata_64</vt:lpstr>
      <vt:lpstr>'Data från webbimport'!Externadata_65</vt:lpstr>
      <vt:lpstr>'Data från webbimport'!Externadata_66</vt:lpstr>
      <vt:lpstr>'Data från webbimport'!Externadata_67</vt:lpstr>
      <vt:lpstr>'Data från webbimport'!Externadata_68</vt:lpstr>
      <vt:lpstr>'Data från webbimport'!Externadata_69</vt:lpstr>
      <vt:lpstr>'Data från webbimport'!Externadata_70</vt:lpstr>
      <vt:lpstr>'Data från webbimport'!Externadata_71</vt:lpstr>
      <vt:lpstr>'Data från webbimport'!Externadata_72</vt:lpstr>
      <vt:lpstr>'Data från webbimport'!Externadata_73</vt:lpstr>
      <vt:lpstr>'Data från webbimport'!Externadata_74</vt:lpstr>
      <vt:lpstr>'Data från webbimport'!Externadata_75</vt:lpstr>
      <vt:lpstr>'Data från webbimport'!Externadata_76</vt:lpstr>
      <vt:lpstr>'Data från webbimport'!Externadata_77</vt:lpstr>
      <vt:lpstr>'Data från webbimport'!Externadata_78</vt:lpstr>
      <vt:lpstr>'Data från webbimport'!Externadata_79</vt:lpstr>
      <vt:lpstr>'Data från webbimport'!Externadata_80</vt:lpstr>
      <vt:lpstr>'Data från webbimport'!Externadata_81</vt:lpstr>
      <vt:lpstr>'Data från webbimport'!Externadata_82</vt:lpstr>
      <vt:lpstr>'Data från webbimport'!Externadata_83</vt:lpstr>
      <vt:lpstr>'Data från webbimport'!Externadata_84</vt:lpstr>
      <vt:lpstr>'Data från webbimport'!Externadata_85</vt:lpstr>
      <vt:lpstr>'Data från webbimport'!Externadata_86</vt:lpstr>
      <vt:lpstr>'Data från webbimport'!Externadata_87</vt:lpstr>
      <vt:lpstr>'Data från webbimport'!Externadata_88</vt:lpstr>
      <vt:lpstr>'Data från webbimport'!Externadata_89</vt:lpstr>
      <vt:lpstr>'Data från webbimport'!Externadata_90</vt:lpstr>
      <vt:lpstr>'Data från webbimport'!Externadata_91</vt:lpstr>
      <vt:lpstr>'Data från webbimport'!Externadata_92</vt:lpstr>
      <vt:lpstr>'Data från webbimport'!Externadata_93</vt:lpstr>
      <vt:lpstr>'Data från webbimport'!Externadata_94</vt:lpstr>
      <vt:lpstr>'Data från webbimport'!Externadata_95</vt:lpstr>
      <vt:lpstr>'Data från webbimport'!Externadata_96</vt:lpstr>
      <vt:lpstr>'Data från webbimport'!Externadata_97</vt:lpstr>
      <vt:lpstr>'Data från webbimport'!Externadata_98</vt:lpstr>
      <vt:lpstr>'Data från webbimport'!Externadata_99</vt:lpstr>
      <vt:lpstr>Import_Program</vt:lpstr>
      <vt:lpstr>Import_Spec</vt:lpstr>
      <vt:lpstr>Import_year</vt:lpstr>
      <vt:lpstr>Intjänade_kurspoäng</vt:lpstr>
      <vt:lpstr>KurskodForNyKurs</vt:lpstr>
      <vt:lpstr>Programkurser!KursnamnForNyKurs</vt:lpstr>
      <vt:lpstr>Kurspoang</vt:lpstr>
      <vt:lpstr>Kurspoäng</vt:lpstr>
      <vt:lpstr>Kurspoäng_som_krävs</vt:lpstr>
      <vt:lpstr>name</vt:lpstr>
      <vt:lpstr>NewProgram</vt:lpstr>
      <vt:lpstr>NewProgramCredits</vt:lpstr>
      <vt:lpstr>NewProgramToAdd</vt:lpstr>
      <vt:lpstr>NewProgramYears</vt:lpstr>
      <vt:lpstr>newTechP</vt:lpstr>
      <vt:lpstr>NewTechSpec</vt:lpstr>
      <vt:lpstr>Niva</vt:lpstr>
      <vt:lpstr>Nivå</vt:lpstr>
      <vt:lpstr>Period</vt:lpstr>
      <vt:lpstr>Program</vt:lpstr>
      <vt:lpstr>ProgramForNewCourse</vt:lpstr>
      <vt:lpstr>SearchField</vt:lpstr>
      <vt:lpstr>SearchResult</vt:lpstr>
      <vt:lpstr>SearchResultBlock</vt:lpstr>
      <vt:lpstr>SearchResultCode</vt:lpstr>
      <vt:lpstr>SearchResultCredits</vt:lpstr>
      <vt:lpstr>SearchResultLevel</vt:lpstr>
      <vt:lpstr>SearchResultSemester</vt:lpstr>
      <vt:lpstr>SearchResultSemesterPart</vt:lpstr>
      <vt:lpstr>SearchResultTech</vt:lpstr>
      <vt:lpstr>SearchResultYear</vt:lpstr>
      <vt:lpstr>Sök_efter_examenskrav</vt:lpstr>
      <vt:lpstr>TechProgram</vt:lpstr>
      <vt:lpstr>TechSpec</vt:lpstr>
      <vt:lpstr>TekniskInriktning</vt:lpstr>
      <vt:lpstr>Termin</vt:lpstr>
      <vt:lpstr>URL</vt:lpstr>
      <vt:lpstr>'Program och examenskrav'!Utskriftsrubriker</vt:lpstr>
      <vt:lpstr>Programkurser!Utskriftsrubriker</vt:lpstr>
      <vt:lpstr>ValidLevels</vt:lpstr>
      <vt:lpstr>ValidPerioder</vt:lpstr>
      <vt:lpstr>ValidSemester</vt:lpstr>
      <vt:lpstr>ValidSemesterParts</vt:lpstr>
      <vt:lpstr>ValidSemesters</vt:lpstr>
      <vt:lpstr>Year</vt:lpstr>
      <vt:lpstr>Återstående_kurspoäng</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College credits tracker</dc:title>
  <dc:creator>Tobias Genborg</dc:creator>
  <cp:keywords/>
  <cp:lastModifiedBy>Tobias Genborg</cp:lastModifiedBy>
  <dcterms:created xsi:type="dcterms:W3CDTF">2014-05-26T18:51:10Z</dcterms:created>
  <dcterms:modified xsi:type="dcterms:W3CDTF">2014-06-29T19:57:24Z</dcterms:modified>
  <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TemplateID">
    <vt:lpwstr>TC028021029991</vt:lpwstr>
  </property>
</Properties>
</file>