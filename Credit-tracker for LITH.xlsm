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ml.chartshapes+xml"/>
  <Override PartName="/xl/drawings/drawing4.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drawings/drawing5.xml" ContentType="application/vnd.openxmlformats-officedocument.drawing+xml"/>
  <Override PartName="/xl/activeX/activeX1.xml" ContentType="application/vnd.ms-office.activeX+xml"/>
  <Override PartName="/xl/activeX/activeX1.bin" ContentType="application/vnd.ms-office.activeX"/>
  <Override PartName="/xl/ctrlProps/ctrlProp14.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6.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5.xml" ContentType="application/vnd.ms-excel.controlproperties+xml"/>
  <Override PartName="/xl/tables/table7.xml" ContentType="application/vnd.openxmlformats-officedocument.spreadsheetml.table+xml"/>
  <Override PartName="/xl/tables/table8.xml" ContentType="application/vnd.openxmlformats-officedocument.spreadsheetml.table+xml"/>
  <Override PartName="/xl/drawings/drawing7.xml" ContentType="application/vnd.openxmlformats-officedocument.drawing+xml"/>
  <Override PartName="/xl/activeX/activeX4.xml" ContentType="application/vnd.ms-office.activeX+xml"/>
  <Override PartName="/xl/activeX/activeX4.bin" ContentType="application/vnd.ms-office.activeX"/>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pivotTables/pivotTable1.xml" ContentType="application/vnd.openxmlformats-officedocument.spreadsheetml.pivot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Tobias\Programmering\Credit-tracker LITH\"/>
    </mc:Choice>
  </mc:AlternateContent>
  <bookViews>
    <workbookView xWindow="0" yWindow="0" windowWidth="16410" windowHeight="7425" tabRatio="702" firstSheet="1" activeTab="1"/>
  </bookViews>
  <sheets>
    <sheet name="Om arbetsboken" sheetId="14" r:id="rId1"/>
    <sheet name="Sammanställning" sheetId="1" r:id="rId2"/>
    <sheet name="Ditt informationsblad" sheetId="8" r:id="rId3"/>
    <sheet name="Programkurser" sheetId="6" r:id="rId4"/>
    <sheet name="Examenskrav" sheetId="16" r:id="rId5"/>
    <sheet name="Program och examenskrav" sheetId="10" r:id="rId6"/>
    <sheet name="Automatiserad import" sheetId="12" r:id="rId7"/>
    <sheet name="Data" sheetId="13" r:id="rId8"/>
    <sheet name="Konstanter" sheetId="11" r:id="rId9"/>
    <sheet name="Data från webbimport" sheetId="17" r:id="rId10"/>
  </sheets>
  <functionGroups builtInGroupCount="18"/>
  <definedNames>
    <definedName name="_xlcn.WorksheetConnection_Högskolepoängsspårare.xlsmProgramKurser1" hidden="1">ProgramKurser[]</definedName>
    <definedName name="_xlcn.WorksheetConnection_Högskolepoängsspårare.xlsmProgramplan1" hidden="1">Programplan[]</definedName>
    <definedName name="action.lasso?__response_lot_response.lasso__op_eq_kp_budget_year_2014__op_eq_kp_programkod_Y__op_eq_kp_programprofil_Y__op_lt_kp_termin_7" localSheetId="6">'Automatiserad import'!#REF!</definedName>
    <definedName name="Admission_Year">'Ditt informationsblad'!$C$5</definedName>
    <definedName name="AdmissionYear">Antagningsår[[#Headers],[Antagningsår]]</definedName>
    <definedName name="Avslutade_poäng">Sammanställning!$I$11</definedName>
    <definedName name="Block">Programkurser!$I$6</definedName>
    <definedName name="DynamicCourseAddition">Data!$Q$12:INDEX(Data!$Q$12:$Q$113,COUNTIF(Data!$Q$12:$Q$113,"?*"))</definedName>
    <definedName name="DynamicProgramRange">'Program och examenskrav'!$E$6:INDEX(AvailablePrograms[PROGRAMNAMN],COUNTIF(AvailablePrograms[PROGRAMNAMN],"?*"))</definedName>
    <definedName name="DynamicSpecRange">Data!$D$15:INDEX(Data!$D$15:$D$113,COUNTIF(Data!$D$15:$D$113,"?*"))</definedName>
    <definedName name="DynamicTextRange">Data!$D$12:INDEX(Data!$D$12:$D$113,COUNTIF(Data!$D$12:$D$113,"?*"))</definedName>
    <definedName name="EcoSpec">'Ditt informationsblad'!$C$8</definedName>
    <definedName name="Externadata_1" localSheetId="9">'Data från webbimport'!#REF!</definedName>
    <definedName name="Externadata_10" localSheetId="9">'Data från webbimport'!#REF!</definedName>
    <definedName name="Externadata_100" localSheetId="9">'Data från webbimport'!$A$1:$G$129</definedName>
    <definedName name="Externadata_101" localSheetId="9">'Data från webbimport'!$A$1:$G$134</definedName>
    <definedName name="Externadata_102" localSheetId="9">'Data från webbimport'!$A$1:$G$118</definedName>
    <definedName name="Externadata_103" localSheetId="9">'Data från webbimport'!$A$1:$G$14</definedName>
    <definedName name="Externadata_104" localSheetId="9">'Data från webbimport'!$A$1:$G$14</definedName>
    <definedName name="Externadata_105" localSheetId="9">'Data från webbimport'!$A$1:$G$14</definedName>
    <definedName name="Externadata_106" localSheetId="9">'Data från webbimport'!$A$1:$G$14</definedName>
    <definedName name="Externadata_107" localSheetId="9">'Data från webbimport'!$A$1:$G$30</definedName>
    <definedName name="Externadata_108" localSheetId="9">'Data från webbimport'!$A$1:$G$76</definedName>
    <definedName name="Externadata_109" localSheetId="9">'Data från webbimport'!$A$1:$G$73</definedName>
    <definedName name="Externadata_11" localSheetId="9">'Data från webbimport'!#REF!</definedName>
    <definedName name="Externadata_110" localSheetId="9">'Data från webbimport'!$A$1:$G$73</definedName>
    <definedName name="Externadata_111" localSheetId="9">'Data från webbimport'!$A$1:$G$80</definedName>
    <definedName name="Externadata_112" localSheetId="9">'Data från webbimport'!$A$1:$G$76</definedName>
    <definedName name="Externadata_113" localSheetId="9">'Data från webbimport'!$A$1:$G$82</definedName>
    <definedName name="Externadata_114" localSheetId="9">'Data från webbimport'!$A$1:$G$82</definedName>
    <definedName name="Externadata_115" localSheetId="9">'Data från webbimport'!$A$1:$G$73</definedName>
    <definedName name="Externadata_116" localSheetId="9">'Data från webbimport'!$A$1:$G$73</definedName>
    <definedName name="Externadata_117" localSheetId="9">'Data från webbimport'!$A$1:$G$80</definedName>
    <definedName name="Externadata_118" localSheetId="9">'Data från webbimport'!$A$1:$G$76</definedName>
    <definedName name="Externadata_119" localSheetId="9">'Data från webbimport'!$A$1:$G$82</definedName>
    <definedName name="Externadata_12" localSheetId="9">'Data från webbimport'!#REF!</definedName>
    <definedName name="Externadata_120" localSheetId="9">'Data från webbimport'!$A$1:$G$82</definedName>
    <definedName name="Externadata_121" localSheetId="9">'Data från webbimport'!$A$1:$G$73</definedName>
    <definedName name="Externadata_122" localSheetId="9">'Data från webbimport'!$A$1:$G$73</definedName>
    <definedName name="Externadata_123" localSheetId="9">'Data från webbimport'!$A$1:$G$80</definedName>
    <definedName name="Externadata_124" localSheetId="9">'Data från webbimport'!$A$1:$G$76</definedName>
    <definedName name="Externadata_125" localSheetId="9">'Data från webbimport'!$A$1:$G$82</definedName>
    <definedName name="Externadata_126" localSheetId="9">'Data från webbimport'!$A$1:$G$82</definedName>
    <definedName name="Externadata_127" localSheetId="9">'Data från webbimport'!$A$1:$G$99</definedName>
    <definedName name="Externadata_128" localSheetId="9">'Data från webbimport'!$A$1:$G$95</definedName>
    <definedName name="Externadata_129" localSheetId="9">'Data från webbimport'!$A$1:$G$93</definedName>
    <definedName name="Externadata_13" localSheetId="9">'Data från webbimport'!#REF!</definedName>
    <definedName name="Externadata_130" localSheetId="9">'Data från webbimport'!$A$1:$G$93</definedName>
    <definedName name="Externadata_131" localSheetId="9">'Data från webbimport'!$A$1:$G$100</definedName>
    <definedName name="Externadata_132" localSheetId="9">'Data från webbimport'!$A$1:$G$104</definedName>
    <definedName name="Externadata_133" localSheetId="9">'Data från webbimport'!$A$1:$G$14</definedName>
    <definedName name="Externadata_134" localSheetId="9">'Data från webbimport'!$A$1:$G$14</definedName>
    <definedName name="Externadata_135" localSheetId="9">'Data från webbimport'!$A$1:$G$14</definedName>
    <definedName name="Externadata_136" localSheetId="9">'Data från webbimport'!$A$1:$G$14</definedName>
    <definedName name="Externadata_137" localSheetId="9">'Data från webbimport'!$A$1:$G$30</definedName>
    <definedName name="Externadata_138" localSheetId="9">'Data från webbimport'!$A$1:$G$76</definedName>
    <definedName name="Externadata_139" localSheetId="9">'Data från webbimport'!$A$1:$G$111</definedName>
    <definedName name="Externadata_14" localSheetId="9">'Data från webbimport'!#REF!</definedName>
    <definedName name="Externadata_140" localSheetId="9">'Data från webbimport'!$A$1:$G$123</definedName>
    <definedName name="Externadata_141" localSheetId="9">'Data från webbimport'!$A$1:$G$129</definedName>
    <definedName name="Externadata_142" localSheetId="9">'Data från webbimport'!$A$1:$G$129</definedName>
    <definedName name="Externadata_143" localSheetId="9">'Data från webbimport'!$A$1:$G$134</definedName>
    <definedName name="Externadata_144" localSheetId="9">'Data från webbimport'!$A$1:$G$118</definedName>
    <definedName name="Externadata_145" localSheetId="9">'Data från webbimport'!$A$1:$G$15</definedName>
    <definedName name="Externadata_146" localSheetId="9">'Data från webbimport'!$A$1:$G$15</definedName>
    <definedName name="Externadata_147" localSheetId="9">'Data från webbimport'!$A$1:$G$15</definedName>
    <definedName name="Externadata_148" localSheetId="9">'Data från webbimport'!$A$1:$G$31</definedName>
    <definedName name="Externadata_149" localSheetId="9">'Data från webbimport'!$A$1:$G$31</definedName>
    <definedName name="Externadata_15" localSheetId="9">'Data från webbimport'!#REF!</definedName>
    <definedName name="Externadata_150" localSheetId="9">'Data från webbimport'!$A$1:$G$39</definedName>
    <definedName name="Externadata_151" localSheetId="9">'Data från webbimport'!$A$1:$G$15</definedName>
    <definedName name="Externadata_152" localSheetId="9">'Data från webbimport'!$A$1:$G$15</definedName>
    <definedName name="Externadata_153" localSheetId="9">'Data från webbimport'!$A$1:$G$15</definedName>
    <definedName name="Externadata_154" localSheetId="9">'Data från webbimport'!$A$1:$G$37</definedName>
    <definedName name="Externadata_155" localSheetId="9">'Data från webbimport'!$A$1:$G$37</definedName>
    <definedName name="Externadata_156" localSheetId="9">'Data från webbimport'!$A$1:$G$37</definedName>
    <definedName name="Externadata_157" localSheetId="9">'Data från webbimport'!$A$1:$G$15</definedName>
    <definedName name="Externadata_158" localSheetId="9">'Data från webbimport'!$A$1:$G$15</definedName>
    <definedName name="Externadata_159" localSheetId="9">'Data från webbimport'!$A$1:$G$15</definedName>
    <definedName name="Externadata_16" localSheetId="9">'Data från webbimport'!#REF!</definedName>
    <definedName name="Externadata_160" localSheetId="9">'Data från webbimport'!$A$1:$G$41</definedName>
    <definedName name="Externadata_161" localSheetId="9">'Data från webbimport'!$A$1:$G$41</definedName>
    <definedName name="Externadata_162" localSheetId="9">'Data från webbimport'!$A$1:$G$41</definedName>
    <definedName name="Externadata_163" localSheetId="9">'Data från webbimport'!$A$1:$G$15</definedName>
    <definedName name="Externadata_164" localSheetId="9">'Data från webbimport'!$A$1:$G$15</definedName>
    <definedName name="Externadata_165" localSheetId="9">'Data från webbimport'!$A$1:$G$15</definedName>
    <definedName name="Externadata_166" localSheetId="9">'Data från webbimport'!$A$1:$G$41</definedName>
    <definedName name="Externadata_167" localSheetId="9">'Data från webbimport'!$A$1:$G$43</definedName>
    <definedName name="Externadata_168" localSheetId="9">'Data från webbimport'!$A$1:$G$43</definedName>
    <definedName name="Externadata_169" localSheetId="9">'Data från webbimport'!$A$1:$G$15</definedName>
    <definedName name="Externadata_17" localSheetId="9">'Data från webbimport'!#REF!</definedName>
    <definedName name="Externadata_170" localSheetId="9">'Data från webbimport'!$A$1:$G$15</definedName>
    <definedName name="Externadata_171" localSheetId="9">'Data från webbimport'!$A$1:$G$15</definedName>
    <definedName name="Externadata_172" localSheetId="9">'Data från webbimport'!$A$1:$G$39</definedName>
    <definedName name="Externadata_173" localSheetId="9">'Data från webbimport'!$A$1:$G$41</definedName>
    <definedName name="Externadata_174" localSheetId="9">'Data från webbimport'!$A$1:$G$41</definedName>
    <definedName name="Externadata_175" localSheetId="9">'Data från webbimport'!$A$1:$G$15</definedName>
    <definedName name="Externadata_176" localSheetId="9">'Data från webbimport'!$A$1:$G$15</definedName>
    <definedName name="Externadata_177" localSheetId="9">'Data från webbimport'!$A$1:$G$15</definedName>
    <definedName name="Externadata_178" localSheetId="9">'Data från webbimport'!$A$1:$G$31</definedName>
    <definedName name="Externadata_179" localSheetId="9">'Data från webbimport'!$A$1:$G$39</definedName>
    <definedName name="Externadata_18" localSheetId="9">'Data från webbimport'!#REF!</definedName>
    <definedName name="Externadata_180" localSheetId="9">'Data från webbimport'!$A$1:$G$39</definedName>
    <definedName name="Externadata_181" localSheetId="9">'Data från webbimport'!$A$1:$G$15</definedName>
    <definedName name="Externadata_182" localSheetId="9">'Data från webbimport'!$A$1:$G$15</definedName>
    <definedName name="Externadata_183" localSheetId="9">'Data från webbimport'!$A$1:$G$15</definedName>
    <definedName name="Externadata_184" localSheetId="9">'Data från webbimport'!$A$1:$G$35</definedName>
    <definedName name="Externadata_185" localSheetId="9">'Data från webbimport'!$A$1:$G$41</definedName>
    <definedName name="Externadata_186" localSheetId="9">'Data från webbimport'!$A$1:$G$37</definedName>
    <definedName name="Externadata_187" localSheetId="9">'Data från webbimport'!$A$1:$G$15</definedName>
    <definedName name="Externadata_188" localSheetId="9">'Data från webbimport'!$A$1:$G$15</definedName>
    <definedName name="Externadata_189" localSheetId="9">'Data från webbimport'!$A$1:$G$15</definedName>
    <definedName name="Externadata_19" localSheetId="9">'Data från webbimport'!#REF!</definedName>
    <definedName name="Externadata_190" localSheetId="9">'Data från webbimport'!$A$1:$G$15</definedName>
    <definedName name="Externadata_191" localSheetId="9">'Data från webbimport'!$A$1:$G$23</definedName>
    <definedName name="Externadata_192" localSheetId="9">'Data från webbimport'!$A$1:$G$49</definedName>
    <definedName name="Externadata_193" localSheetId="9">'Data från webbimport'!$A$1:$G$198</definedName>
    <definedName name="Externadata_194" localSheetId="9">'Data från webbimport'!$A$1:$G$190</definedName>
    <definedName name="Externadata_195" localSheetId="9">'Data från webbimport'!$A$1:$G$198</definedName>
    <definedName name="Externadata_196" localSheetId="9">'Data från webbimport'!$A$1:$G$205</definedName>
    <definedName name="Externadata_197" localSheetId="9">'Data från webbimport'!$A$1:$G$202</definedName>
    <definedName name="Externadata_198" localSheetId="9">'Data från webbimport'!$A$1:$G$213</definedName>
    <definedName name="Externadata_199" localSheetId="9">'Data från webbimport'!$A$1:$G$106</definedName>
    <definedName name="Externadata_20" localSheetId="9">'Data från webbimport'!#REF!</definedName>
    <definedName name="Externadata_200" localSheetId="9">'Data från webbimport'!$A$1:$G$105</definedName>
    <definedName name="Externadata_201" localSheetId="9">'Data från webbimport'!$A$1:$G$111</definedName>
    <definedName name="Externadata_202" localSheetId="9">'Data från webbimport'!$A$1:$G$115</definedName>
    <definedName name="Externadata_203" localSheetId="9">'Data från webbimport'!$A$1:$G$120</definedName>
    <definedName name="Externadata_204" localSheetId="9">'Data från webbimport'!$A$1:$G$120</definedName>
    <definedName name="Externadata_205" localSheetId="9">'Data från webbimport'!$A$1:$G$37</definedName>
    <definedName name="Externadata_206" localSheetId="9">'Data från webbimport'!$A$1:$G$37</definedName>
    <definedName name="Externadata_207" localSheetId="9">'Data från webbimport'!$A$1:$G$38</definedName>
    <definedName name="Externadata_208" localSheetId="9">'Data från webbimport'!$A$1:$G$38</definedName>
    <definedName name="Externadata_209" localSheetId="9">'Data från webbimport'!$A$1:$G$38</definedName>
    <definedName name="Externadata_21" localSheetId="9">'Data från webbimport'!#REF!</definedName>
    <definedName name="Externadata_210" localSheetId="9">'Data från webbimport'!$A$1:$G$38</definedName>
    <definedName name="Externadata_211" localSheetId="9">'Data från webbimport'!$A$1:$G$38</definedName>
    <definedName name="Externadata_212" localSheetId="9">'Data från webbimport'!$A$1:$G$29</definedName>
    <definedName name="Externadata_213" localSheetId="9">'Data från webbimport'!$A$1:$G$30</definedName>
    <definedName name="Externadata_214" localSheetId="9">'Data från webbimport'!$A$1:$G$29</definedName>
    <definedName name="Externadata_215" localSheetId="9">'Data från webbimport'!$A$1:$G$30</definedName>
    <definedName name="Externadata_216" localSheetId="9">'Data från webbimport'!$A$1:$G$29</definedName>
    <definedName name="Externadata_217" localSheetId="9">'Data från webbimport'!$A$1:$G$46</definedName>
    <definedName name="Externadata_218" localSheetId="9">'Data från webbimport'!$A$1:$G$44</definedName>
    <definedName name="Externadata_219" localSheetId="9">'Data från webbimport'!$A$1:$G$42</definedName>
    <definedName name="Externadata_22" localSheetId="9">'Data från webbimport'!#REF!</definedName>
    <definedName name="Externadata_220" localSheetId="9">'Data från webbimport'!$A$1:$G$41</definedName>
    <definedName name="Externadata_221" localSheetId="9">'Data från webbimport'!$A$1:$G$41</definedName>
    <definedName name="Externadata_222" localSheetId="9">'Data från webbimport'!$A$1:$G$37</definedName>
    <definedName name="Externadata_223" localSheetId="9">'Data från webbimport'!$A$1:$G$37</definedName>
    <definedName name="Externadata_224" localSheetId="9">'Data från webbimport'!$A$1:$G$39</definedName>
    <definedName name="Externadata_225" localSheetId="9">'Data från webbimport'!$A$1:$G$41</definedName>
    <definedName name="Externadata_226" localSheetId="9">'Data från webbimport'!$A$1:$G$42</definedName>
    <definedName name="Externadata_227" localSheetId="9">'Data från webbimport'!$A$1:$G$40</definedName>
    <definedName name="Externadata_228" localSheetId="9">'Data från webbimport'!$A$1:$G$42</definedName>
    <definedName name="Externadata_229" localSheetId="9">'Data från webbimport'!$A$1:$G$42</definedName>
    <definedName name="Externadata_23" localSheetId="9">'Data från webbimport'!#REF!</definedName>
    <definedName name="Externadata_230" localSheetId="9">'Data från webbimport'!$A$1:$G$40</definedName>
    <definedName name="Externadata_231" localSheetId="9">'Data från webbimport'!$A$1:$G$47</definedName>
    <definedName name="Externadata_232" localSheetId="9">'Data från webbimport'!$A$1:$G$46</definedName>
    <definedName name="Externadata_233" localSheetId="9">'Data från webbimport'!$A$1:$G$45</definedName>
    <definedName name="Externadata_234" localSheetId="9">'Data från webbimport'!$A$1:$G$47</definedName>
    <definedName name="Externadata_235" localSheetId="9">'Data från webbimport'!$A$1:$G$45</definedName>
    <definedName name="Externadata_236" localSheetId="9">'Data från webbimport'!$A$1:$G$40</definedName>
    <definedName name="Externadata_237" localSheetId="9">'Data från webbimport'!$A$1:$G$47</definedName>
    <definedName name="Externadata_238" localSheetId="9">'Data från webbimport'!$A$1:$G$46</definedName>
    <definedName name="Externadata_239" localSheetId="9">'Data från webbimport'!$A$1:$G$45</definedName>
    <definedName name="Externadata_24" localSheetId="9">'Data från webbimport'!#REF!</definedName>
    <definedName name="Externadata_240" localSheetId="9">'Data från webbimport'!$A$1:$G$47</definedName>
    <definedName name="Externadata_241" localSheetId="9">'Data från webbimport'!$A$1:$G$45</definedName>
    <definedName name="Externadata_242" localSheetId="9">'Data från webbimport'!$A$1:$G$32</definedName>
    <definedName name="Externadata_243" localSheetId="9">'Data från webbimport'!$A$1:$G$32</definedName>
    <definedName name="Externadata_244" localSheetId="9">'Data från webbimport'!$A$1:$G$33</definedName>
    <definedName name="Externadata_245" localSheetId="9">'Data från webbimport'!$A$1:$G$33</definedName>
    <definedName name="Externadata_246" localSheetId="9">'Data från webbimport'!$A$1:$G$34</definedName>
    <definedName name="Externadata_247" localSheetId="9">'Data från webbimport'!$A$1:$G$34</definedName>
    <definedName name="Externadata_248" localSheetId="9">'Data från webbimport'!$A$1:$G$36</definedName>
    <definedName name="Externadata_249" localSheetId="9">'Data från webbimport'!$A$1:$G$37</definedName>
    <definedName name="Externadata_25" localSheetId="9">'Data från webbimport'!#REF!</definedName>
    <definedName name="Externadata_250" localSheetId="9">'Data från webbimport'!$A$1:$G$37</definedName>
    <definedName name="Externadata_251" localSheetId="9">'Data från webbimport'!$A$1:$G$37</definedName>
    <definedName name="Externadata_252" localSheetId="9">'Data från webbimport'!$A$1:$G$37</definedName>
    <definedName name="Externadata_253" localSheetId="9">'Data från webbimport'!$A$1:$G$37</definedName>
    <definedName name="Externadata_254" localSheetId="9">'Data från webbimport'!$A$1:$G$123</definedName>
    <definedName name="Externadata_255" localSheetId="9">'Data från webbimport'!$A$1:$G$130</definedName>
    <definedName name="Externadata_256" localSheetId="9">'Data från webbimport'!$A$1:$G$132</definedName>
    <definedName name="Externadata_257" localSheetId="9">'Data från webbimport'!$A$1:$G$131</definedName>
    <definedName name="Externadata_258" localSheetId="9">'Data från webbimport'!$A$1:$G$139</definedName>
    <definedName name="Externadata_259" localSheetId="9">'Data från webbimport'!$A$1:$G$165</definedName>
    <definedName name="Externadata_26" localSheetId="9">'Data från webbimport'!#REF!</definedName>
    <definedName name="Externadata_260" localSheetId="9">'Data från webbimport'!$A$1:$G$107</definedName>
    <definedName name="Externadata_261" localSheetId="9">'Data från webbimport'!$A$1:$G$107</definedName>
    <definedName name="Externadata_262" localSheetId="9">'Data från webbimport'!$A$1:$G$110</definedName>
    <definedName name="Externadata_263" localSheetId="9">'Data från webbimport'!$A$1:$G$105</definedName>
    <definedName name="Externadata_264" localSheetId="9">'Data från webbimport'!$A$1:$G$103</definedName>
    <definedName name="Externadata_265" localSheetId="9">'Data från webbimport'!$A$1:$G$83</definedName>
    <definedName name="Externadata_266" localSheetId="9">'Data från webbimport'!$A$1:$G$15</definedName>
    <definedName name="Externadata_267" localSheetId="9">'Data från webbimport'!$A$1:$G$22</definedName>
    <definedName name="Externadata_268" localSheetId="9">'Data från webbimport'!$A$1:$G$43</definedName>
    <definedName name="Externadata_269" localSheetId="9">'Data från webbimport'!$A$1:$G$43</definedName>
    <definedName name="Externadata_27" localSheetId="9">'Data från webbimport'!#REF!</definedName>
    <definedName name="Externadata_270" localSheetId="9">'Data från webbimport'!$A$1:$G$43</definedName>
    <definedName name="Externadata_271" localSheetId="9">'Data från webbimport'!$A$1:$G$40</definedName>
    <definedName name="Externadata_272" localSheetId="9">'Data från webbimport'!$A$1:$G$15</definedName>
    <definedName name="Externadata_273" localSheetId="9">'Data från webbimport'!$A$1:$G$22</definedName>
    <definedName name="Externadata_274" localSheetId="9">'Data från webbimport'!$A$1:$G$38</definedName>
    <definedName name="Externadata_275" localSheetId="9">'Data från webbimport'!$A$1:$G$38</definedName>
    <definedName name="Externadata_276" localSheetId="9">'Data från webbimport'!$A$1:$G$37</definedName>
    <definedName name="Externadata_277" localSheetId="9">'Data från webbimport'!$A$1:$G$39</definedName>
    <definedName name="Externadata_278" localSheetId="9">'Data från webbimport'!$A$1:$G$15</definedName>
    <definedName name="Externadata_279" localSheetId="9">'Data från webbimport'!$A$1:$G$21</definedName>
    <definedName name="Externadata_28" localSheetId="9">'Data från webbimport'!$A$1:$G$2</definedName>
    <definedName name="Externadata_280" localSheetId="9">'Data från webbimport'!$A$1:$G$38</definedName>
    <definedName name="Externadata_281" localSheetId="9">'Data från webbimport'!$A$1:$G$38</definedName>
    <definedName name="Externadata_282" localSheetId="9">'Data från webbimport'!$A$1:$G$35</definedName>
    <definedName name="Externadata_283" localSheetId="9">'Data från webbimport'!$A$1:$G$43</definedName>
    <definedName name="Externadata_284" localSheetId="9">'Data från webbimport'!$A$1:$G$14</definedName>
    <definedName name="Externadata_285" localSheetId="9">'Data från webbimport'!$A$1:$G$45</definedName>
    <definedName name="Externadata_286" localSheetId="9">'Data från webbimport'!$A$1:$G$99</definedName>
    <definedName name="Externadata_287" localSheetId="9">'Data från webbimport'!$A$1:$G$103</definedName>
    <definedName name="Externadata_288" localSheetId="9">'Data från webbimport'!$A$1:$G$104</definedName>
    <definedName name="Externadata_289" localSheetId="9">'Data från webbimport'!$A$1:$G$111</definedName>
    <definedName name="Externadata_29" localSheetId="9">'Data från webbimport'!$A$1:$G$68</definedName>
    <definedName name="Externadata_290" localSheetId="9">'Data från webbimport'!$A$1:$G$78</definedName>
    <definedName name="Externadata_291" localSheetId="9">'Data från webbimport'!$A$1:$G$90</definedName>
    <definedName name="Externadata_292" localSheetId="9">'Data från webbimport'!$A$1:$G$91</definedName>
    <definedName name="Externadata_293" localSheetId="9">'Data från webbimport'!$A$1:$G$92</definedName>
    <definedName name="Externadata_294" localSheetId="9">'Data från webbimport'!$A$1:$G$91</definedName>
    <definedName name="Externadata_295" localSheetId="9">'Data från webbimport'!$A$1:$G$84</definedName>
    <definedName name="Externadata_296" localSheetId="9">'Data från webbimport'!$A$1:$G$42</definedName>
    <definedName name="Externadata_297" localSheetId="9">'Data från webbimport'!$A$1:$G$42</definedName>
    <definedName name="Externadata_298" localSheetId="9">'Data från webbimport'!$A$1:$G$41</definedName>
    <definedName name="Externadata_299" localSheetId="9">'Data från webbimport'!$A$1:$G$42</definedName>
    <definedName name="Externadata_30" localSheetId="9">'Data från webbimport'!$A$1:$G$68</definedName>
    <definedName name="Externadata_300" localSheetId="9">'Data från webbimport'!$A$1:$G$43</definedName>
    <definedName name="Externadata_301" localSheetId="9">'Data från webbimport'!$A$1:$G$42</definedName>
    <definedName name="Externadata_302" localSheetId="9">'Data från webbimport'!$A$1:$G$52</definedName>
    <definedName name="Externadata_303" localSheetId="9">'Data från webbimport'!$A$1:$G$48</definedName>
    <definedName name="Externadata_304" localSheetId="9">'Data från webbimport'!$A$1:$G$46</definedName>
    <definedName name="Externadata_305" localSheetId="9">'Data från webbimport'!$A$1:$G$52</definedName>
    <definedName name="Externadata_306" localSheetId="9">'Data från webbimport'!$A$1:$G$49</definedName>
    <definedName name="Externadata_307" localSheetId="9">'Data från webbimport'!$A$1:$G$51</definedName>
    <definedName name="Externadata_308" localSheetId="9">'Data från webbimport'!$A$1:$G$46</definedName>
    <definedName name="Externadata_309" localSheetId="9">'Data från webbimport'!$A$1:$G$46</definedName>
    <definedName name="Externadata_31" localSheetId="9">'Data från webbimport'!$A$1:$G$68</definedName>
    <definedName name="Externadata_310" localSheetId="9">'Data från webbimport'!$A$1:$G$46</definedName>
    <definedName name="Externadata_311" localSheetId="9">'Data från webbimport'!$A$1:$G$46</definedName>
    <definedName name="Externadata_312" localSheetId="9">'Data från webbimport'!$A$1:$G$46</definedName>
    <definedName name="Externadata_313" localSheetId="9">'Data från webbimport'!$A$1:$G$47</definedName>
    <definedName name="Externadata_314" localSheetId="9">'Data från webbimport'!$A$1:$G$60</definedName>
    <definedName name="Externadata_315" localSheetId="9">'Data från webbimport'!$A$1:$G$59</definedName>
    <definedName name="Externadata_316" localSheetId="9">'Data från webbimport'!$A$1:$G$56</definedName>
    <definedName name="Externadata_317" localSheetId="9">'Data från webbimport'!$A$1:$G$56</definedName>
    <definedName name="Externadata_318" localSheetId="9">'Data från webbimport'!$A$1:$G$56</definedName>
    <definedName name="Externadata_319" localSheetId="9">'Data från webbimport'!$A$1:$G$55</definedName>
    <definedName name="Externadata_32" localSheetId="9">'Data från webbimport'!$A$1:$G$68</definedName>
    <definedName name="Externadata_320" localSheetId="9">'Data från webbimport'!$A$1:$G$46</definedName>
    <definedName name="Externadata_321" localSheetId="9">'Data från webbimport'!$A$1:$G$47</definedName>
    <definedName name="Externadata_322" localSheetId="9">'Data från webbimport'!$A$1:$G$45</definedName>
    <definedName name="Externadata_323" localSheetId="9">'Data från webbimport'!$A$1:$G$50</definedName>
    <definedName name="Externadata_324" localSheetId="9">'Data från webbimport'!$A$1:$G$50</definedName>
    <definedName name="Externadata_325" localSheetId="9">'Data från webbimport'!$A$1:$G$50</definedName>
    <definedName name="Externadata_326" localSheetId="9">'Data från webbimport'!$A$1:$G$45</definedName>
    <definedName name="Externadata_327" localSheetId="9">'Data från webbimport'!$A$1:$G$45</definedName>
    <definedName name="Externadata_328" localSheetId="9">'Data från webbimport'!$A$1:$G$45</definedName>
    <definedName name="Externadata_329" localSheetId="9">'Data från webbimport'!$A$1:$G$46</definedName>
    <definedName name="Externadata_33" localSheetId="9">'Data från webbimport'!$A$1:$G$68</definedName>
    <definedName name="Externadata_330" localSheetId="9">'Data från webbimport'!$A$1:$G$46</definedName>
    <definedName name="Externadata_331" localSheetId="9">'Data från webbimport'!$A$1:$G$46</definedName>
    <definedName name="Externadata_332" localSheetId="9">'Data från webbimport'!$A$1:$G$46</definedName>
    <definedName name="Externadata_333" localSheetId="9">'Data från webbimport'!$A$1:$G$48</definedName>
    <definedName name="Externadata_334" localSheetId="9">'Data från webbimport'!$A$1:$G$46</definedName>
    <definedName name="Externadata_335" localSheetId="9">'Data från webbimport'!$A$1:$G$46</definedName>
    <definedName name="Externadata_336" localSheetId="9">'Data från webbimport'!$A$1:$G$45</definedName>
    <definedName name="Externadata_337" localSheetId="9">'Data från webbimport'!$A$1:$G$47</definedName>
    <definedName name="Externadata_338" localSheetId="9">'Data från webbimport'!$A$1:$G$54</definedName>
    <definedName name="Externadata_339" localSheetId="9">'Data från webbimport'!$A$1:$G$53</definedName>
    <definedName name="Externadata_34" localSheetId="9">'Data från webbimport'!$A$1:$G$68</definedName>
    <definedName name="Externadata_340" localSheetId="9">'Data från webbimport'!$A$1:$G$56</definedName>
    <definedName name="Externadata_341" localSheetId="9">'Data från webbimport'!$A$1:$G$56</definedName>
    <definedName name="Externadata_342" localSheetId="9">'Data från webbimport'!$A$1:$G$55</definedName>
    <definedName name="Externadata_343" localSheetId="9">'Data från webbimport'!$A$1:$G$54</definedName>
    <definedName name="Externadata_344" localSheetId="9">'Data från webbimport'!$A$1:$G$49</definedName>
    <definedName name="Externadata_345" localSheetId="9">'Data från webbimport'!$A$1:$G$48</definedName>
    <definedName name="Externadata_346" localSheetId="9">'Data från webbimport'!$A$1:$G$48</definedName>
    <definedName name="Externadata_347" localSheetId="9">'Data från webbimport'!$A$1:$G$50</definedName>
    <definedName name="Externadata_348" localSheetId="9">'Data från webbimport'!$A$1:$G$50</definedName>
    <definedName name="Externadata_349" localSheetId="9">'Data från webbimport'!$A$1:$G$51</definedName>
    <definedName name="Externadata_35" localSheetId="9">'Data från webbimport'!$A$1:$G$68</definedName>
    <definedName name="Externadata_350" localSheetId="9">'Data från webbimport'!$A$1:$G$46</definedName>
    <definedName name="Externadata_351" localSheetId="9">'Data från webbimport'!$A$1:$G$46</definedName>
    <definedName name="Externadata_352" localSheetId="9">'Data från webbimport'!$A$1:$G$43</definedName>
    <definedName name="Externadata_353" localSheetId="9">'Data från webbimport'!$A$1:$G$48</definedName>
    <definedName name="Externadata_354" localSheetId="9">'Data från webbimport'!$A$1:$G$49</definedName>
    <definedName name="Externadata_355" localSheetId="9">'Data från webbimport'!$A$1:$G$48</definedName>
    <definedName name="Externadata_356" localSheetId="9">'Data från webbimport'!$A$1:$G$40</definedName>
    <definedName name="Externadata_357" localSheetId="9">'Data från webbimport'!$A$1:$G$39</definedName>
    <definedName name="Externadata_358" localSheetId="9">'Data från webbimport'!$A$1:$G$40</definedName>
    <definedName name="Externadata_359" localSheetId="9">'Data från webbimport'!$A$1:$G$43</definedName>
    <definedName name="Externadata_360" localSheetId="9">'Data från webbimport'!$A$1:$G$41</definedName>
    <definedName name="Externadata_361" localSheetId="9">'Data från webbimport'!$A$1:$G$43</definedName>
    <definedName name="Externadata_362" localSheetId="9">'Data från webbimport'!$A$1:$G$224</definedName>
    <definedName name="Externadata_363" localSheetId="9">'Data från webbimport'!$A$1:$G$221</definedName>
    <definedName name="Externadata_364" localSheetId="9">'Data från webbimport'!$A$1:$G$201</definedName>
    <definedName name="Externadata_365" localSheetId="9">'Data från webbimport'!$A$1:$G$216</definedName>
    <definedName name="Externadata_366" localSheetId="9">'Data från webbimport'!$A$1:$G$216</definedName>
    <definedName name="Externadata_367" localSheetId="9">'Data från webbimport'!$A$1:$G$220</definedName>
    <definedName name="Externadata_368" localSheetId="9">'Data från webbimport'!$A$1:$G$14</definedName>
    <definedName name="Externadata_369" localSheetId="9">'Data från webbimport'!$A$1:$G$14</definedName>
    <definedName name="Externadata_370" localSheetId="9">'Data från webbimport'!$A$1:$G$14</definedName>
    <definedName name="Externadata_371" localSheetId="9">'Data från webbimport'!$A$1:$G$26</definedName>
    <definedName name="Externadata_372" localSheetId="9">'Data från webbimport'!$A$1:$G$28</definedName>
    <definedName name="Externadata_373" localSheetId="9">'Data från webbimport'!$A$1:$G$28</definedName>
    <definedName name="Externadata_374" localSheetId="9">'Data från webbimport'!$A$1:$G$107</definedName>
    <definedName name="Externadata_375" localSheetId="9">'Data från webbimport'!$A$1:$G$107</definedName>
    <definedName name="Externadata_376" localSheetId="9">'Data från webbimport'!$A$1:$G$110</definedName>
    <definedName name="Externadata_377" localSheetId="9">'Data från webbimport'!$A$1:$G$113</definedName>
    <definedName name="Externadata_378" localSheetId="9">'Data från webbimport'!$A$1:$G$113</definedName>
    <definedName name="Externadata_379" localSheetId="9">'Data från webbimport'!$A$1:$G$112</definedName>
    <definedName name="Externadata_380" localSheetId="9">'Data från webbimport'!$A$1:$G$59</definedName>
    <definedName name="Externadata_381" localSheetId="9">'Data från webbimport'!$A$1:$G$60</definedName>
    <definedName name="Externadata_382" localSheetId="9">'Data från webbimport'!$A$1:$G$61</definedName>
    <definedName name="Externadata_383" localSheetId="9">'Data från webbimport'!$A$1:$G$67</definedName>
    <definedName name="Externadata_384" localSheetId="9">'Data från webbimport'!$A$1:$G$68</definedName>
    <definedName name="Externadata_385" localSheetId="9">'Data från webbimport'!$A$1:$G$62</definedName>
    <definedName name="Externadata_386" localSheetId="9">'Data från webbimport'!$A$1:$G$56</definedName>
    <definedName name="Externadata_387" localSheetId="9">'Data från webbimport'!$A$1:$G$58</definedName>
    <definedName name="Externadata_388" localSheetId="9">'Data från webbimport'!$A$1:$G$60</definedName>
    <definedName name="Externadata_389" localSheetId="9">'Data från webbimport'!$A$1:$G$59</definedName>
    <definedName name="Externadata_390" localSheetId="9">'Data från webbimport'!$A$1:$G$61</definedName>
    <definedName name="Externadata_391" localSheetId="9">'Data från webbimport'!$A$1:$G$62</definedName>
    <definedName name="Externadata_392" localSheetId="9">'Data från webbimport'!$A$1:$G$96</definedName>
    <definedName name="Externadata_393" localSheetId="9">'Data från webbimport'!$A$1:$G$84</definedName>
    <definedName name="Externadata_394" localSheetId="9">'Data från webbimport'!$A$1:$G$85</definedName>
    <definedName name="Externadata_395" localSheetId="9">'Data från webbimport'!$A$1:$G$86</definedName>
    <definedName name="Externadata_396" localSheetId="9">'Data från webbimport'!$A$1:$G$86</definedName>
    <definedName name="Externadata_397" localSheetId="9">'Data från webbimport'!$A$1:$G$86</definedName>
    <definedName name="Externadata_398" localSheetId="9">'Data från webbimport'!$A$1:$G$15</definedName>
    <definedName name="Externadata_399" localSheetId="9">'Data från webbimport'!$A$1:$G$37</definedName>
    <definedName name="Externadata_4" localSheetId="9">'Data från webbimport'!#REF!</definedName>
    <definedName name="Externadata_400" localSheetId="9">'Data från webbimport'!$A$1:$G$39</definedName>
    <definedName name="Externadata_401" localSheetId="9">'Data från webbimport'!$A$1:$G$39</definedName>
    <definedName name="Externadata_402" localSheetId="9">'Data från webbimport'!$A$1:$G$39</definedName>
    <definedName name="Externadata_403" localSheetId="9">'Data från webbimport'!$A$1:$G$37</definedName>
    <definedName name="Externadata_404" localSheetId="9">'Data från webbimport'!$A$1:$G$18</definedName>
    <definedName name="Externadata_405" localSheetId="9">'Data från webbimport'!$A$1:$G$24</definedName>
    <definedName name="Externadata_406" localSheetId="9">'Data från webbimport'!$A$1:$G$21</definedName>
    <definedName name="Externadata_407" localSheetId="9">'Data från webbimport'!$A$1:$G$32</definedName>
    <definedName name="Externadata_408" localSheetId="9">'Data från webbimport'!$A$1:$G$32</definedName>
    <definedName name="Externadata_409" localSheetId="9">'Data från webbimport'!$A$1:$G$29</definedName>
    <definedName name="Externadata_41" localSheetId="9">'Data från webbimport'!$A$1:$G$14</definedName>
    <definedName name="Externadata_410" localSheetId="9">'Data från webbimport'!$A$1:$G$54</definedName>
    <definedName name="Externadata_411" localSheetId="9">'Data från webbimport'!$A$1:$G$49</definedName>
    <definedName name="Externadata_412" localSheetId="9">'Data från webbimport'!$A$1:$G$50</definedName>
    <definedName name="Externadata_413" localSheetId="9">'Data från webbimport'!$A$1:$G$54</definedName>
    <definedName name="Externadata_414" localSheetId="9">'Data från webbimport'!$A$1:$G$61</definedName>
    <definedName name="Externadata_415" localSheetId="9">'Data från webbimport'!$A$1:$G$70</definedName>
    <definedName name="Externadata_416" localSheetId="9">'Data från webbimport'!$A$1:$G$88</definedName>
    <definedName name="Externadata_417" localSheetId="9">'Data från webbimport'!$A$1:$G$82</definedName>
    <definedName name="Externadata_418" localSheetId="9">'Data från webbimport'!$A$1:$G$81</definedName>
    <definedName name="Externadata_419" localSheetId="9">'Data från webbimport'!$A$1:$G$81</definedName>
    <definedName name="Externadata_42" localSheetId="9">'Data från webbimport'!$A$1:$G$14</definedName>
    <definedName name="Externadata_420" localSheetId="9">'Data från webbimport'!$A$1:$G$92</definedName>
    <definedName name="Externadata_421" localSheetId="9">'Data från webbimport'!$A$1:$G$91</definedName>
    <definedName name="Externadata_422" localSheetId="9">'Data från webbimport'!$A$1:$G$15</definedName>
    <definedName name="Externadata_423" localSheetId="9">'Data från webbimport'!$A$1:$G$15</definedName>
    <definedName name="Externadata_424" localSheetId="9">'Data från webbimport'!$A$1:$G$15</definedName>
    <definedName name="Externadata_425" localSheetId="9">'Data från webbimport'!$A$1:$G$15</definedName>
    <definedName name="Externadata_426" localSheetId="9">'Data från webbimport'!$A$1:$G$27</definedName>
    <definedName name="Externadata_427" localSheetId="9">'Data från webbimport'!$A$1:$G$54</definedName>
    <definedName name="Externadata_428" localSheetId="9">'Data från webbimport'!$A$1:$G$15</definedName>
    <definedName name="Externadata_429" localSheetId="9">'Data från webbimport'!$A$1:$G$15</definedName>
    <definedName name="Externadata_43" localSheetId="9">'Data från webbimport'!$A$1:$G$14</definedName>
    <definedName name="Externadata_430" localSheetId="9">'Data från webbimport'!$A$1:$G$15</definedName>
    <definedName name="Externadata_431" localSheetId="9">'Data från webbimport'!$A$1:$G$15</definedName>
    <definedName name="Externadata_432" localSheetId="9">'Data från webbimport'!$A$1:$G$25</definedName>
    <definedName name="Externadata_433" localSheetId="9">'Data från webbimport'!$A$1:$G$49</definedName>
    <definedName name="Externadata_434" localSheetId="9">'Data från webbimport'!$A$1:$G$15</definedName>
    <definedName name="Externadata_435" localSheetId="9">'Data från webbimport'!$A$1:$G$15</definedName>
    <definedName name="Externadata_436" localSheetId="9">'Data från webbimport'!$A$1:$G$15</definedName>
    <definedName name="Externadata_437" localSheetId="9">'Data från webbimport'!$A$1:$G$15</definedName>
    <definedName name="Externadata_438" localSheetId="9">'Data från webbimport'!$A$1:$G$25</definedName>
    <definedName name="Externadata_439" localSheetId="9">'Data från webbimport'!$A$1:$G$45</definedName>
    <definedName name="Externadata_44" localSheetId="9">'Data från webbimport'!$A$1:$G$14</definedName>
    <definedName name="Externadata_440" localSheetId="9">'Data från webbimport'!$A$1:$G$14</definedName>
    <definedName name="Externadata_441" localSheetId="9">'Data från webbimport'!$A$1:$G$14</definedName>
    <definedName name="Externadata_442" localSheetId="9">'Data från webbimport'!$A$1:$G$14</definedName>
    <definedName name="Externadata_443" localSheetId="9">'Data från webbimport'!$A$1:$G$14</definedName>
    <definedName name="Externadata_444" localSheetId="9">'Data från webbimport'!$A$1:$G$39</definedName>
    <definedName name="Externadata_445" localSheetId="9">'Data från webbimport'!$A$1:$G$83</definedName>
    <definedName name="Externadata_446" localSheetId="9">'Data från webbimport'!$A$1:$G$14</definedName>
    <definedName name="Externadata_447" localSheetId="9">'Data från webbimport'!$A$1:$G$28</definedName>
    <definedName name="Externadata_448" localSheetId="9">'Data från webbimport'!$A$1:$G$52</definedName>
    <definedName name="Externadata_449" localSheetId="9">'Data från webbimport'!$A$1:$G$74</definedName>
    <definedName name="Externadata_45" localSheetId="9">'Data från webbimport'!$A$1:$G$14</definedName>
    <definedName name="Externadata_450" localSheetId="9">'Data från webbimport'!$A$1:$G$89</definedName>
    <definedName name="Externadata_451" localSheetId="9">'Data från webbimport'!$A$1:$G$83</definedName>
    <definedName name="Externadata_46" localSheetId="9">'Data från webbimport'!$A$1:$G$14</definedName>
    <definedName name="Externadata_47" localSheetId="9">'Data från webbimport'!$A$1:$G$14</definedName>
    <definedName name="Externadata_48" localSheetId="9">'Data från webbimport'!$A$1:$G$14</definedName>
    <definedName name="Externadata_49" localSheetId="9">'Data från webbimport'!$A$1:$G$14</definedName>
    <definedName name="Externadata_5" localSheetId="9">'Data från webbimport'!#REF!</definedName>
    <definedName name="Externadata_50" localSheetId="9">'Data från webbimport'!$A$1:$G$14</definedName>
    <definedName name="Externadata_51" localSheetId="9">'Data från webbimport'!$A$1:$G$14</definedName>
    <definedName name="Externadata_52" localSheetId="9">'Data från webbimport'!$A$1:$G$14</definedName>
    <definedName name="Externadata_53" localSheetId="9">'Data från webbimport'!$A$1:$G$14</definedName>
    <definedName name="Externadata_54" localSheetId="9">'Data från webbimport'!$A$1:$G$14</definedName>
    <definedName name="Externadata_55" localSheetId="9">'Data från webbimport'!$A$1:$G$14</definedName>
    <definedName name="Externadata_56" localSheetId="9">'Data från webbimport'!$A$1:$G$14</definedName>
    <definedName name="Externadata_57" localSheetId="9">'Data från webbimport'!$A$1:$G$14</definedName>
    <definedName name="Externadata_58" localSheetId="9">'Data från webbimport'!$A$1:$G$14</definedName>
    <definedName name="Externadata_59" localSheetId="9">'Data från webbimport'!$A$1:$G$14</definedName>
    <definedName name="Externadata_6" localSheetId="9">'Data från webbimport'!#REF!</definedName>
    <definedName name="Externadata_60" localSheetId="9">'Data från webbimport'!$A$1:$G$14</definedName>
    <definedName name="Externadata_61" localSheetId="9">'Data från webbimport'!$A$1:$G$14</definedName>
    <definedName name="Externadata_62" localSheetId="9">'Data från webbimport'!$A$1:$G$14</definedName>
    <definedName name="Externadata_63" localSheetId="9">'Data från webbimport'!$A$1:$G$14</definedName>
    <definedName name="Externadata_64" localSheetId="9">'Data från webbimport'!$A$1:$G$14</definedName>
    <definedName name="Externadata_65" localSheetId="9">'Data från webbimport'!$A$1:$G$14</definedName>
    <definedName name="Externadata_66" localSheetId="9">'Data från webbimport'!$A$1:$G$14</definedName>
    <definedName name="Externadata_67" localSheetId="9">'Data från webbimport'!$A$1:$G$14</definedName>
    <definedName name="Externadata_68" localSheetId="9">'Data från webbimport'!$A$1:$G$14</definedName>
    <definedName name="Externadata_69" localSheetId="9">'Data från webbimport'!$A$1:$G$14</definedName>
    <definedName name="Externadata_7" localSheetId="9">'Data från webbimport'!#REF!</definedName>
    <definedName name="Externadata_70" localSheetId="9">'Data från webbimport'!$A$1:$G$14</definedName>
    <definedName name="Externadata_71" localSheetId="9">'Data från webbimport'!$A$1:$G$14</definedName>
    <definedName name="Externadata_72" localSheetId="9">'Data från webbimport'!$A$1:$G$14</definedName>
    <definedName name="Externadata_73" localSheetId="9">'Data från webbimport'!$A$1:$G$14</definedName>
    <definedName name="Externadata_74" localSheetId="9">'Data från webbimport'!$A$1:$G$14</definedName>
    <definedName name="Externadata_75" localSheetId="9">'Data från webbimport'!$A$1:$G$14</definedName>
    <definedName name="Externadata_76" localSheetId="9">'Data från webbimport'!$A$1:$G$14</definedName>
    <definedName name="Externadata_77" localSheetId="9">'Data från webbimport'!$A$1:$G$14</definedName>
    <definedName name="Externadata_78" localSheetId="9">'Data från webbimport'!$A$1:$G$14</definedName>
    <definedName name="Externadata_79" localSheetId="9">'Data från webbimport'!$A$1:$G$14</definedName>
    <definedName name="Externadata_8" localSheetId="9">'Data från webbimport'!#REF!</definedName>
    <definedName name="Externadata_80" localSheetId="9">'Data från webbimport'!$A$1:$G$14</definedName>
    <definedName name="Externadata_81" localSheetId="9">'Data från webbimport'!$A$1:$G$14</definedName>
    <definedName name="Externadata_82" localSheetId="9">'Data från webbimport'!$A$1:$G$14</definedName>
    <definedName name="Externadata_83" localSheetId="9">'Data från webbimport'!$A$1:$G$99</definedName>
    <definedName name="Externadata_84" localSheetId="9">'Data från webbimport'!$A$1:$G$95</definedName>
    <definedName name="Externadata_85" localSheetId="9">'Data från webbimport'!$A$1:$G$93</definedName>
    <definedName name="Externadata_86" localSheetId="9">'Data från webbimport'!$A$1:$G$93</definedName>
    <definedName name="Externadata_87" localSheetId="9">'Data från webbimport'!$A$1:$G$100</definedName>
    <definedName name="Externadata_88" localSheetId="9">'Data från webbimport'!$A$1:$G$104</definedName>
    <definedName name="Externadata_89" localSheetId="9">'Data från webbimport'!$A$1:$G$99</definedName>
    <definedName name="Externadata_9" localSheetId="9">'Data från webbimport'!#REF!</definedName>
    <definedName name="Externadata_90" localSheetId="9">'Data från webbimport'!$A$1:$G$95</definedName>
    <definedName name="Externadata_91" localSheetId="9">'Data från webbimport'!$A$1:$G$93</definedName>
    <definedName name="Externadata_92" localSheetId="9">'Data från webbimport'!$A$1:$G$93</definedName>
    <definedName name="Externadata_93" localSheetId="9">'Data från webbimport'!$A$1:$G$100</definedName>
    <definedName name="Externadata_94" localSheetId="9">'Data från webbimport'!$A$1:$G$104</definedName>
    <definedName name="Externadata_95" localSheetId="9">'Data från webbimport'!$A$1:$G$129</definedName>
    <definedName name="Externadata_96" localSheetId="9">'Data från webbimport'!$A$1:$G$133</definedName>
    <definedName name="Externadata_97" localSheetId="9">'Data från webbimport'!$A$1:$G$111</definedName>
    <definedName name="Externadata_98" localSheetId="9">'Data från webbimport'!$A$1:$G$123</definedName>
    <definedName name="Externadata_99" localSheetId="9">'Data från webbimport'!$A$1:$G$129</definedName>
    <definedName name="Grades">Tabell4[[#Headers],[Möjliga betyg]]</definedName>
    <definedName name="HPKVOT">'Ditt informationsblad'!$C$37</definedName>
    <definedName name="Import_Program">'Automatiserad import'!$C$12</definedName>
    <definedName name="Import_Spec">'Automatiserad import'!$C$13:$F$13</definedName>
    <definedName name="Import_year">'Automatiserad import'!$E$11</definedName>
    <definedName name="ImportStart">'Automatiserad import'!#REF!</definedName>
    <definedName name="Intjänade_kurspoäng">Examenskrav[[#Totals],[GRUNDLÄGGANDE]]</definedName>
    <definedName name="KurskodForNyKurs">Programkurser!$B$6</definedName>
    <definedName name="KursnamnForNyKurs" localSheetId="3">Programkurser!$A$6</definedName>
    <definedName name="Kurspoang">Programkurser!$E$6</definedName>
    <definedName name="Kurspoäng">Programkurser!$E$6</definedName>
    <definedName name="Kurspoäng_som_krävs">Examenskrav[[#Totals],[GODTYCKLIGA]]</definedName>
    <definedName name="Levels">Tabell8[[#Headers],[Nivåer]]</definedName>
    <definedName name="name">'Program och examenskrav'!$A$5</definedName>
    <definedName name="NewProgram">'Program och examenskrav'!$A$5</definedName>
    <definedName name="NewProgramCredits">'Program och examenskrav'!$B$6</definedName>
    <definedName name="NewProgramToAdd">'Program och examenskrav'!$A$6</definedName>
    <definedName name="NewProgramYears">'Program och examenskrav'!$C$6</definedName>
    <definedName name="newTechP">'Program och examenskrav'!$H$23</definedName>
    <definedName name="NewTechSpec">'Program och examenskrav'!$A$27</definedName>
    <definedName name="Niva">Programkurser!$D$6</definedName>
    <definedName name="Nivå">Programkurser!$D$6</definedName>
    <definedName name="Period">Programkurser!$G$6</definedName>
    <definedName name="Program">'Ditt informationsblad'!$C$6</definedName>
    <definedName name="ProgramForNewCourse">Programkurser!$D$8</definedName>
    <definedName name="SearchField">'Ditt informationsblad'!$F$5</definedName>
    <definedName name="SearchResult">'Ditt informationsblad'!$F$7</definedName>
    <definedName name="SearchResultBlock">'Ditt informationsblad'!$N$7</definedName>
    <definedName name="SearchResultCode">'Ditt informationsblad'!$O$7</definedName>
    <definedName name="SearchResultCredits">'Ditt informationsblad'!$S$7</definedName>
    <definedName name="SearchResultLevel">'Ditt informationsblad'!$Q$7</definedName>
    <definedName name="SearchResultSemester">'Ditt informationsblad'!$T$7</definedName>
    <definedName name="SearchResultSemesterPart">'Ditt informationsblad'!$U$7</definedName>
    <definedName name="SearchResultTech">'Ditt informationsblad'!$P$7</definedName>
    <definedName name="SearchResultYear">'Ditt informationsblad'!$R$7</definedName>
    <definedName name="Semesters">Tabell9[[#Headers],[Terminer]]</definedName>
    <definedName name="Sök_efter_examenskrav" localSheetId="2">#REF!</definedName>
    <definedName name="Sök_efter_examenskrav" localSheetId="5">#REF!</definedName>
    <definedName name="Sök_efter_examenskrav" localSheetId="3">#REF!</definedName>
    <definedName name="Sök_efter_examenskrav">Examenskrav[KURSPOÄNGSKRAV]</definedName>
    <definedName name="TechProgram">'Program och examenskrav'!$B$24</definedName>
    <definedName name="TechSpec">'Ditt informationsblad'!$C$7</definedName>
    <definedName name="TekniskInriktning">Programkurser!$C$6</definedName>
    <definedName name="Termin">Programkurser!$F$6</definedName>
    <definedName name="URL">'Automatiserad import'!$C$7</definedName>
    <definedName name="_xlnm.Print_Titles" localSheetId="2">'Ditt informationsblad'!#REF!</definedName>
    <definedName name="_xlnm.Print_Titles" localSheetId="5">'Program och examenskrav'!$20:$21</definedName>
    <definedName name="_xlnm.Print_Titles" localSheetId="3">Programkurser!$2075:$2075</definedName>
    <definedName name="_xlnm.Print_Titles" localSheetId="1">Sammanställning!#REF!</definedName>
    <definedName name="ValidLevels">Konstanter!$F$6:$F$7</definedName>
    <definedName name="ValidPerioder">Konstanter!$J$6:$J$8</definedName>
    <definedName name="ValidSemester">Konstanter!$H$6:$H$8</definedName>
    <definedName name="ValidSemesterParts">Konstanter!$J$6:$J$7</definedName>
    <definedName name="ValidSemesters">Konstanter!$H$6:$H$7</definedName>
    <definedName name="Version">Programkurser!$J$6</definedName>
    <definedName name="Year">Programkurser!$H$6</definedName>
    <definedName name="Återstående_kurspoäng">Examenskrav[[#Totals],[AVANCERADE KVAR]]</definedName>
  </definedNames>
  <calcPr calcId="152511" iterateDelta="1E-4"/>
  <pivotCaches>
    <pivotCache cacheId="5" r:id="rId11"/>
  </pivotCaches>
  <extLst>
    <ext xmlns:x15="http://schemas.microsoft.com/office/spreadsheetml/2010/11/main" uri="{FCE2AD5D-F65C-4FA6-A056-5C36A1767C68}">
      <x15:dataModel>
        <x15:modelTables>
          <x15:modelTable id="Programplan-da6b1a88-ccff-47a9-9a3d-f262ce90417b" name="Programplan" connection="WorksheetConnection_Högskolepoängsspårare.xlsm!Programplan"/>
          <x15:modelTable id="ProgramKurser-63389b59-6696-438a-9aed-29a9ba87c27f" name="ProgramKurser" connection="WorksheetConnection_Högskolepoängsspårare.xlsm!ProgramKurser"/>
        </x15:modelTables>
        <x15:modelRelationships>
          <x15:modelRelationship fromTable="Programplan" fromColumn="KURSNAMN" toTable="ProgramKurser" toColumn="KURSNAMN"/>
        </x15:modelRelationships>
      </x15:dataModel>
    </ext>
  </extLst>
</workbook>
</file>

<file path=xl/calcChain.xml><?xml version="1.0" encoding="utf-8"?>
<calcChain xmlns="http://schemas.openxmlformats.org/spreadsheetml/2006/main">
  <c r="B9" i="1" l="1"/>
  <c r="E9" i="1" s="1"/>
  <c r="I9" i="1" s="1"/>
  <c r="B10" i="1"/>
  <c r="E10" i="1" s="1"/>
  <c r="I10" i="1" s="1"/>
  <c r="F9" i="1" l="1"/>
  <c r="F10" i="1"/>
  <c r="H45" i="8"/>
  <c r="H46" i="8"/>
  <c r="H49" i="8"/>
  <c r="H48" i="8"/>
  <c r="H47" i="8"/>
  <c r="L29" i="8" l="1"/>
  <c r="M29" i="8"/>
  <c r="N29" i="8"/>
  <c r="O29" i="8"/>
  <c r="P29" i="8"/>
  <c r="H44" i="8"/>
  <c r="H40" i="8"/>
  <c r="H41" i="8"/>
  <c r="E8" i="1" s="1"/>
  <c r="I8" i="1" s="1"/>
  <c r="H42" i="8"/>
  <c r="E7" i="1" s="1"/>
  <c r="H43" i="8"/>
  <c r="E11" i="1" l="1"/>
  <c r="I7" i="1"/>
  <c r="I11" i="1" s="1"/>
  <c r="H50" i="8"/>
  <c r="L23" i="8"/>
  <c r="M23" i="8"/>
  <c r="N23" i="8"/>
  <c r="O23" i="8"/>
  <c r="P23" i="8"/>
  <c r="L27" i="8"/>
  <c r="M27" i="8"/>
  <c r="N27" i="8"/>
  <c r="O27" i="8"/>
  <c r="P27" i="8"/>
  <c r="L26" i="8"/>
  <c r="M26" i="8"/>
  <c r="N26" i="8"/>
  <c r="O26" i="8"/>
  <c r="P26" i="8"/>
  <c r="L21" i="8"/>
  <c r="M21" i="8"/>
  <c r="N21" i="8"/>
  <c r="O21" i="8"/>
  <c r="P21" i="8"/>
  <c r="L22" i="8" l="1"/>
  <c r="M22" i="8"/>
  <c r="N22" i="8"/>
  <c r="O22" i="8"/>
  <c r="P22" i="8"/>
  <c r="L28" i="8"/>
  <c r="M28" i="8"/>
  <c r="N28" i="8"/>
  <c r="O28" i="8"/>
  <c r="P28" i="8"/>
  <c r="L30" i="8"/>
  <c r="M30" i="8"/>
  <c r="N30" i="8"/>
  <c r="O30" i="8"/>
  <c r="P30" i="8"/>
  <c r="L25" i="8"/>
  <c r="M25" i="8"/>
  <c r="N25" i="8"/>
  <c r="O25" i="8"/>
  <c r="P25" i="8"/>
  <c r="L24" i="8"/>
  <c r="M24" i="8"/>
  <c r="N24" i="8"/>
  <c r="O24" i="8"/>
  <c r="P24" i="8"/>
  <c r="L20" i="8"/>
  <c r="M20" i="8"/>
  <c r="N20" i="8"/>
  <c r="O20" i="8"/>
  <c r="P20" i="8"/>
  <c r="L18" i="8"/>
  <c r="M18" i="8"/>
  <c r="N18" i="8"/>
  <c r="O18" i="8"/>
  <c r="P18" i="8"/>
  <c r="L17" i="8"/>
  <c r="M17" i="8"/>
  <c r="N17" i="8"/>
  <c r="O17" i="8"/>
  <c r="P17" i="8"/>
  <c r="L19" i="8"/>
  <c r="M19" i="8"/>
  <c r="N19" i="8"/>
  <c r="O19" i="8"/>
  <c r="P19" i="8"/>
  <c r="L16" i="8"/>
  <c r="M16" i="8"/>
  <c r="N16" i="8"/>
  <c r="O16" i="8"/>
  <c r="P16" i="8"/>
  <c r="D9" i="16" l="1"/>
  <c r="D10" i="16"/>
  <c r="D11" i="16"/>
  <c r="D12" i="16"/>
  <c r="D13" i="16"/>
  <c r="D14" i="16"/>
  <c r="D15" i="16"/>
  <c r="D8" i="16"/>
  <c r="M7" i="1"/>
  <c r="P7" i="1" s="1"/>
  <c r="D6" i="11"/>
  <c r="D7" i="11"/>
  <c r="D8" i="11"/>
  <c r="D9" i="11"/>
  <c r="D10" i="11"/>
  <c r="D11" i="11"/>
  <c r="D12" i="11"/>
  <c r="D13" i="11"/>
  <c r="D2" i="10"/>
  <c r="K8" i="1"/>
  <c r="L8" i="1" s="1"/>
  <c r="N8" i="1" s="1"/>
  <c r="K9" i="1"/>
  <c r="L9" i="1" s="1"/>
  <c r="N9" i="1" s="1"/>
  <c r="O31" i="13"/>
  <c r="O32" i="13"/>
  <c r="O33" i="13"/>
  <c r="O34" i="13"/>
  <c r="O35" i="13"/>
  <c r="O36" i="13"/>
  <c r="O37" i="13"/>
  <c r="O38" i="13"/>
  <c r="O39" i="13"/>
  <c r="O40" i="13"/>
  <c r="O41" i="13"/>
  <c r="O42" i="13"/>
  <c r="O43" i="13"/>
  <c r="O44" i="13"/>
  <c r="O45" i="13"/>
  <c r="O46" i="13"/>
  <c r="O47" i="13"/>
  <c r="O48" i="13"/>
  <c r="O49" i="13"/>
  <c r="O50" i="13"/>
  <c r="O51" i="13"/>
  <c r="O52" i="13"/>
  <c r="O53" i="13"/>
  <c r="O54" i="13"/>
  <c r="O55" i="13"/>
  <c r="O56" i="13"/>
  <c r="O57" i="13"/>
  <c r="O58" i="13"/>
  <c r="O59" i="13"/>
  <c r="O60" i="13"/>
  <c r="O61" i="13"/>
  <c r="O62" i="13"/>
  <c r="O63" i="13"/>
  <c r="O64" i="13"/>
  <c r="O65" i="13"/>
  <c r="O66" i="13"/>
  <c r="O67" i="13"/>
  <c r="O68" i="13"/>
  <c r="O69" i="13"/>
  <c r="O70" i="13"/>
  <c r="O71" i="13"/>
  <c r="O72" i="13"/>
  <c r="O73" i="13"/>
  <c r="O74" i="13"/>
  <c r="O75" i="13"/>
  <c r="O76" i="13"/>
  <c r="O77" i="13"/>
  <c r="O78" i="13"/>
  <c r="O79" i="13"/>
  <c r="O80" i="13"/>
  <c r="O81" i="13"/>
  <c r="O82" i="13"/>
  <c r="O83" i="13"/>
  <c r="O84" i="13"/>
  <c r="O85" i="13"/>
  <c r="O86" i="13"/>
  <c r="O87" i="13"/>
  <c r="O88" i="13"/>
  <c r="O89" i="13"/>
  <c r="O90" i="13"/>
  <c r="O91" i="13"/>
  <c r="O92" i="13"/>
  <c r="O93" i="13"/>
  <c r="O94" i="13"/>
  <c r="O95" i="13"/>
  <c r="O96" i="13"/>
  <c r="O97" i="13"/>
  <c r="O98" i="13"/>
  <c r="O99" i="13"/>
  <c r="O100" i="13"/>
  <c r="O101" i="13"/>
  <c r="O102" i="13"/>
  <c r="O103" i="13"/>
  <c r="O104" i="13"/>
  <c r="O105" i="13"/>
  <c r="O106" i="13"/>
  <c r="O107" i="13"/>
  <c r="O108" i="13"/>
  <c r="O109" i="13"/>
  <c r="O110" i="13"/>
  <c r="O111" i="13"/>
  <c r="O112" i="13"/>
  <c r="O113" i="13"/>
  <c r="O114" i="13"/>
  <c r="O115" i="13"/>
  <c r="O116" i="13"/>
  <c r="O117" i="13"/>
  <c r="O118" i="13"/>
  <c r="O119" i="13"/>
  <c r="O120" i="13"/>
  <c r="O121" i="13"/>
  <c r="O122" i="13"/>
  <c r="O123" i="13"/>
  <c r="O124" i="13"/>
  <c r="O125" i="13"/>
  <c r="O126" i="13"/>
  <c r="O127" i="13"/>
  <c r="O128" i="13"/>
  <c r="O129" i="13"/>
  <c r="O130" i="13"/>
  <c r="O131" i="13"/>
  <c r="O132" i="13"/>
  <c r="O133" i="13"/>
  <c r="O134" i="13"/>
  <c r="O135" i="13"/>
  <c r="O136" i="13"/>
  <c r="O137" i="13"/>
  <c r="O138" i="13"/>
  <c r="O139" i="13"/>
  <c r="O140" i="13"/>
  <c r="O141" i="13"/>
  <c r="O142" i="13"/>
  <c r="O143" i="13"/>
  <c r="O144" i="13"/>
  <c r="O145" i="13"/>
  <c r="O146" i="13"/>
  <c r="O147" i="13"/>
  <c r="O148" i="13"/>
  <c r="O149" i="13"/>
  <c r="O150" i="13"/>
  <c r="O151" i="13"/>
  <c r="O152" i="13"/>
  <c r="O153" i="13"/>
  <c r="O154" i="13"/>
  <c r="O155" i="13"/>
  <c r="O156" i="13"/>
  <c r="O157" i="13"/>
  <c r="O158" i="13"/>
  <c r="O159" i="13"/>
  <c r="O160" i="13"/>
  <c r="O161" i="13"/>
  <c r="O162" i="13"/>
  <c r="O163" i="13"/>
  <c r="O164" i="13"/>
  <c r="O165" i="13"/>
  <c r="O166" i="13"/>
  <c r="O167" i="13"/>
  <c r="O168" i="13"/>
  <c r="O169" i="13"/>
  <c r="O170" i="13"/>
  <c r="O171" i="13"/>
  <c r="O172" i="13"/>
  <c r="O173" i="13"/>
  <c r="O174" i="13"/>
  <c r="O17" i="13"/>
  <c r="O18" i="13"/>
  <c r="P11" i="13" s="1"/>
  <c r="O19" i="13"/>
  <c r="O20" i="13"/>
  <c r="O21" i="13"/>
  <c r="O22" i="13"/>
  <c r="O23" i="13"/>
  <c r="O24" i="13"/>
  <c r="O25" i="13"/>
  <c r="O26" i="13"/>
  <c r="O27" i="13"/>
  <c r="O28" i="13"/>
  <c r="O29" i="13"/>
  <c r="O30" i="13"/>
  <c r="O16" i="13"/>
  <c r="C96" i="13"/>
  <c r="C97" i="13"/>
  <c r="C98" i="13"/>
  <c r="C99" i="13"/>
  <c r="C100" i="13"/>
  <c r="C101" i="13"/>
  <c r="C102" i="13"/>
  <c r="C103" i="13"/>
  <c r="C104" i="13"/>
  <c r="C105" i="13"/>
  <c r="C106" i="13"/>
  <c r="C107" i="13"/>
  <c r="C108" i="13"/>
  <c r="C109" i="13"/>
  <c r="C110" i="13"/>
  <c r="C111" i="13"/>
  <c r="C112" i="13"/>
  <c r="C113" i="13"/>
  <c r="C114" i="13"/>
  <c r="C115" i="13"/>
  <c r="C116" i="13"/>
  <c r="C117" i="13"/>
  <c r="C118" i="13"/>
  <c r="C119" i="13"/>
  <c r="C120" i="13"/>
  <c r="C121" i="13"/>
  <c r="C122" i="13"/>
  <c r="C123" i="13"/>
  <c r="C124" i="13"/>
  <c r="C125" i="13"/>
  <c r="C126" i="13"/>
  <c r="C127" i="13"/>
  <c r="C128" i="13"/>
  <c r="C129" i="13"/>
  <c r="C130" i="13"/>
  <c r="C131" i="13"/>
  <c r="C132" i="13"/>
  <c r="C133" i="13"/>
  <c r="C134" i="13"/>
  <c r="C135" i="13"/>
  <c r="C136" i="13"/>
  <c r="C137" i="13"/>
  <c r="C138" i="13"/>
  <c r="C139" i="13"/>
  <c r="C140" i="13"/>
  <c r="C141" i="13"/>
  <c r="C142" i="13"/>
  <c r="C143" i="13"/>
  <c r="C144" i="13"/>
  <c r="C145" i="13"/>
  <c r="C146" i="13"/>
  <c r="C147" i="13"/>
  <c r="C148" i="13"/>
  <c r="C149" i="13"/>
  <c r="C150" i="13"/>
  <c r="C151" i="13"/>
  <c r="C152" i="13"/>
  <c r="C153" i="13"/>
  <c r="C154" i="13"/>
  <c r="C155" i="13"/>
  <c r="C156" i="13"/>
  <c r="C157" i="13"/>
  <c r="C158" i="13"/>
  <c r="C159" i="13"/>
  <c r="C160" i="13"/>
  <c r="C161" i="13"/>
  <c r="C162" i="13"/>
  <c r="C163" i="13"/>
  <c r="C164" i="13"/>
  <c r="C165" i="13"/>
  <c r="C166" i="13"/>
  <c r="C167" i="13"/>
  <c r="C168" i="13"/>
  <c r="C169" i="13"/>
  <c r="C170" i="13"/>
  <c r="C171" i="13"/>
  <c r="C172" i="13"/>
  <c r="C173" i="13"/>
  <c r="C174" i="13"/>
  <c r="C58" i="13"/>
  <c r="C59" i="13"/>
  <c r="C60" i="13"/>
  <c r="C61" i="13"/>
  <c r="C62" i="13"/>
  <c r="C63" i="13"/>
  <c r="C64" i="13"/>
  <c r="C65" i="13"/>
  <c r="C66" i="13"/>
  <c r="C67" i="13"/>
  <c r="C68" i="13"/>
  <c r="C69" i="13"/>
  <c r="C70" i="13"/>
  <c r="C71" i="13"/>
  <c r="C72" i="13"/>
  <c r="C73" i="13"/>
  <c r="C74" i="13"/>
  <c r="C75" i="13"/>
  <c r="C76" i="13"/>
  <c r="C77" i="13"/>
  <c r="C78" i="13"/>
  <c r="C79" i="13"/>
  <c r="C80" i="13"/>
  <c r="C81" i="13"/>
  <c r="C82" i="13"/>
  <c r="C83" i="13"/>
  <c r="C84" i="13"/>
  <c r="C85" i="13"/>
  <c r="C86" i="13"/>
  <c r="C87" i="13"/>
  <c r="C88" i="13"/>
  <c r="C89" i="13"/>
  <c r="C90" i="13"/>
  <c r="C91" i="13"/>
  <c r="C92" i="13"/>
  <c r="C93" i="13"/>
  <c r="C94" i="13"/>
  <c r="C95" i="13"/>
  <c r="C43" i="13"/>
  <c r="C44" i="13"/>
  <c r="C45" i="13"/>
  <c r="C46" i="13"/>
  <c r="C47" i="13"/>
  <c r="C48" i="13"/>
  <c r="C49" i="13"/>
  <c r="C50" i="13"/>
  <c r="C51" i="13"/>
  <c r="C52" i="13"/>
  <c r="C53" i="13"/>
  <c r="C54" i="13"/>
  <c r="C55" i="13"/>
  <c r="C56" i="13"/>
  <c r="C57" i="13"/>
  <c r="P172" i="13"/>
  <c r="P173" i="13"/>
  <c r="P174" i="13"/>
  <c r="P17" i="13"/>
  <c r="P18" i="13"/>
  <c r="P19" i="13"/>
  <c r="P20" i="13"/>
  <c r="P21" i="13"/>
  <c r="P22" i="13"/>
  <c r="P23" i="13"/>
  <c r="P24" i="13"/>
  <c r="P25" i="13"/>
  <c r="P26" i="13"/>
  <c r="P27" i="13"/>
  <c r="P28" i="13"/>
  <c r="P29" i="13"/>
  <c r="P30" i="13"/>
  <c r="P31" i="13"/>
  <c r="P32" i="13"/>
  <c r="P33" i="13"/>
  <c r="P34" i="13"/>
  <c r="P35" i="13"/>
  <c r="P36" i="13"/>
  <c r="P37" i="13"/>
  <c r="P38" i="13"/>
  <c r="P39" i="13"/>
  <c r="P40" i="13"/>
  <c r="P41" i="13"/>
  <c r="P42" i="13"/>
  <c r="P43" i="13"/>
  <c r="P44" i="13"/>
  <c r="P45" i="13"/>
  <c r="P46" i="13"/>
  <c r="P47" i="13"/>
  <c r="P48" i="13"/>
  <c r="P49" i="13"/>
  <c r="P50" i="13"/>
  <c r="P51" i="13"/>
  <c r="P52" i="13"/>
  <c r="P53" i="13"/>
  <c r="P54" i="13"/>
  <c r="P55" i="13"/>
  <c r="P56" i="13"/>
  <c r="P57" i="13"/>
  <c r="P58" i="13"/>
  <c r="P59" i="13"/>
  <c r="P60" i="13"/>
  <c r="P61" i="13"/>
  <c r="P62" i="13"/>
  <c r="P63" i="13"/>
  <c r="P64" i="13"/>
  <c r="P65" i="13"/>
  <c r="P66" i="13"/>
  <c r="P67" i="13"/>
  <c r="P68" i="13"/>
  <c r="P69" i="13"/>
  <c r="P70" i="13"/>
  <c r="P71" i="13"/>
  <c r="P72" i="13"/>
  <c r="P73" i="13"/>
  <c r="P74" i="13"/>
  <c r="P75" i="13"/>
  <c r="P76" i="13"/>
  <c r="P77" i="13"/>
  <c r="P78" i="13"/>
  <c r="P79" i="13"/>
  <c r="P80" i="13"/>
  <c r="P81" i="13"/>
  <c r="P82" i="13"/>
  <c r="P83" i="13"/>
  <c r="P84" i="13"/>
  <c r="P85" i="13"/>
  <c r="P86" i="13"/>
  <c r="P87" i="13"/>
  <c r="P88" i="13"/>
  <c r="P89" i="13"/>
  <c r="P90" i="13"/>
  <c r="P91" i="13"/>
  <c r="P92" i="13"/>
  <c r="P93" i="13"/>
  <c r="P94" i="13"/>
  <c r="P95" i="13"/>
  <c r="P96" i="13"/>
  <c r="P97" i="13"/>
  <c r="P98" i="13"/>
  <c r="P99" i="13"/>
  <c r="P100" i="13"/>
  <c r="P101" i="13"/>
  <c r="P102" i="13"/>
  <c r="P103" i="13"/>
  <c r="P104" i="13"/>
  <c r="P105" i="13"/>
  <c r="P106" i="13"/>
  <c r="P107" i="13"/>
  <c r="P108" i="13"/>
  <c r="P109" i="13"/>
  <c r="P110" i="13"/>
  <c r="P111" i="13"/>
  <c r="P112" i="13"/>
  <c r="P113" i="13"/>
  <c r="P114" i="13"/>
  <c r="P115" i="13"/>
  <c r="P116" i="13"/>
  <c r="P117" i="13"/>
  <c r="P118" i="13"/>
  <c r="P119" i="13"/>
  <c r="P120" i="13"/>
  <c r="P121" i="13"/>
  <c r="P122" i="13"/>
  <c r="P123" i="13"/>
  <c r="P124" i="13"/>
  <c r="P125" i="13"/>
  <c r="P126" i="13"/>
  <c r="P127" i="13"/>
  <c r="P128" i="13"/>
  <c r="P129" i="13"/>
  <c r="P130" i="13"/>
  <c r="P131" i="13"/>
  <c r="P132" i="13"/>
  <c r="P133" i="13"/>
  <c r="P134" i="13"/>
  <c r="P135" i="13"/>
  <c r="P136" i="13"/>
  <c r="P137" i="13"/>
  <c r="P138" i="13"/>
  <c r="P139" i="13"/>
  <c r="P140" i="13"/>
  <c r="P141" i="13"/>
  <c r="P142" i="13"/>
  <c r="P143" i="13"/>
  <c r="P144" i="13"/>
  <c r="P145" i="13"/>
  <c r="P146" i="13"/>
  <c r="P147" i="13"/>
  <c r="P148" i="13"/>
  <c r="P149" i="13"/>
  <c r="P150" i="13"/>
  <c r="P151" i="13"/>
  <c r="P152" i="13"/>
  <c r="P153" i="13"/>
  <c r="P154" i="13"/>
  <c r="P155" i="13"/>
  <c r="P156" i="13"/>
  <c r="P157" i="13"/>
  <c r="P158" i="13"/>
  <c r="P159" i="13"/>
  <c r="P160" i="13"/>
  <c r="P161" i="13"/>
  <c r="P162" i="13"/>
  <c r="P163" i="13"/>
  <c r="P164" i="13"/>
  <c r="P165" i="13"/>
  <c r="P166" i="13"/>
  <c r="P167" i="13"/>
  <c r="P168" i="13"/>
  <c r="P169" i="13"/>
  <c r="P170" i="13"/>
  <c r="P171" i="13"/>
  <c r="P16" i="13"/>
  <c r="O7" i="1" l="1"/>
  <c r="P8" i="1"/>
  <c r="P9" i="1"/>
  <c r="M9" i="1"/>
  <c r="O9" i="1" s="1"/>
  <c r="M8" i="1"/>
  <c r="O8" i="1" s="1"/>
  <c r="Q26" i="13" a="1"/>
  <c r="Q26" i="13" s="1"/>
  <c r="Q27" i="13" a="1"/>
  <c r="Q27" i="13" s="1"/>
  <c r="Q28" i="13" a="1"/>
  <c r="Q28" i="13" s="1"/>
  <c r="Q29" i="13" a="1"/>
  <c r="Q29" i="13" s="1"/>
  <c r="Q30" i="13" a="1"/>
  <c r="Q30" i="13" s="1"/>
  <c r="Q31" i="13" a="1"/>
  <c r="Q31" i="13" s="1"/>
  <c r="Q32" i="13" a="1"/>
  <c r="Q32" i="13" s="1"/>
  <c r="Q33" i="13" a="1"/>
  <c r="Q33" i="13" s="1"/>
  <c r="Q34" i="13" a="1"/>
  <c r="Q34" i="13" s="1"/>
  <c r="Q35" i="13" a="1"/>
  <c r="Q35" i="13" s="1"/>
  <c r="Q36" i="13" a="1"/>
  <c r="Q36" i="13" s="1"/>
  <c r="Q37" i="13" a="1"/>
  <c r="Q37" i="13" s="1"/>
  <c r="Q38" i="13" a="1"/>
  <c r="Q38" i="13" s="1"/>
  <c r="Q39" i="13" a="1"/>
  <c r="Q39" i="13" s="1"/>
  <c r="Q40" i="13" a="1"/>
  <c r="Q40" i="13" s="1"/>
  <c r="Q41" i="13" a="1"/>
  <c r="Q41" i="13" s="1"/>
  <c r="Q42" i="13" a="1"/>
  <c r="Q42" i="13" s="1"/>
  <c r="Q43" i="13" a="1"/>
  <c r="Q43" i="13" s="1"/>
  <c r="Q44" i="13" a="1"/>
  <c r="Q44" i="13" s="1"/>
  <c r="Q45" i="13" a="1"/>
  <c r="Q45" i="13" s="1"/>
  <c r="Q46" i="13" a="1"/>
  <c r="Q46" i="13" s="1"/>
  <c r="Q47" i="13" a="1"/>
  <c r="Q47" i="13" s="1"/>
  <c r="Q48" i="13" a="1"/>
  <c r="Q48" i="13" s="1"/>
  <c r="Q49" i="13" a="1"/>
  <c r="Q49" i="13" s="1"/>
  <c r="Q50" i="13" a="1"/>
  <c r="Q50" i="13" s="1"/>
  <c r="Q51" i="13" a="1"/>
  <c r="Q51" i="13" s="1"/>
  <c r="Q52" i="13" a="1"/>
  <c r="Q52" i="13" s="1"/>
  <c r="Q53" i="13" a="1"/>
  <c r="Q53" i="13" s="1"/>
  <c r="Q54" i="13" a="1"/>
  <c r="Q54" i="13" s="1"/>
  <c r="Q55" i="13" a="1"/>
  <c r="Q55" i="13" s="1"/>
  <c r="Q56" i="13" a="1"/>
  <c r="Q56" i="13" s="1"/>
  <c r="Q57" i="13" a="1"/>
  <c r="Q57" i="13" s="1"/>
  <c r="Q58" i="13" a="1"/>
  <c r="Q58" i="13" s="1"/>
  <c r="Q59" i="13" a="1"/>
  <c r="Q59" i="13" s="1"/>
  <c r="Q60" i="13" a="1"/>
  <c r="Q60" i="13" s="1"/>
  <c r="Q61" i="13" a="1"/>
  <c r="Q61" i="13" s="1"/>
  <c r="Q62" i="13" a="1"/>
  <c r="Q62" i="13" s="1"/>
  <c r="Q63" i="13" a="1"/>
  <c r="Q63" i="13" s="1"/>
  <c r="Q64" i="13" a="1"/>
  <c r="Q64" i="13" s="1"/>
  <c r="Q65" i="13" a="1"/>
  <c r="Q65" i="13" s="1"/>
  <c r="Q66" i="13" a="1"/>
  <c r="Q66" i="13" s="1"/>
  <c r="Q67" i="13" a="1"/>
  <c r="Q67" i="13" s="1"/>
  <c r="Q68" i="13" a="1"/>
  <c r="Q68" i="13" s="1"/>
  <c r="Q69" i="13" a="1"/>
  <c r="Q69" i="13" s="1"/>
  <c r="Q70" i="13" a="1"/>
  <c r="Q70" i="13" s="1"/>
  <c r="Q71" i="13" a="1"/>
  <c r="Q71" i="13" s="1"/>
  <c r="Q72" i="13" a="1"/>
  <c r="Q72" i="13" s="1"/>
  <c r="Q73" i="13" a="1"/>
  <c r="Q73" i="13" s="1"/>
  <c r="Q74" i="13" a="1"/>
  <c r="Q74" i="13" s="1"/>
  <c r="Q75" i="13" a="1"/>
  <c r="Q75" i="13" s="1"/>
  <c r="Q76" i="13" a="1"/>
  <c r="Q76" i="13" s="1"/>
  <c r="Q77" i="13" a="1"/>
  <c r="Q77" i="13" s="1"/>
  <c r="Q78" i="13" a="1"/>
  <c r="Q78" i="13" s="1"/>
  <c r="Q79" i="13" a="1"/>
  <c r="Q79" i="13" s="1"/>
  <c r="Q80" i="13" a="1"/>
  <c r="Q80" i="13" s="1"/>
  <c r="Q81" i="13" a="1"/>
  <c r="Q81" i="13" s="1"/>
  <c r="Q82" i="13" a="1"/>
  <c r="Q82" i="13" s="1"/>
  <c r="Q83" i="13" a="1"/>
  <c r="Q83" i="13" s="1"/>
  <c r="Q84" i="13" a="1"/>
  <c r="Q84" i="13" s="1"/>
  <c r="Q85" i="13" a="1"/>
  <c r="Q85" i="13" s="1"/>
  <c r="Q86" i="13" a="1"/>
  <c r="Q86" i="13" s="1"/>
  <c r="Q87" i="13" a="1"/>
  <c r="Q87" i="13" s="1"/>
  <c r="Q88" i="13" a="1"/>
  <c r="Q88" i="13" s="1"/>
  <c r="Q89" i="13" a="1"/>
  <c r="Q89" i="13" s="1"/>
  <c r="Q90" i="13" a="1"/>
  <c r="Q90" i="13" s="1"/>
  <c r="Q91" i="13" a="1"/>
  <c r="Q91" i="13" s="1"/>
  <c r="Q92" i="13" a="1"/>
  <c r="Q92" i="13" s="1"/>
  <c r="Q93" i="13" a="1"/>
  <c r="Q93" i="13" s="1"/>
  <c r="Q94" i="13" a="1"/>
  <c r="Q94" i="13" s="1"/>
  <c r="Q95" i="13" a="1"/>
  <c r="Q95" i="13" s="1"/>
  <c r="Q96" i="13" a="1"/>
  <c r="Q96" i="13" s="1"/>
  <c r="Q97" i="13" a="1"/>
  <c r="Q97" i="13" s="1"/>
  <c r="Q98" i="13" a="1"/>
  <c r="Q98" i="13" s="1"/>
  <c r="Q99" i="13" a="1"/>
  <c r="Q99" i="13" s="1"/>
  <c r="Q100" i="13" a="1"/>
  <c r="Q100" i="13" s="1"/>
  <c r="Q101" i="13" a="1"/>
  <c r="Q101" i="13" s="1"/>
  <c r="Q102" i="13" a="1"/>
  <c r="Q102" i="13" s="1"/>
  <c r="Q103" i="13" a="1"/>
  <c r="Q103" i="13" s="1"/>
  <c r="Q104" i="13" a="1"/>
  <c r="Q104" i="13" s="1"/>
  <c r="Q105" i="13" a="1"/>
  <c r="Q105" i="13" s="1"/>
  <c r="Q106" i="13" a="1"/>
  <c r="Q106" i="13" s="1"/>
  <c r="Q107" i="13" a="1"/>
  <c r="Q107" i="13" s="1"/>
  <c r="Q108" i="13" a="1"/>
  <c r="Q108" i="13" s="1"/>
  <c r="Q109" i="13" a="1"/>
  <c r="Q109" i="13" s="1"/>
  <c r="Q110" i="13" a="1"/>
  <c r="Q110" i="13" s="1"/>
  <c r="Q111" i="13" a="1"/>
  <c r="Q111" i="13" s="1"/>
  <c r="Q112" i="13" a="1"/>
  <c r="Q112" i="13" s="1"/>
  <c r="Q113" i="13" a="1"/>
  <c r="Q113" i="13" s="1"/>
  <c r="Q114" i="13" a="1"/>
  <c r="Q114" i="13" s="1"/>
  <c r="Q115" i="13" a="1"/>
  <c r="Q115" i="13" s="1"/>
  <c r="Q116" i="13" a="1"/>
  <c r="Q116" i="13" s="1"/>
  <c r="Q117" i="13" a="1"/>
  <c r="Q117" i="13" s="1"/>
  <c r="Q118" i="13" a="1"/>
  <c r="Q118" i="13" s="1"/>
  <c r="Q119" i="13" a="1"/>
  <c r="Q119" i="13" s="1"/>
  <c r="Q120" i="13" a="1"/>
  <c r="Q120" i="13" s="1"/>
  <c r="Q121" i="13" a="1"/>
  <c r="Q121" i="13" s="1"/>
  <c r="Q122" i="13" a="1"/>
  <c r="Q122" i="13" s="1"/>
  <c r="Q124" i="13" a="1"/>
  <c r="Q124" i="13" s="1"/>
  <c r="Q126" i="13" a="1"/>
  <c r="Q126" i="13" s="1"/>
  <c r="Q128" i="13" a="1"/>
  <c r="Q128" i="13" s="1"/>
  <c r="Q130" i="13" a="1"/>
  <c r="Q130" i="13" s="1"/>
  <c r="Q132" i="13" a="1"/>
  <c r="Q132" i="13" s="1"/>
  <c r="Q134" i="13" a="1"/>
  <c r="Q134" i="13" s="1"/>
  <c r="Q136" i="13" a="1"/>
  <c r="Q136" i="13" s="1"/>
  <c r="Q138" i="13" a="1"/>
  <c r="Q138" i="13" s="1"/>
  <c r="Q140" i="13" a="1"/>
  <c r="Q140" i="13" s="1"/>
  <c r="Q142" i="13" a="1"/>
  <c r="Q142" i="13" s="1"/>
  <c r="Q144" i="13" a="1"/>
  <c r="Q144" i="13" s="1"/>
  <c r="Q146" i="13" a="1"/>
  <c r="Q146" i="13" s="1"/>
  <c r="Q148" i="13" a="1"/>
  <c r="Q148" i="13" s="1"/>
  <c r="Q150" i="13" a="1"/>
  <c r="Q150" i="13" s="1"/>
  <c r="Q152" i="13" a="1"/>
  <c r="Q152" i="13" s="1"/>
  <c r="Q154" i="13" a="1"/>
  <c r="Q154" i="13" s="1"/>
  <c r="Q156" i="13" a="1"/>
  <c r="Q156" i="13" s="1"/>
  <c r="Q158" i="13" a="1"/>
  <c r="Q158" i="13" s="1"/>
  <c r="Q160" i="13" a="1"/>
  <c r="Q160" i="13" s="1"/>
  <c r="Q162" i="13" a="1"/>
  <c r="Q162" i="13" s="1"/>
  <c r="Q164" i="13" a="1"/>
  <c r="Q164" i="13" s="1"/>
  <c r="Q166" i="13" a="1"/>
  <c r="Q166" i="13" s="1"/>
  <c r="Q168" i="13" a="1"/>
  <c r="Q168" i="13" s="1"/>
  <c r="Q170" i="13" a="1"/>
  <c r="Q170" i="13" s="1"/>
  <c r="Q172" i="13" a="1"/>
  <c r="Q172" i="13" s="1"/>
  <c r="Q174" i="13" a="1"/>
  <c r="Q174" i="13" s="1"/>
  <c r="Q21" i="13" a="1"/>
  <c r="Q21" i="13" s="1"/>
  <c r="Q23" i="13" a="1"/>
  <c r="Q23" i="13" s="1"/>
  <c r="Q25" i="13" a="1"/>
  <c r="Q25" i="13" s="1"/>
  <c r="Q17" i="13" a="1"/>
  <c r="Q17" i="13" s="1"/>
  <c r="Q19" i="13" a="1"/>
  <c r="Q19" i="13" s="1"/>
  <c r="Q123" i="13" a="1"/>
  <c r="Q123" i="13" s="1"/>
  <c r="Q125" i="13" a="1"/>
  <c r="Q125" i="13" s="1"/>
  <c r="Q127" i="13" a="1"/>
  <c r="Q127" i="13" s="1"/>
  <c r="Q129" i="13" a="1"/>
  <c r="Q129" i="13" s="1"/>
  <c r="Q131" i="13" a="1"/>
  <c r="Q131" i="13" s="1"/>
  <c r="Q133" i="13" a="1"/>
  <c r="Q133" i="13" s="1"/>
  <c r="Q135" i="13" a="1"/>
  <c r="Q135" i="13" s="1"/>
  <c r="Q137" i="13" a="1"/>
  <c r="Q137" i="13" s="1"/>
  <c r="Q139" i="13" a="1"/>
  <c r="Q139" i="13" s="1"/>
  <c r="Q141" i="13" a="1"/>
  <c r="Q141" i="13" s="1"/>
  <c r="Q143" i="13" a="1"/>
  <c r="Q143" i="13" s="1"/>
  <c r="Q145" i="13" a="1"/>
  <c r="Q145" i="13" s="1"/>
  <c r="Q147" i="13" a="1"/>
  <c r="Q147" i="13" s="1"/>
  <c r="Q149" i="13" a="1"/>
  <c r="Q149" i="13" s="1"/>
  <c r="Q151" i="13" a="1"/>
  <c r="Q151" i="13" s="1"/>
  <c r="Q153" i="13" a="1"/>
  <c r="Q153" i="13" s="1"/>
  <c r="Q155" i="13" a="1"/>
  <c r="Q155" i="13" s="1"/>
  <c r="Q157" i="13" a="1"/>
  <c r="Q157" i="13" s="1"/>
  <c r="Q159" i="13" a="1"/>
  <c r="Q159" i="13" s="1"/>
  <c r="Q161" i="13" a="1"/>
  <c r="Q161" i="13" s="1"/>
  <c r="Q163" i="13" a="1"/>
  <c r="Q163" i="13" s="1"/>
  <c r="Q165" i="13" a="1"/>
  <c r="Q165" i="13" s="1"/>
  <c r="Q167" i="13" a="1"/>
  <c r="Q167" i="13" s="1"/>
  <c r="Q169" i="13" a="1"/>
  <c r="Q169" i="13" s="1"/>
  <c r="Q171" i="13" a="1"/>
  <c r="Q171" i="13" s="1"/>
  <c r="Q173" i="13" a="1"/>
  <c r="Q173" i="13" s="1"/>
  <c r="Q20" i="13" a="1"/>
  <c r="Q20" i="13" s="1"/>
  <c r="Q22" i="13" a="1"/>
  <c r="Q22" i="13" s="1"/>
  <c r="Q24" i="13" a="1"/>
  <c r="Q24" i="13" s="1"/>
  <c r="Q16" i="13" a="1"/>
  <c r="Q16" i="13" s="1"/>
  <c r="Q18" i="13" a="1"/>
  <c r="Q18" i="13" s="1"/>
  <c r="E2" i="8" l="1"/>
  <c r="E2" i="16" s="1"/>
  <c r="F78" i="1" l="1"/>
  <c r="F81" i="1"/>
  <c r="H78" i="1" l="1"/>
  <c r="E84" i="1"/>
  <c r="H87" i="1"/>
  <c r="H84" i="1"/>
  <c r="F84" i="1"/>
  <c r="H81" i="1"/>
  <c r="E13" i="1"/>
  <c r="H66" i="1" l="1"/>
  <c r="H69" i="1"/>
  <c r="H72" i="1"/>
  <c r="H75" i="1"/>
  <c r="F66" i="1"/>
  <c r="E63" i="1"/>
  <c r="F63" i="1"/>
  <c r="H63" i="1"/>
  <c r="F60" i="1"/>
  <c r="G60" i="1"/>
  <c r="H60" i="1"/>
  <c r="E54" i="1"/>
  <c r="F54" i="1"/>
  <c r="G54" i="1"/>
  <c r="H54" i="1"/>
  <c r="E57" i="1"/>
  <c r="F57" i="1"/>
  <c r="G57" i="1"/>
  <c r="H57" i="1"/>
  <c r="E51" i="1"/>
  <c r="F51" i="1"/>
  <c r="G51" i="1"/>
  <c r="H51" i="1"/>
  <c r="E48" i="1"/>
  <c r="F48" i="1"/>
  <c r="G48" i="1"/>
  <c r="H48" i="1"/>
  <c r="E45" i="1"/>
  <c r="F45" i="1"/>
  <c r="G45" i="1"/>
  <c r="H45" i="1"/>
  <c r="E42" i="1"/>
  <c r="F42" i="1"/>
  <c r="G42" i="1"/>
  <c r="H42" i="1"/>
  <c r="F39" i="1"/>
  <c r="G36" i="1"/>
  <c r="H36" i="1"/>
  <c r="G39" i="1"/>
  <c r="G63" i="1"/>
  <c r="G66" i="1"/>
  <c r="G69" i="1"/>
  <c r="G72" i="1"/>
  <c r="G75" i="1"/>
  <c r="G78" i="1"/>
  <c r="G81" i="1"/>
  <c r="G84" i="1"/>
  <c r="G87" i="1"/>
  <c r="E60" i="1"/>
  <c r="E66" i="1"/>
  <c r="E69" i="1"/>
  <c r="E72" i="1"/>
  <c r="E75" i="1"/>
  <c r="E78" i="1"/>
  <c r="E81" i="1"/>
  <c r="E87" i="1"/>
  <c r="F69" i="1"/>
  <c r="F72" i="1"/>
  <c r="F75" i="1"/>
  <c r="F87" i="1"/>
  <c r="H39" i="1" l="1"/>
  <c r="E39" i="1"/>
  <c r="F36" i="1"/>
  <c r="E36" i="1"/>
  <c r="B36" i="1" l="1"/>
  <c r="B42" i="1"/>
  <c r="B48" i="1"/>
  <c r="B54" i="1"/>
  <c r="B60" i="1"/>
  <c r="B66" i="1"/>
  <c r="B72" i="1"/>
  <c r="B78" i="1"/>
  <c r="B84" i="1"/>
  <c r="P154" i="11" l="1"/>
  <c r="O154" i="11"/>
  <c r="P153" i="11"/>
  <c r="O153" i="11"/>
  <c r="P152" i="11"/>
  <c r="O152" i="11"/>
  <c r="P151" i="11"/>
  <c r="O151" i="11"/>
  <c r="P150" i="11"/>
  <c r="O150" i="11"/>
  <c r="P149" i="11"/>
  <c r="O149" i="11"/>
  <c r="P148" i="11"/>
  <c r="O148" i="11"/>
  <c r="P147" i="11"/>
  <c r="O147" i="11"/>
  <c r="P146" i="11"/>
  <c r="O146" i="11"/>
  <c r="P145" i="11"/>
  <c r="O145" i="11"/>
  <c r="P144" i="11"/>
  <c r="O144" i="11"/>
  <c r="P143" i="11"/>
  <c r="O143" i="11"/>
  <c r="P142" i="11"/>
  <c r="O142" i="11"/>
  <c r="P141" i="11"/>
  <c r="O141" i="11"/>
  <c r="P140" i="11"/>
  <c r="O140" i="11"/>
  <c r="P139" i="11"/>
  <c r="O139" i="11"/>
  <c r="P138" i="11"/>
  <c r="O138" i="11"/>
  <c r="P137" i="11"/>
  <c r="O137" i="11"/>
  <c r="P136" i="11"/>
  <c r="O136" i="11"/>
  <c r="P135" i="11"/>
  <c r="O135" i="11"/>
  <c r="P134" i="11"/>
  <c r="O134" i="11"/>
  <c r="P133" i="11"/>
  <c r="O133" i="11"/>
  <c r="P132" i="11"/>
  <c r="O132" i="11"/>
  <c r="P131" i="11"/>
  <c r="O131" i="11"/>
  <c r="P130" i="11"/>
  <c r="O130" i="11"/>
  <c r="P129" i="11"/>
  <c r="O129" i="11"/>
  <c r="P128" i="11"/>
  <c r="O128" i="11"/>
  <c r="P127" i="11"/>
  <c r="O127" i="11"/>
  <c r="P126" i="11"/>
  <c r="O126" i="11"/>
  <c r="P125" i="11"/>
  <c r="O125" i="11"/>
  <c r="P124" i="11"/>
  <c r="O124" i="11"/>
  <c r="P123" i="11"/>
  <c r="O123" i="11"/>
  <c r="P122" i="11"/>
  <c r="O122" i="11"/>
  <c r="P121" i="11"/>
  <c r="O121" i="11"/>
  <c r="P120" i="11"/>
  <c r="O120" i="11"/>
  <c r="P119" i="11"/>
  <c r="O119" i="11"/>
  <c r="P118" i="11"/>
  <c r="O118" i="11"/>
  <c r="P117" i="11"/>
  <c r="O117" i="11"/>
  <c r="P116" i="11"/>
  <c r="O116" i="11"/>
  <c r="P115" i="11"/>
  <c r="O115" i="11"/>
  <c r="P114" i="11"/>
  <c r="O114" i="11"/>
  <c r="P113" i="11"/>
  <c r="O113" i="11"/>
  <c r="P112" i="11"/>
  <c r="O112" i="11"/>
  <c r="P111" i="11"/>
  <c r="O111" i="11"/>
  <c r="P110" i="11"/>
  <c r="O110" i="11"/>
  <c r="P109" i="11"/>
  <c r="O109" i="11"/>
  <c r="P108" i="11"/>
  <c r="O108" i="11"/>
  <c r="P107" i="11"/>
  <c r="O107" i="11"/>
  <c r="P106" i="11"/>
  <c r="O106" i="11"/>
  <c r="P105" i="11"/>
  <c r="O105" i="11"/>
  <c r="P104" i="11"/>
  <c r="O104" i="11"/>
  <c r="P103" i="11"/>
  <c r="O103" i="11"/>
  <c r="P102" i="11"/>
  <c r="O102" i="11"/>
  <c r="P101" i="11"/>
  <c r="O101" i="11"/>
  <c r="P100" i="11"/>
  <c r="O100" i="11"/>
  <c r="P99" i="11"/>
  <c r="O99" i="11"/>
  <c r="P98" i="11"/>
  <c r="O98" i="11"/>
  <c r="P97" i="11"/>
  <c r="O97" i="11"/>
  <c r="P96" i="11"/>
  <c r="O96" i="11"/>
  <c r="P95" i="11"/>
  <c r="O95" i="11"/>
  <c r="P94" i="11"/>
  <c r="O94" i="11"/>
  <c r="P93" i="11"/>
  <c r="O93" i="11"/>
  <c r="P92" i="11"/>
  <c r="O92" i="11"/>
  <c r="P91" i="11"/>
  <c r="O91" i="11"/>
  <c r="P90" i="11"/>
  <c r="O90" i="11"/>
  <c r="P89" i="11"/>
  <c r="O89" i="11"/>
  <c r="P88" i="11"/>
  <c r="O88" i="11"/>
  <c r="P87" i="11"/>
  <c r="O87" i="11"/>
  <c r="P86" i="11"/>
  <c r="O86" i="11"/>
  <c r="P85" i="11"/>
  <c r="O85" i="11"/>
  <c r="P84" i="11"/>
  <c r="O84" i="11"/>
  <c r="P83" i="11"/>
  <c r="O83" i="11"/>
  <c r="P82" i="11"/>
  <c r="O82" i="11"/>
  <c r="P81" i="11"/>
  <c r="O81" i="11"/>
  <c r="P80" i="11"/>
  <c r="O80" i="11"/>
  <c r="P79" i="11"/>
  <c r="O79" i="11"/>
  <c r="P78" i="11"/>
  <c r="O78" i="11"/>
  <c r="P77" i="11"/>
  <c r="O77" i="11"/>
  <c r="P76" i="11"/>
  <c r="O76" i="11"/>
  <c r="P75" i="11"/>
  <c r="O75" i="11"/>
  <c r="P74" i="11"/>
  <c r="O74" i="11"/>
  <c r="P73" i="11"/>
  <c r="O73" i="11"/>
  <c r="P72" i="11"/>
  <c r="O72" i="11"/>
  <c r="P71" i="11"/>
  <c r="O71" i="11"/>
  <c r="P70" i="11"/>
  <c r="O70" i="11"/>
  <c r="P69" i="11"/>
  <c r="O69" i="11"/>
  <c r="P68" i="11"/>
  <c r="O68" i="11"/>
  <c r="P67" i="11"/>
  <c r="O67" i="11"/>
  <c r="P66" i="11"/>
  <c r="O66" i="11"/>
  <c r="P65" i="11"/>
  <c r="O65" i="11"/>
  <c r="P64" i="11"/>
  <c r="O64" i="11"/>
  <c r="P63" i="11"/>
  <c r="O63" i="11"/>
  <c r="P62" i="11"/>
  <c r="O62" i="11"/>
  <c r="P61" i="11"/>
  <c r="O61" i="11"/>
  <c r="P60" i="11"/>
  <c r="O60" i="11"/>
  <c r="P59" i="11"/>
  <c r="O59" i="11"/>
  <c r="P58" i="11"/>
  <c r="O58" i="11"/>
  <c r="P57" i="11"/>
  <c r="O57" i="11"/>
  <c r="P56" i="11"/>
  <c r="O56" i="11"/>
  <c r="P55" i="11"/>
  <c r="O55" i="11"/>
  <c r="P54" i="11"/>
  <c r="O54" i="11"/>
  <c r="P53" i="11"/>
  <c r="O53" i="11"/>
  <c r="P52" i="11"/>
  <c r="O52" i="11"/>
  <c r="P51" i="11"/>
  <c r="O51" i="11"/>
  <c r="P50" i="11"/>
  <c r="O50" i="11"/>
  <c r="P49" i="11"/>
  <c r="O49" i="11"/>
  <c r="P48" i="11"/>
  <c r="O48" i="11"/>
  <c r="P47" i="11"/>
  <c r="O47" i="11"/>
  <c r="P46" i="11"/>
  <c r="O46" i="11"/>
  <c r="P45" i="11"/>
  <c r="O45" i="11"/>
  <c r="P44" i="11"/>
  <c r="O44" i="11"/>
  <c r="P43" i="11"/>
  <c r="O43" i="11"/>
  <c r="P42" i="11"/>
  <c r="O42" i="11"/>
  <c r="P41" i="11"/>
  <c r="O41" i="11"/>
  <c r="P40" i="11"/>
  <c r="O40" i="11"/>
  <c r="P39" i="11"/>
  <c r="O39" i="11"/>
  <c r="P38" i="11"/>
  <c r="O38" i="11"/>
  <c r="P37" i="11"/>
  <c r="O37" i="11"/>
  <c r="P36" i="11"/>
  <c r="O36" i="11"/>
  <c r="P35" i="11"/>
  <c r="O35" i="11"/>
  <c r="P34" i="11"/>
  <c r="O34" i="11"/>
  <c r="P33" i="11"/>
  <c r="O33" i="11"/>
  <c r="P32" i="11"/>
  <c r="O32" i="11"/>
  <c r="P31" i="11"/>
  <c r="O31" i="11"/>
  <c r="P30" i="11"/>
  <c r="O30" i="11"/>
  <c r="P29" i="11"/>
  <c r="O29" i="11"/>
  <c r="P28" i="11"/>
  <c r="O28" i="11"/>
  <c r="P27" i="11"/>
  <c r="O27" i="11"/>
  <c r="P26" i="11"/>
  <c r="O26" i="11"/>
  <c r="P25" i="11"/>
  <c r="O25" i="11"/>
  <c r="P24" i="11"/>
  <c r="O24" i="11"/>
  <c r="P23" i="11"/>
  <c r="O23" i="11"/>
  <c r="P22" i="11"/>
  <c r="O22" i="11"/>
  <c r="P21" i="11"/>
  <c r="O21" i="11"/>
  <c r="P20" i="11"/>
  <c r="O20" i="11"/>
  <c r="P19" i="11"/>
  <c r="O19" i="11"/>
  <c r="P18" i="11"/>
  <c r="O18" i="11"/>
  <c r="P17" i="11"/>
  <c r="O17" i="11"/>
  <c r="P16" i="11"/>
  <c r="O16" i="11"/>
  <c r="P15" i="11"/>
  <c r="O15" i="11"/>
  <c r="N15" i="11" s="1"/>
  <c r="P14" i="11"/>
  <c r="O14" i="11"/>
  <c r="P13" i="11"/>
  <c r="O13" i="11"/>
  <c r="N13" i="11" s="1"/>
  <c r="P12" i="11"/>
  <c r="O12" i="11"/>
  <c r="N12" i="11" s="1"/>
  <c r="P11" i="11"/>
  <c r="O11" i="11"/>
  <c r="N11" i="11" s="1"/>
  <c r="P10" i="11"/>
  <c r="O10" i="11"/>
  <c r="N10" i="11" s="1"/>
  <c r="P9" i="11"/>
  <c r="O9" i="11"/>
  <c r="N9" i="11" s="1"/>
  <c r="P8" i="11"/>
  <c r="O8" i="11"/>
  <c r="N8" i="11" s="1"/>
  <c r="P7" i="11"/>
  <c r="O7" i="11"/>
  <c r="N7" i="11" s="1"/>
  <c r="B171" i="13"/>
  <c r="B170" i="13"/>
  <c r="B169" i="13"/>
  <c r="B168" i="13"/>
  <c r="B167" i="13"/>
  <c r="B166" i="13"/>
  <c r="B165" i="13"/>
  <c r="B164" i="13"/>
  <c r="B163" i="13"/>
  <c r="B162" i="13"/>
  <c r="B161" i="13"/>
  <c r="B160" i="13"/>
  <c r="B159" i="13"/>
  <c r="B158" i="13"/>
  <c r="B157" i="13"/>
  <c r="B156" i="13"/>
  <c r="B155" i="13"/>
  <c r="B154" i="13"/>
  <c r="B153" i="13"/>
  <c r="B152" i="13"/>
  <c r="B151" i="13"/>
  <c r="B150" i="13"/>
  <c r="B149" i="13"/>
  <c r="B148" i="13"/>
  <c r="B147" i="13"/>
  <c r="B146" i="13"/>
  <c r="B145" i="13"/>
  <c r="B144" i="13"/>
  <c r="B143" i="13"/>
  <c r="B142" i="13"/>
  <c r="B141" i="13"/>
  <c r="B140" i="13"/>
  <c r="B139" i="13"/>
  <c r="B138" i="13"/>
  <c r="B137" i="13"/>
  <c r="B136" i="13"/>
  <c r="B135" i="13"/>
  <c r="B134" i="13"/>
  <c r="B133" i="13"/>
  <c r="B132" i="13"/>
  <c r="B131" i="13"/>
  <c r="B130" i="13"/>
  <c r="B129" i="13"/>
  <c r="B128" i="13"/>
  <c r="B127" i="13"/>
  <c r="B126" i="13"/>
  <c r="B125" i="13"/>
  <c r="B124" i="13"/>
  <c r="B123" i="13"/>
  <c r="B122" i="13"/>
  <c r="B121" i="13"/>
  <c r="B120" i="13"/>
  <c r="B119" i="13"/>
  <c r="B118" i="13"/>
  <c r="B117" i="13"/>
  <c r="B116" i="13"/>
  <c r="B115" i="13"/>
  <c r="B114" i="13"/>
  <c r="B113" i="13"/>
  <c r="B112" i="13"/>
  <c r="B111" i="13"/>
  <c r="B110" i="13"/>
  <c r="B109" i="13"/>
  <c r="B108" i="13"/>
  <c r="B107" i="13"/>
  <c r="B106" i="13"/>
  <c r="B105" i="13"/>
  <c r="B104" i="13"/>
  <c r="B103" i="13"/>
  <c r="B102" i="13"/>
  <c r="B101" i="13"/>
  <c r="B100" i="13"/>
  <c r="B99" i="13"/>
  <c r="B98" i="13"/>
  <c r="B97" i="13"/>
  <c r="B96" i="13"/>
  <c r="B95" i="13"/>
  <c r="B94" i="13"/>
  <c r="B93" i="13"/>
  <c r="B92" i="13"/>
  <c r="B91" i="13"/>
  <c r="B90" i="13"/>
  <c r="B89" i="13"/>
  <c r="B88" i="13"/>
  <c r="B87" i="13"/>
  <c r="B86" i="13"/>
  <c r="B85" i="13"/>
  <c r="B84" i="13"/>
  <c r="B83" i="13"/>
  <c r="B82" i="13"/>
  <c r="B81" i="13"/>
  <c r="B80" i="13"/>
  <c r="B79" i="13"/>
  <c r="B78" i="13"/>
  <c r="B77" i="13"/>
  <c r="B76" i="13"/>
  <c r="B75" i="13"/>
  <c r="B74" i="13"/>
  <c r="B73" i="13"/>
  <c r="B72" i="13"/>
  <c r="B71" i="13"/>
  <c r="B70" i="13"/>
  <c r="B69" i="13"/>
  <c r="B68" i="13"/>
  <c r="B67" i="13"/>
  <c r="B66" i="13"/>
  <c r="B65" i="13"/>
  <c r="B64" i="13"/>
  <c r="B63" i="13"/>
  <c r="B62" i="13"/>
  <c r="B61" i="13"/>
  <c r="B60" i="13"/>
  <c r="B59" i="13"/>
  <c r="B58" i="13"/>
  <c r="B57" i="13"/>
  <c r="B56" i="13"/>
  <c r="B55" i="13"/>
  <c r="B54" i="13"/>
  <c r="B53" i="13"/>
  <c r="B52" i="13"/>
  <c r="B51" i="13"/>
  <c r="B50" i="13"/>
  <c r="B49" i="13"/>
  <c r="B48" i="13"/>
  <c r="B47" i="13"/>
  <c r="B46" i="13"/>
  <c r="B45" i="13"/>
  <c r="B44" i="13"/>
  <c r="B43" i="13"/>
  <c r="C42" i="13"/>
  <c r="B42" i="13"/>
  <c r="C41" i="13"/>
  <c r="B41" i="13"/>
  <c r="C40" i="13"/>
  <c r="B40" i="13"/>
  <c r="C39" i="13"/>
  <c r="B39" i="13"/>
  <c r="C38" i="13"/>
  <c r="B38" i="13"/>
  <c r="C37" i="13"/>
  <c r="B37" i="13"/>
  <c r="C36" i="13"/>
  <c r="B36" i="13"/>
  <c r="C35" i="13"/>
  <c r="B35" i="13"/>
  <c r="C34" i="13"/>
  <c r="B34" i="13"/>
  <c r="C33" i="13"/>
  <c r="B33" i="13"/>
  <c r="C32" i="13"/>
  <c r="B32" i="13"/>
  <c r="C31" i="13"/>
  <c r="B31" i="13"/>
  <c r="C30" i="13"/>
  <c r="B30" i="13"/>
  <c r="C29" i="13"/>
  <c r="B29" i="13"/>
  <c r="C28" i="13"/>
  <c r="B28" i="13"/>
  <c r="C27" i="13"/>
  <c r="B27" i="13"/>
  <c r="C26" i="13"/>
  <c r="B26" i="13"/>
  <c r="C25" i="13"/>
  <c r="B25" i="13"/>
  <c r="C24" i="13"/>
  <c r="B24" i="13"/>
  <c r="C23" i="13"/>
  <c r="B23" i="13"/>
  <c r="C22" i="13"/>
  <c r="B22" i="13"/>
  <c r="C21" i="13"/>
  <c r="B21" i="13"/>
  <c r="C20" i="13"/>
  <c r="B20" i="13"/>
  <c r="C19" i="13"/>
  <c r="B19" i="13"/>
  <c r="C18" i="13"/>
  <c r="B18" i="13"/>
  <c r="C17" i="13"/>
  <c r="B17" i="13"/>
  <c r="C16" i="13"/>
  <c r="B16" i="13"/>
  <c r="D2" i="6"/>
  <c r="K2" i="14" s="1"/>
  <c r="D13" i="6"/>
  <c r="R32" i="1"/>
  <c r="R31" i="1"/>
  <c r="R30" i="1"/>
  <c r="R29" i="1"/>
  <c r="R28" i="1"/>
  <c r="R27" i="1"/>
  <c r="R26" i="1"/>
  <c r="R25" i="1"/>
  <c r="R24" i="1"/>
  <c r="R23" i="1"/>
  <c r="L13" i="1"/>
  <c r="L7" i="1"/>
  <c r="T25" i="1"/>
  <c r="S29" i="1"/>
  <c r="W26" i="1"/>
  <c r="U31" i="1"/>
  <c r="N25" i="1"/>
  <c r="V29" i="1"/>
  <c r="L31" i="1"/>
  <c r="U25" i="1"/>
  <c r="Z27" i="1"/>
  <c r="T27" i="1"/>
  <c r="W28" i="1"/>
  <c r="S26" i="1"/>
  <c r="Y28" i="1"/>
  <c r="S27" i="1"/>
  <c r="L30" i="1"/>
  <c r="Z26" i="1"/>
  <c r="S31" i="1"/>
  <c r="X27" i="1"/>
  <c r="U23" i="1"/>
  <c r="Z30" i="1"/>
  <c r="Y23" i="1"/>
  <c r="Z31" i="1"/>
  <c r="Z23" i="1"/>
  <c r="U24" i="1"/>
  <c r="L27" i="1"/>
  <c r="T26" i="1"/>
  <c r="N32" i="1"/>
  <c r="Z32" i="1"/>
  <c r="W25" i="1"/>
  <c r="V28" i="1"/>
  <c r="L23" i="1"/>
  <c r="X28" i="1"/>
  <c r="V25" i="1"/>
  <c r="L24" i="1"/>
  <c r="X23" i="1"/>
  <c r="X24" i="1"/>
  <c r="W32" i="1"/>
  <c r="L29" i="1"/>
  <c r="S23" i="1"/>
  <c r="U27" i="1"/>
  <c r="N30" i="1"/>
  <c r="T31" i="1"/>
  <c r="V32" i="1"/>
  <c r="N29" i="1"/>
  <c r="Z28" i="1"/>
  <c r="S28" i="1"/>
  <c r="W24" i="1"/>
  <c r="V26" i="1"/>
  <c r="N26" i="1"/>
  <c r="L26" i="1"/>
  <c r="S25" i="1"/>
  <c r="T29" i="1"/>
  <c r="X29" i="1"/>
  <c r="N24" i="1"/>
  <c r="Z29" i="1"/>
  <c r="Z25" i="1"/>
  <c r="L25" i="1"/>
  <c r="N28" i="1"/>
  <c r="T28" i="1"/>
  <c r="V27" i="1"/>
  <c r="Y24" i="1"/>
  <c r="Y31" i="1"/>
  <c r="W27" i="1"/>
  <c r="V23" i="1"/>
  <c r="V31" i="1"/>
  <c r="Y26" i="1"/>
  <c r="W23" i="1"/>
  <c r="Y30" i="1"/>
  <c r="T23" i="1"/>
  <c r="Y29" i="1"/>
  <c r="Y25" i="1"/>
  <c r="S32" i="1"/>
  <c r="X30" i="1"/>
  <c r="W29" i="1"/>
  <c r="S30" i="1"/>
  <c r="X32" i="1"/>
  <c r="U26" i="1"/>
  <c r="T30" i="1"/>
  <c r="L28" i="1"/>
  <c r="L32" i="1"/>
  <c r="U28" i="1"/>
  <c r="V30" i="1"/>
  <c r="X25" i="1"/>
  <c r="X26" i="1"/>
  <c r="U30" i="1"/>
  <c r="Y32" i="1"/>
  <c r="N27" i="1"/>
  <c r="T24" i="1"/>
  <c r="Z24" i="1"/>
  <c r="V24" i="1"/>
  <c r="N23" i="1"/>
  <c r="X31" i="1"/>
  <c r="U29" i="1"/>
  <c r="W31" i="1"/>
  <c r="Y27" i="1"/>
  <c r="N31" i="1"/>
  <c r="U32" i="1"/>
  <c r="T32" i="1"/>
  <c r="W30" i="1"/>
  <c r="S24" i="1"/>
  <c r="N7" i="1" l="1"/>
  <c r="P13" i="1" s="1"/>
  <c r="N65" i="11"/>
  <c r="N16" i="11"/>
  <c r="N17" i="11"/>
  <c r="N18" i="11"/>
  <c r="N19" i="11"/>
  <c r="N20" i="11"/>
  <c r="N21" i="11"/>
  <c r="N22" i="11"/>
  <c r="N23" i="11"/>
  <c r="N24" i="11"/>
  <c r="N25" i="11"/>
  <c r="N26" i="11"/>
  <c r="N27" i="11"/>
  <c r="N28" i="11"/>
  <c r="N30" i="11"/>
  <c r="N31" i="11"/>
  <c r="N32" i="11"/>
  <c r="N33" i="11"/>
  <c r="N34" i="11"/>
  <c r="N35" i="11"/>
  <c r="N36" i="11"/>
  <c r="N37" i="11"/>
  <c r="N38" i="11"/>
  <c r="N39" i="11"/>
  <c r="N40" i="11"/>
  <c r="N41" i="11"/>
  <c r="N42" i="11"/>
  <c r="N43" i="11"/>
  <c r="N44" i="11"/>
  <c r="N45" i="11"/>
  <c r="N46" i="11"/>
  <c r="N47" i="11"/>
  <c r="N48" i="11"/>
  <c r="N49" i="11"/>
  <c r="N50" i="11"/>
  <c r="N51" i="11"/>
  <c r="N52" i="11"/>
  <c r="N53" i="11"/>
  <c r="N54" i="11"/>
  <c r="N55" i="11"/>
  <c r="N56" i="11"/>
  <c r="N57" i="11"/>
  <c r="N58" i="11"/>
  <c r="N59" i="11"/>
  <c r="N60" i="11"/>
  <c r="N61" i="11"/>
  <c r="N62" i="11"/>
  <c r="N63" i="11"/>
  <c r="N64" i="11"/>
  <c r="N66" i="11"/>
  <c r="N67" i="11"/>
  <c r="N68" i="11"/>
  <c r="N69" i="11"/>
  <c r="N70" i="11"/>
  <c r="N71" i="11"/>
  <c r="N72" i="11"/>
  <c r="N73" i="11"/>
  <c r="N74" i="11"/>
  <c r="N75" i="11"/>
  <c r="N76" i="11"/>
  <c r="N77" i="11"/>
  <c r="N78" i="11"/>
  <c r="N79" i="11"/>
  <c r="N80" i="11"/>
  <c r="N81" i="11"/>
  <c r="N82" i="11"/>
  <c r="N83" i="11"/>
  <c r="N84" i="11"/>
  <c r="N85" i="11"/>
  <c r="N86" i="11"/>
  <c r="N87" i="11"/>
  <c r="N88" i="11"/>
  <c r="N89" i="11"/>
  <c r="N90" i="11"/>
  <c r="N91" i="11"/>
  <c r="N92" i="11"/>
  <c r="N96" i="11"/>
  <c r="N97" i="11"/>
  <c r="N98" i="11"/>
  <c r="N99" i="11"/>
  <c r="N100" i="11"/>
  <c r="N101" i="11"/>
  <c r="N102" i="11"/>
  <c r="N103" i="11"/>
  <c r="N104" i="11"/>
  <c r="N105" i="11"/>
  <c r="N106" i="11"/>
  <c r="N107" i="11"/>
  <c r="N108" i="11"/>
  <c r="N109" i="11"/>
  <c r="N110" i="11"/>
  <c r="N111" i="11"/>
  <c r="N112" i="11"/>
  <c r="N113" i="11"/>
  <c r="N114" i="11"/>
  <c r="N115" i="11"/>
  <c r="N116" i="11"/>
  <c r="N117" i="11"/>
  <c r="N118" i="11"/>
  <c r="N119" i="11"/>
  <c r="N120" i="11"/>
  <c r="N121" i="11"/>
  <c r="N122" i="11"/>
  <c r="N123" i="11"/>
  <c r="N124" i="11"/>
  <c r="N125" i="11"/>
  <c r="N126" i="11"/>
  <c r="N127" i="11"/>
  <c r="N128" i="11"/>
  <c r="N129" i="11"/>
  <c r="N130" i="11"/>
  <c r="N132" i="11"/>
  <c r="N133" i="11"/>
  <c r="N134" i="11"/>
  <c r="N135" i="11"/>
  <c r="N136" i="11"/>
  <c r="N137" i="11"/>
  <c r="N138" i="11"/>
  <c r="N139" i="11"/>
  <c r="N140" i="11"/>
  <c r="N141" i="11"/>
  <c r="N142" i="11"/>
  <c r="N143" i="11"/>
  <c r="N144" i="11"/>
  <c r="N145" i="11"/>
  <c r="N146" i="11"/>
  <c r="N147" i="11"/>
  <c r="N148" i="11"/>
  <c r="N149" i="11"/>
  <c r="N150" i="11"/>
  <c r="N151" i="11"/>
  <c r="N152" i="11"/>
  <c r="N153" i="11"/>
  <c r="N154" i="11"/>
  <c r="B11" i="13"/>
  <c r="D172" i="13" s="1" a="1"/>
  <c r="D172" i="13" s="1"/>
  <c r="N6" i="11"/>
  <c r="K2" i="1"/>
  <c r="O24" i="1"/>
  <c r="O26" i="1"/>
  <c r="O28" i="1"/>
  <c r="O30" i="1"/>
  <c r="O23" i="1"/>
  <c r="O25" i="1"/>
  <c r="O27" i="1"/>
  <c r="O29" i="1"/>
  <c r="O31" i="1"/>
  <c r="O32" i="1"/>
  <c r="E2" i="12"/>
  <c r="N14" i="11"/>
  <c r="N93" i="11"/>
  <c r="N29" i="11"/>
  <c r="N94" i="11"/>
  <c r="N95" i="11"/>
  <c r="N131" i="11"/>
  <c r="D168" i="13" l="1" a="1"/>
  <c r="D168" i="13" s="1"/>
  <c r="D174" i="13" a="1"/>
  <c r="D174" i="13" s="1"/>
  <c r="D37" i="13" a="1"/>
  <c r="D37" i="13" s="1"/>
  <c r="D21" i="13" a="1"/>
  <c r="D21" i="13" s="1"/>
  <c r="D65" i="13" a="1"/>
  <c r="D65" i="13" s="1"/>
  <c r="D170" i="13" a="1"/>
  <c r="D170" i="13" s="1"/>
  <c r="D29" i="13" a="1"/>
  <c r="D29" i="13" s="1"/>
  <c r="D47" i="13" a="1"/>
  <c r="D47" i="13" s="1"/>
  <c r="D105" i="13" a="1"/>
  <c r="D105" i="13" s="1"/>
  <c r="D17" i="13" a="1"/>
  <c r="D17" i="13" s="1"/>
  <c r="D25" i="13" a="1"/>
  <c r="D25" i="13" s="1"/>
  <c r="D33" i="13" a="1"/>
  <c r="D33" i="13" s="1"/>
  <c r="D41" i="13" a="1"/>
  <c r="D41" i="13" s="1"/>
  <c r="D55" i="13" a="1"/>
  <c r="D55" i="13" s="1"/>
  <c r="D81" i="13" a="1"/>
  <c r="D81" i="13" s="1"/>
  <c r="D137" i="13" a="1"/>
  <c r="D137" i="13" s="1"/>
  <c r="D162" i="13" a="1"/>
  <c r="D162" i="13" s="1"/>
  <c r="D19" i="13" a="1"/>
  <c r="D19" i="13" s="1"/>
  <c r="D23" i="13" a="1"/>
  <c r="D23" i="13" s="1"/>
  <c r="D27" i="13" a="1"/>
  <c r="D27" i="13" s="1"/>
  <c r="D31" i="13" a="1"/>
  <c r="D31" i="13" s="1"/>
  <c r="D35" i="13" a="1"/>
  <c r="D35" i="13" s="1"/>
  <c r="D39" i="13" a="1"/>
  <c r="D39" i="13" s="1"/>
  <c r="D43" i="13" a="1"/>
  <c r="D43" i="13" s="1"/>
  <c r="D51" i="13" a="1"/>
  <c r="D51" i="13" s="1"/>
  <c r="D59" i="13" a="1"/>
  <c r="D59" i="13" s="1"/>
  <c r="D73" i="13" a="1"/>
  <c r="D73" i="13" s="1"/>
  <c r="D89" i="13" a="1"/>
  <c r="D89" i="13" s="1"/>
  <c r="D121" i="13" a="1"/>
  <c r="D121" i="13" s="1"/>
  <c r="D153" i="13" a="1"/>
  <c r="D153" i="13" s="1"/>
  <c r="D45" i="13" a="1"/>
  <c r="D45" i="13" s="1"/>
  <c r="D49" i="13" a="1"/>
  <c r="D49" i="13" s="1"/>
  <c r="D53" i="13" a="1"/>
  <c r="D53" i="13" s="1"/>
  <c r="D57" i="13" a="1"/>
  <c r="D57" i="13" s="1"/>
  <c r="D61" i="13" a="1"/>
  <c r="D61" i="13" s="1"/>
  <c r="D69" i="13" a="1"/>
  <c r="D69" i="13" s="1"/>
  <c r="D77" i="13" a="1"/>
  <c r="D77" i="13" s="1"/>
  <c r="D85" i="13" a="1"/>
  <c r="D85" i="13" s="1"/>
  <c r="D97" i="13" a="1"/>
  <c r="D97" i="13" s="1"/>
  <c r="D113" i="13" a="1"/>
  <c r="D113" i="13" s="1"/>
  <c r="D129" i="13" a="1"/>
  <c r="D129" i="13" s="1"/>
  <c r="D145" i="13" a="1"/>
  <c r="D145" i="13" s="1"/>
  <c r="D161" i="13" a="1"/>
  <c r="D161" i="13" s="1"/>
  <c r="D63" i="13" a="1"/>
  <c r="D63" i="13" s="1"/>
  <c r="D67" i="13" a="1"/>
  <c r="D67" i="13" s="1"/>
  <c r="D71" i="13" a="1"/>
  <c r="D71" i="13" s="1"/>
  <c r="D75" i="13" a="1"/>
  <c r="D75" i="13" s="1"/>
  <c r="D79" i="13" a="1"/>
  <c r="D79" i="13" s="1"/>
  <c r="D83" i="13" a="1"/>
  <c r="D83" i="13" s="1"/>
  <c r="D87" i="13" a="1"/>
  <c r="D87" i="13" s="1"/>
  <c r="D93" i="13" a="1"/>
  <c r="D93" i="13" s="1"/>
  <c r="D101" i="13" a="1"/>
  <c r="D101" i="13" s="1"/>
  <c r="D109" i="13" a="1"/>
  <c r="D109" i="13" s="1"/>
  <c r="D117" i="13" a="1"/>
  <c r="D117" i="13" s="1"/>
  <c r="D125" i="13" a="1"/>
  <c r="D125" i="13" s="1"/>
  <c r="D133" i="13" a="1"/>
  <c r="D133" i="13" s="1"/>
  <c r="D141" i="13" a="1"/>
  <c r="D141" i="13" s="1"/>
  <c r="D149" i="13" a="1"/>
  <c r="D149" i="13" s="1"/>
  <c r="D157" i="13" a="1"/>
  <c r="D157" i="13" s="1"/>
  <c r="D169" i="13" a="1"/>
  <c r="D169" i="13" s="1"/>
  <c r="D91" i="13" a="1"/>
  <c r="D91" i="13" s="1"/>
  <c r="D95" i="13" a="1"/>
  <c r="D95" i="13" s="1"/>
  <c r="D99" i="13" a="1"/>
  <c r="D99" i="13" s="1"/>
  <c r="D103" i="13" a="1"/>
  <c r="D103" i="13" s="1"/>
  <c r="D107" i="13" a="1"/>
  <c r="D107" i="13" s="1"/>
  <c r="D111" i="13" a="1"/>
  <c r="D111" i="13" s="1"/>
  <c r="D115" i="13" a="1"/>
  <c r="D115" i="13" s="1"/>
  <c r="D119" i="13" a="1"/>
  <c r="D119" i="13" s="1"/>
  <c r="D123" i="13" a="1"/>
  <c r="D123" i="13" s="1"/>
  <c r="D127" i="13" a="1"/>
  <c r="D127" i="13" s="1"/>
  <c r="D131" i="13" a="1"/>
  <c r="D131" i="13" s="1"/>
  <c r="D135" i="13" a="1"/>
  <c r="D135" i="13" s="1"/>
  <c r="D139" i="13" a="1"/>
  <c r="D139" i="13" s="1"/>
  <c r="D143" i="13" a="1"/>
  <c r="D143" i="13" s="1"/>
  <c r="D147" i="13" a="1"/>
  <c r="D147" i="13" s="1"/>
  <c r="D151" i="13" a="1"/>
  <c r="D151" i="13" s="1"/>
  <c r="D155" i="13" a="1"/>
  <c r="D155" i="13" s="1"/>
  <c r="D159" i="13" a="1"/>
  <c r="D159" i="13" s="1"/>
  <c r="D165" i="13" a="1"/>
  <c r="D165" i="13" s="1"/>
  <c r="D173" i="13" a="1"/>
  <c r="D173" i="13" s="1"/>
  <c r="D164" i="13" a="1"/>
  <c r="D164" i="13" s="1"/>
  <c r="D166" i="13" a="1"/>
  <c r="D166" i="13" s="1"/>
  <c r="D16" i="13" a="1"/>
  <c r="D16" i="13" s="1"/>
  <c r="D18" i="13" a="1"/>
  <c r="D18" i="13" s="1"/>
  <c r="D20" i="13" a="1"/>
  <c r="D20" i="13" s="1"/>
  <c r="D22" i="13" a="1"/>
  <c r="D22" i="13" s="1"/>
  <c r="D24" i="13" a="1"/>
  <c r="D24" i="13" s="1"/>
  <c r="D26" i="13" a="1"/>
  <c r="D26" i="13" s="1"/>
  <c r="D28" i="13" a="1"/>
  <c r="D28" i="13" s="1"/>
  <c r="D30" i="13" a="1"/>
  <c r="D30" i="13" s="1"/>
  <c r="D32" i="13" a="1"/>
  <c r="D32" i="13" s="1"/>
  <c r="D34" i="13" a="1"/>
  <c r="D34" i="13" s="1"/>
  <c r="D36" i="13" a="1"/>
  <c r="D36" i="13" s="1"/>
  <c r="D38" i="13" a="1"/>
  <c r="D38" i="13" s="1"/>
  <c r="D40" i="13" a="1"/>
  <c r="D40" i="13" s="1"/>
  <c r="D42" i="13" a="1"/>
  <c r="D42" i="13" s="1"/>
  <c r="D44" i="13" a="1"/>
  <c r="D44" i="13" s="1"/>
  <c r="D46" i="13" a="1"/>
  <c r="D46" i="13" s="1"/>
  <c r="D48" i="13" a="1"/>
  <c r="D48" i="13" s="1"/>
  <c r="D50" i="13" a="1"/>
  <c r="D50" i="13" s="1"/>
  <c r="D52" i="13" a="1"/>
  <c r="D52" i="13" s="1"/>
  <c r="D54" i="13" a="1"/>
  <c r="D54" i="13" s="1"/>
  <c r="D56" i="13" a="1"/>
  <c r="D56" i="13" s="1"/>
  <c r="D58" i="13" a="1"/>
  <c r="D58" i="13" s="1"/>
  <c r="D60" i="13" a="1"/>
  <c r="D60" i="13" s="1"/>
  <c r="D62" i="13" a="1"/>
  <c r="D62" i="13" s="1"/>
  <c r="D64" i="13" a="1"/>
  <c r="D64" i="13" s="1"/>
  <c r="D66" i="13" a="1"/>
  <c r="D66" i="13" s="1"/>
  <c r="D68" i="13" a="1"/>
  <c r="D68" i="13" s="1"/>
  <c r="D70" i="13" a="1"/>
  <c r="D70" i="13" s="1"/>
  <c r="D72" i="13" a="1"/>
  <c r="D72" i="13" s="1"/>
  <c r="D74" i="13" a="1"/>
  <c r="D74" i="13" s="1"/>
  <c r="D76" i="13" a="1"/>
  <c r="D76" i="13" s="1"/>
  <c r="D78" i="13" a="1"/>
  <c r="D78" i="13" s="1"/>
  <c r="D80" i="13" a="1"/>
  <c r="D80" i="13" s="1"/>
  <c r="D82" i="13" a="1"/>
  <c r="D82" i="13" s="1"/>
  <c r="D84" i="13" a="1"/>
  <c r="D84" i="13" s="1"/>
  <c r="D86" i="13" a="1"/>
  <c r="D86" i="13" s="1"/>
  <c r="D88" i="13" a="1"/>
  <c r="D88" i="13" s="1"/>
  <c r="D90" i="13" a="1"/>
  <c r="D90" i="13" s="1"/>
  <c r="D92" i="13" a="1"/>
  <c r="D92" i="13" s="1"/>
  <c r="D94" i="13" a="1"/>
  <c r="D94" i="13" s="1"/>
  <c r="D96" i="13" a="1"/>
  <c r="D96" i="13" s="1"/>
  <c r="D98" i="13" a="1"/>
  <c r="D98" i="13" s="1"/>
  <c r="D100" i="13" a="1"/>
  <c r="D100" i="13" s="1"/>
  <c r="D102" i="13" a="1"/>
  <c r="D102" i="13" s="1"/>
  <c r="D104" i="13" a="1"/>
  <c r="D104" i="13" s="1"/>
  <c r="D106" i="13" a="1"/>
  <c r="D106" i="13" s="1"/>
  <c r="D108" i="13" a="1"/>
  <c r="D108" i="13" s="1"/>
  <c r="D110" i="13" a="1"/>
  <c r="D110" i="13" s="1"/>
  <c r="D112" i="13" a="1"/>
  <c r="D112" i="13" s="1"/>
  <c r="D114" i="13" a="1"/>
  <c r="D114" i="13" s="1"/>
  <c r="D116" i="13" a="1"/>
  <c r="D116" i="13" s="1"/>
  <c r="D118" i="13" a="1"/>
  <c r="D118" i="13" s="1"/>
  <c r="D120" i="13" a="1"/>
  <c r="D120" i="13" s="1"/>
  <c r="D122" i="13" a="1"/>
  <c r="D122" i="13" s="1"/>
  <c r="D124" i="13" a="1"/>
  <c r="D124" i="13" s="1"/>
  <c r="D126" i="13" a="1"/>
  <c r="D126" i="13" s="1"/>
  <c r="D128" i="13" a="1"/>
  <c r="D128" i="13" s="1"/>
  <c r="D130" i="13" a="1"/>
  <c r="D130" i="13" s="1"/>
  <c r="D132" i="13" a="1"/>
  <c r="D132" i="13" s="1"/>
  <c r="D134" i="13" a="1"/>
  <c r="D134" i="13" s="1"/>
  <c r="D136" i="13" a="1"/>
  <c r="D136" i="13" s="1"/>
  <c r="D138" i="13" a="1"/>
  <c r="D138" i="13" s="1"/>
  <c r="D140" i="13" a="1"/>
  <c r="D140" i="13" s="1"/>
  <c r="D142" i="13" a="1"/>
  <c r="D142" i="13" s="1"/>
  <c r="D144" i="13" a="1"/>
  <c r="D144" i="13" s="1"/>
  <c r="D146" i="13" a="1"/>
  <c r="D146" i="13" s="1"/>
  <c r="D148" i="13" a="1"/>
  <c r="D148" i="13" s="1"/>
  <c r="D150" i="13" a="1"/>
  <c r="D150" i="13" s="1"/>
  <c r="D152" i="13" a="1"/>
  <c r="D152" i="13" s="1"/>
  <c r="D154" i="13" a="1"/>
  <c r="D154" i="13" s="1"/>
  <c r="D156" i="13" a="1"/>
  <c r="D156" i="13" s="1"/>
  <c r="D158" i="13" a="1"/>
  <c r="D158" i="13" s="1"/>
  <c r="D160" i="13" a="1"/>
  <c r="D160" i="13" s="1"/>
  <c r="D163" i="13" a="1"/>
  <c r="D163" i="13" s="1"/>
  <c r="D167" i="13" a="1"/>
  <c r="D167" i="13" s="1"/>
  <c r="D171" i="13" a="1"/>
  <c r="D171" i="13" s="1"/>
</calcChain>
</file>

<file path=xl/connections.xml><?xml version="1.0" encoding="utf-8"?>
<connections xmlns="http://schemas.openxmlformats.org/spreadsheetml/2006/main">
  <connection id="1" name="Anslutning" type="4" refreshedVersion="5" background="1" saveData="1">
    <webPr xl2000="1" url="http://kdb-5.liu.se/liu/lith/studiehandboken/action.lasso?&amp;-response=lot_response.lasso&amp;-op=eq&amp;kp_budget_year=2009-op=eq&amp;kp_programkod=I&amp;-op=ct&amp;kp_programprofil=system" htmlTables="1" htmlFormat="all">
      <tables count="1">
        <x v="1"/>
      </tables>
    </webPr>
  </connection>
  <connection id="2" name="Anslutning1" type="4" refreshedVersion="5" background="1" saveData="1">
    <webPr xl2000="1" url="http://kdb-5.liu.se/liu/lith/studiehandboken/action.lasso?&amp;-response=lot_response.lasso&amp;-op=eq&amp;kp_budget_year=2010-op=eq&amp;kp_programkod=I&amp;-op=ct&amp;kp_programprofil=system" htmlTables="1" htmlFormat="all">
      <tables count="1">
        <x v="1"/>
      </tables>
    </webPr>
  </connection>
  <connection id="3" name="Anslutning10" type="4" refreshedVersion="5" background="1" saveData="1">
    <webPr xl2000="1" url="http://kdb-5.liu.se/liu/lith/studiehandboken/action.lasso?&amp;-response=lot_response.lasso&amp;-op=eq&amp;kp_budget_year=2011-op=eq&amp;kp_programkod=I&amp;-op=ct&amp;kp_programprofil=energi" htmlTables="1" htmlFormat="all">
      <tables count="1">
        <x v="1"/>
      </tables>
    </webPr>
  </connection>
  <connection id="4" name="Anslutning100" type="4" refreshedVersion="5" background="1" saveData="1">
    <webPr xl2000="1" url="http://kdb-5.liu.se/liu/lith/studiehandboken/action.lasso?&amp;-response=lot_response.lasso&amp;-op=eq&amp;kp_budget_year=2009-op=eq&amp;kp_programkod=I&amp;-op=ct&amp;kp_programprofil=energi" htmlTables="1" htmlFormat="all">
      <tables count="1">
        <x v="1"/>
      </tables>
    </webPr>
  </connection>
  <connection id="5" name="Anslutning101" type="4" refreshedVersion="5" background="1" saveData="1">
    <webPr xl2000="1" url="http://kdb-5.liu.se/liu/lith/studiehandboken/action.lasso?&amp;-response=lot_response.lasso&amp;-op=eq&amp;kp_budget_year=2010-op=eq&amp;kp_programkod=I&amp;-op=ct&amp;kp_programprofil=energi" htmlTables="1" htmlFormat="all">
      <tables count="1">
        <x v="1"/>
      </tables>
    </webPr>
  </connection>
  <connection id="6" name="Anslutning102" type="4" refreshedVersion="5" background="1" saveData="1">
    <webPr xl2000="1" url="http://kdb-5.liu.se/liu/lith/studiehandboken/action.lasso?&amp;-response=lot_response.lasso&amp;-op=eq&amp;kp_budget_year=2011-op=eq&amp;kp_programkod=I&amp;-op=ct&amp;kp_programprofil=energi" htmlTables="1" htmlFormat="all">
      <tables count="1">
        <x v="1"/>
      </tables>
    </webPr>
  </connection>
  <connection id="7" name="Anslutning103" type="4" refreshedVersion="5" background="1" saveData="1">
    <webPr xl2000="1" url="http://kdb-5.liu.se/liu/lith/studiehandboken/action.lasso?&amp;-response=lot_response.lasso&amp;-op=eq&amp;kp_budget_year=2012-op=eq&amp;kp_programkod=I&amp;-op=ct&amp;kp_programprofil=energi" htmlTables="1" htmlFormat="all">
      <tables count="1">
        <x v="1"/>
      </tables>
    </webPr>
  </connection>
  <connection id="8" name="Anslutning104" type="4" refreshedVersion="5" background="1" saveData="1">
    <webPr xl2000="1" url="http://kdb-5.liu.se/liu/lith/studiehandboken/action.lasso?&amp;-response=lot_response.lasso&amp;-op=eq&amp;kp_budget_year=2013-op=eq&amp;kp_programkod=I&amp;-op=ct&amp;kp_programprofil=energi" htmlTables="1" htmlFormat="all">
      <tables count="1">
        <x v="1"/>
      </tables>
    </webPr>
  </connection>
  <connection id="9" name="Anslutning105" type="4" refreshedVersion="5" background="1" saveData="1">
    <webPr xl2000="1" url="http://kdb-5.liu.se/liu/lith/studiehandboken/action.lasso?&amp;-response=lot_response.lasso&amp;-op=eq&amp;kp_budget_year=2014-op=eq&amp;kp_programkod=I&amp;-op=ct&amp;kp_programprofil=energi" htmlTables="1" htmlFormat="all">
      <tables count="1">
        <x v="1"/>
      </tables>
    </webPr>
  </connection>
  <connection id="10" name="Anslutning106" type="4" refreshedVersion="5" background="1" saveData="1">
    <webPr xl2000="1" url="http://kdb-5.liu.se/liu/lith/studiehandboken/action.lasso?&amp;-response=lot_response.lasso&amp;-op=eq&amp;kp_budget_year=2009-op=eq&amp;kp_programkod=I&amp;-op=ct&amp;kp_programprofil=maskin" htmlTables="1" htmlFormat="all">
      <tables count="1">
        <x v="1"/>
      </tables>
    </webPr>
  </connection>
  <connection id="11" name="Anslutning107" type="4" refreshedVersion="5" background="1" saveData="1">
    <webPr xl2000="1" url="http://kdb-5.liu.se/liu/lith/studiehandboken/action.lasso?&amp;-response=lot_response.lasso&amp;-op=eq&amp;kp_budget_year=2010-op=eq&amp;kp_programkod=I&amp;-op=ct&amp;kp_programprofil=maskin" htmlTables="1" htmlFormat="all">
      <tables count="1">
        <x v="1"/>
      </tables>
    </webPr>
  </connection>
  <connection id="12" name="Anslutning108" type="4" refreshedVersion="5" background="1" saveData="1">
    <webPr xl2000="1" url="http://kdb-5.liu.se/liu/lith/studiehandboken/action.lasso?&amp;-response=lot_response.lasso&amp;-op=eq&amp;kp_budget_year=2011-op=eq&amp;kp_programkod=I&amp;-op=ct&amp;kp_programprofil=maskin" htmlTables="1" htmlFormat="all">
      <tables count="1">
        <x v="1"/>
      </tables>
    </webPr>
  </connection>
  <connection id="13" name="Anslutning109" type="4" refreshedVersion="5" background="1" saveData="1">
    <webPr xl2000="1" url="http://kdb-5.liu.se/liu/lith/studiehandboken/action.lasso?&amp;-response=lot_response.lasso&amp;-op=eq&amp;kp_budget_year=2012-op=eq&amp;kp_programkod=I&amp;-op=ct&amp;kp_programprofil=maskin" htmlTables="1" htmlFormat="all">
      <tables count="1">
        <x v="1"/>
      </tables>
    </webPr>
  </connection>
  <connection id="14" name="Anslutning11" type="4" refreshedVersion="5" background="1" saveData="1">
    <webPr xl2000="1" url="http://kdb-5.liu.se/liu/lith/studiehandboken/action.lasso?&amp;-response=lot_response.lasso&amp;-op=eq&amp;kp_budget_year=2012-op=eq&amp;kp_programkod=I&amp;-op=ct&amp;kp_programprofil=energi" htmlTables="1" htmlFormat="all">
      <tables count="1">
        <x v="1"/>
      </tables>
    </webPr>
  </connection>
  <connection id="15" name="Anslutning110" type="4" refreshedVersion="5" background="1" saveData="1">
    <webPr xl2000="1" url="http://kdb-5.liu.se/liu/lith/studiehandboken/action.lasso?&amp;-response=lot_response.lasso&amp;-op=eq&amp;kp_budget_year=2013-op=eq&amp;kp_programkod=I&amp;-op=ct&amp;kp_programprofil=maskin" htmlTables="1" htmlFormat="all">
      <tables count="1">
        <x v="1"/>
      </tables>
    </webPr>
  </connection>
  <connection id="16" name="Anslutning111" type="4" refreshedVersion="5" background="1" saveData="1">
    <webPr xl2000="1" url="http://kdb-5.liu.se/liu/lith/studiehandboken/action.lasso?&amp;-response=lot_response.lasso&amp;-op=eq&amp;kp_budget_year=2014-op=eq&amp;kp_programkod=I&amp;-op=ct&amp;kp_programprofil=maskin" htmlTables="1" htmlFormat="all">
      <tables count="1">
        <x v="1"/>
      </tables>
    </webPr>
  </connection>
  <connection id="17" name="Anslutning112" type="4" refreshedVersion="5" background="1" saveData="1">
    <webPr xl2000="1" url="http://kdb-5.liu.se/liu/lith/studiehandboken/action.lasso?&amp;-response=lot_response_hu.lasso&amp;-op=eq&amp;kp_budget_year=2009-op=eq&amp;kp_programkod=I&amp;-op=ct&amp;kp_programprofil=ei&amp;-Token.homr=Industriell%20ekonomi" htmlTables="1" htmlFormat="all">
      <tables count="1">
        <x v="1"/>
      </tables>
    </webPr>
  </connection>
  <connection id="18" name="Anslutning113" type="4" refreshedVersion="5" background="1" saveData="1">
    <webPr xl2000="1" url="http://kdb-5.liu.se/liu/lith/studiehandboken/action.lasso?&amp;-response=lot_response_hu.lasso&amp;-op=eq&amp;kp_budget_year=2010-op=eq&amp;kp_programkod=I&amp;-op=ct&amp;kp_programprofil=ei&amp;-Token.homr=Industriell%20ekonomi" htmlTables="1" htmlFormat="all">
      <tables count="1">
        <x v="1"/>
      </tables>
    </webPr>
  </connection>
  <connection id="19" name="Anslutning114" type="4" refreshedVersion="5" background="1" saveData="1">
    <webPr xl2000="1" url="http://kdb-5.liu.se/liu/lith/studiehandboken/action.lasso?&amp;-response=lot_response_hu.lasso&amp;-op=eq&amp;kp_budget_year=2011-op=eq&amp;kp_programkod=I&amp;-op=ct&amp;kp_programprofil=ei&amp;-Token.homr=Industriell%20ekonomi" htmlTables="1" htmlFormat="all">
      <tables count="1">
        <x v="1"/>
      </tables>
    </webPr>
  </connection>
  <connection id="20" name="Anslutning115" type="4" refreshedVersion="5" background="1" saveData="1">
    <webPr xl2000="1" url="http://kdb-5.liu.se/liu/lith/studiehandboken/action.lasso?&amp;-response=lot_response_hu.lasso&amp;-op=eq&amp;kp_budget_year=2012-op=eq&amp;kp_programkod=I&amp;-op=ct&amp;kp_programprofil=ei&amp;-Token.homr=Industriell%20ekonomi" htmlTables="1" htmlFormat="all">
      <tables count="1">
        <x v="1"/>
      </tables>
    </webPr>
  </connection>
  <connection id="21" name="Anslutning116" type="4" refreshedVersion="5" background="1" saveData="1">
    <webPr xl2000="1" url="http://kdb-5.liu.se/liu/lith/studiehandboken/action.lasso?&amp;-response=lot_response_hu.lasso&amp;-op=eq&amp;kp_budget_year=2013-op=eq&amp;kp_programkod=I&amp;-op=ct&amp;kp_programprofil=ei&amp;-Token.homr=Industriell%20ekonomi" htmlTables="1" htmlFormat="all">
      <tables count="1">
        <x v="1"/>
      </tables>
    </webPr>
  </connection>
  <connection id="22" name="Anslutning117" type="4" refreshedVersion="5" background="1" saveData="1">
    <webPr xl2000="1" url="http://kdb-5.liu.se/liu/lith/studiehandboken/action.lasso?&amp;-response=lot_response_hu.lasso&amp;-op=eq&amp;kp_budget_year=2014-op=eq&amp;kp_programkod=I&amp;-op=ct&amp;kp_programprofil=ei&amp;-Token.homr=Industriell%20ekonomi" htmlTables="1" htmlFormat="all">
      <tables count="1">
        <x v="1"/>
      </tables>
    </webPr>
  </connection>
  <connection id="23" name="Anslutning118" type="4" refreshedVersion="5" background="1" saveData="1">
    <webPr xl2000="1" url="http://kdb-5.liu.se/liu/lith/studiehandboken/action.lasso?&amp;-response=lot_response_hu.lasso&amp;-op=eq&amp;kp_budget_year=2009-op=eq&amp;kp_programkod=I&amp;-op=ct&amp;kp_programprofil=fin&amp;-Token.homr=Industriell%20ekonomi" htmlTables="1" htmlFormat="all">
      <tables count="1">
        <x v="1"/>
      </tables>
    </webPr>
  </connection>
  <connection id="24" name="Anslutning119" type="4" refreshedVersion="5" background="1" saveData="1">
    <webPr xl2000="1" url="http://kdb-5.liu.se/liu/lith/studiehandboken/action.lasso?&amp;-response=lot_response_hu.lasso&amp;-op=eq&amp;kp_budget_year=2010-op=eq&amp;kp_programkod=I&amp;-op=ct&amp;kp_programprofil=fin&amp;-Token.homr=Industriell%20ekonomi" htmlTables="1" htmlFormat="all">
      <tables count="1">
        <x v="1"/>
      </tables>
    </webPr>
  </connection>
  <connection id="25" name="Anslutning12" type="4" refreshedVersion="5" background="1" saveData="1">
    <webPr xl2000="1" url="http://kdb-5.liu.se/liu/lith/studiehandboken/action.lasso?&amp;-response=lot_response.lasso&amp;-op=eq&amp;kp_budget_year=2013-op=eq&amp;kp_programkod=I&amp;-op=ct&amp;kp_programprofil=energi" htmlTables="1" htmlFormat="all">
      <tables count="1">
        <x v="1"/>
      </tables>
    </webPr>
  </connection>
  <connection id="26" name="Anslutning120" type="4" refreshedVersion="5" background="1" saveData="1">
    <webPr xl2000="1" url="http://kdb-5.liu.se/liu/lith/studiehandboken/action.lasso?&amp;-response=lot_response_hu.lasso&amp;-op=eq&amp;kp_budget_year=2011-op=eq&amp;kp_programkod=I&amp;-op=ct&amp;kp_programprofil=fin&amp;-Token.homr=Industriell%20ekonomi" htmlTables="1" htmlFormat="all">
      <tables count="1">
        <x v="1"/>
      </tables>
    </webPr>
  </connection>
  <connection id="27" name="Anslutning121" type="4" refreshedVersion="5" background="1" saveData="1">
    <webPr xl2000="1" url="http://kdb-5.liu.se/liu/lith/studiehandboken/action.lasso?&amp;-response=lot_response_hu.lasso&amp;-op=eq&amp;kp_budget_year=2012-op=eq&amp;kp_programkod=I&amp;-op=ct&amp;kp_programprofil=fin&amp;-Token.homr=Industriell%20ekonomi" htmlTables="1" htmlFormat="all">
      <tables count="1">
        <x v="1"/>
      </tables>
    </webPr>
  </connection>
  <connection id="28" name="Anslutning122" type="4" refreshedVersion="5" background="1" saveData="1">
    <webPr xl2000="1" url="http://kdb-5.liu.se/liu/lith/studiehandboken/action.lasso?&amp;-response=lot_response_hu.lasso&amp;-op=eq&amp;kp_budget_year=2013-op=eq&amp;kp_programkod=I&amp;-op=ct&amp;kp_programprofil=fin&amp;-Token.homr=Industriell%20ekonomi" htmlTables="1" htmlFormat="all">
      <tables count="1">
        <x v="1"/>
      </tables>
    </webPr>
  </connection>
  <connection id="29" name="Anslutning123" type="4" refreshedVersion="5" background="1" saveData="1">
    <webPr xl2000="1" url="http://kdb-5.liu.se/liu/lith/studiehandboken/action.lasso?&amp;-response=lot_response_hu.lasso&amp;-op=eq&amp;kp_budget_year=2014-op=eq&amp;kp_programkod=I&amp;-op=ct&amp;kp_programprofil=fin&amp;-Token.homr=Industriell%20ekonomi" htmlTables="1" htmlFormat="all">
      <tables count="1">
        <x v="1"/>
      </tables>
    </webPr>
  </connection>
  <connection id="30" name="Anslutning124" type="4" refreshedVersion="5" background="1" saveData="1">
    <webPr xl2000="1" url="http://kdb-5.liu.se/liu/lith/studiehandboken/action.lasso?&amp;-response=lot_response_hu.lasso&amp;-op=eq&amp;kp_budget_year=2009-op=eq&amp;kp_programkod=I&amp;-op=ct&amp;kp_programprofil=imf&amp;-Token.homr=Industriell%20ekonomi" htmlTables="1" htmlFormat="all">
      <tables count="1">
        <x v="1"/>
      </tables>
    </webPr>
  </connection>
  <connection id="31" name="Anslutning125" type="4" refreshedVersion="5" background="1" saveData="1">
    <webPr xl2000="1" url="http://kdb-5.liu.se/liu/lith/studiehandboken/action.lasso?&amp;-response=lot_response_hu.lasso&amp;-op=eq&amp;kp_budget_year=2010-op=eq&amp;kp_programkod=I&amp;-op=ct&amp;kp_programprofil=imf&amp;-Token.homr=Industriell%20ekonomi" htmlTables="1" htmlFormat="all">
      <tables count="1">
        <x v="1"/>
      </tables>
    </webPr>
  </connection>
  <connection id="32" name="Anslutning126" type="4" refreshedVersion="5" background="1" saveData="1">
    <webPr xl2000="1" url="http://kdb-5.liu.se/liu/lith/studiehandboken/action.lasso?&amp;-response=lot_response_hu.lasso&amp;-op=eq&amp;kp_budget_year=2011-op=eq&amp;kp_programkod=I&amp;-op=ct&amp;kp_programprofil=imf&amp;-Token.homr=Industriell%20ekonomi" htmlTables="1" htmlFormat="all">
      <tables count="1">
        <x v="1"/>
      </tables>
    </webPr>
  </connection>
  <connection id="33" name="Anslutning127" type="4" refreshedVersion="5" background="1" saveData="1">
    <webPr xl2000="1" url="http://kdb-5.liu.se/liu/lith/studiehandboken/action.lasso?&amp;-response=lot_response_hu.lasso&amp;-op=eq&amp;kp_budget_year=2012-op=eq&amp;kp_programkod=I&amp;-op=ct&amp;kp_programprofil=imf&amp;-Token.homr=Industriell%20ekonomi" htmlTables="1" htmlFormat="all">
      <tables count="1">
        <x v="1"/>
      </tables>
    </webPr>
  </connection>
  <connection id="34" name="Anslutning128" type="4" refreshedVersion="5" background="1" saveData="1">
    <webPr xl2000="1" url="http://kdb-5.liu.se/liu/lith/studiehandboken/action.lasso?&amp;-response=lot_response_hu.lasso&amp;-op=eq&amp;kp_budget_year=2013-op=eq&amp;kp_programkod=I&amp;-op=ct&amp;kp_programprofil=imf&amp;-Token.homr=Industriell%20ekonomi" htmlTables="1" htmlFormat="all">
      <tables count="1">
        <x v="1"/>
      </tables>
    </webPr>
  </connection>
  <connection id="35" name="Anslutning129" type="4" refreshedVersion="5" background="1" saveData="1">
    <webPr xl2000="1" url="http://kdb-5.liu.se/liu/lith/studiehandboken/action.lasso?&amp;-response=lot_response_hu.lasso&amp;-op=eq&amp;kp_budget_year=2014-op=eq&amp;kp_programkod=I&amp;-op=ct&amp;kp_programprofil=imf&amp;-Token.homr=Industriell%20ekonomi" htmlTables="1" htmlFormat="all">
      <tables count="1">
        <x v="1"/>
      </tables>
    </webPr>
  </connection>
  <connection id="36" name="Anslutning13" type="4" refreshedVersion="5" background="1" saveData="1">
    <webPr xl2000="1" url="http://kdb-5.liu.se/liu/lith/studiehandboken/action.lasso?&amp;-response=lot_response.lasso&amp;-op=eq&amp;kp_budget_year=2014-op=eq&amp;kp_programkod=I&amp;-op=ct&amp;kp_programprofil=energi" htmlTables="1" htmlFormat="all">
      <tables count="1">
        <x v="1"/>
      </tables>
    </webPr>
  </connection>
  <connection id="37" name="Anslutning130" type="4" refreshedVersion="5" background="1" saveData="1">
    <webPr xl2000="1" url="http://kdb-5.liu.se/liu/lith/studiehandboken/action.lasso?&amp;-response=lot_response_hu.lasso&amp;-op=eq&amp;kp_budget_year=2009-op=eq&amp;kp_programkod=I&amp;-op=ct&amp;kp_programprofil=kvu&amp;-Token.homr=Industriell%20ekonomi" htmlTables="1" htmlFormat="all">
      <tables count="1">
        <x v="1"/>
      </tables>
    </webPr>
  </connection>
  <connection id="38" name="Anslutning131" type="4" refreshedVersion="5" background="1" saveData="1">
    <webPr xl2000="1" url="http://kdb-5.liu.se/liu/lith/studiehandboken/action.lasso?&amp;-response=lot_response_hu.lasso&amp;-op=eq&amp;kp_budget_year=2010-op=eq&amp;kp_programkod=I&amp;-op=ct&amp;kp_programprofil=kvu&amp;-Token.homr=Industriell%20ekonomi" htmlTables="1" htmlFormat="all">
      <tables count="1">
        <x v="1"/>
      </tables>
    </webPr>
  </connection>
  <connection id="39" name="Anslutning132" type="4" refreshedVersion="5" background="1" saveData="1">
    <webPr xl2000="1" url="http://kdb-5.liu.se/liu/lith/studiehandboken/action.lasso?&amp;-response=lot_response_hu.lasso&amp;-op=eq&amp;kp_budget_year=2011-op=eq&amp;kp_programkod=I&amp;-op=ct&amp;kp_programprofil=kvu&amp;-Token.homr=Industriell%20ekonomi" htmlTables="1" htmlFormat="all">
      <tables count="1">
        <x v="1"/>
      </tables>
    </webPr>
  </connection>
  <connection id="40" name="Anslutning133" type="4" refreshedVersion="5" background="1" saveData="1">
    <webPr xl2000="1" url="http://kdb-5.liu.se/liu/lith/studiehandboken/action.lasso?&amp;-response=lot_response_hu.lasso&amp;-op=eq&amp;kp_budget_year=2012-op=eq&amp;kp_programkod=I&amp;-op=ct&amp;kp_programprofil=kvu&amp;-Token.homr=Industriell%20ekonomi" htmlTables="1" htmlFormat="all">
      <tables count="1">
        <x v="1"/>
      </tables>
    </webPr>
  </connection>
  <connection id="41" name="Anslutning134" type="4" refreshedVersion="5" background="1" saveData="1">
    <webPr xl2000="1" url="http://kdb-5.liu.se/liu/lith/studiehandboken/action.lasso?&amp;-response=lot_response_hu.lasso&amp;-op=eq&amp;kp_budget_year=2013-op=eq&amp;kp_programkod=I&amp;-op=ct&amp;kp_programprofil=kvu&amp;-Token.homr=Industriell%20ekonomi" htmlTables="1" htmlFormat="all">
      <tables count="1">
        <x v="1"/>
      </tables>
    </webPr>
  </connection>
  <connection id="42" name="Anslutning135" type="4" refreshedVersion="5" background="1" saveData="1">
    <webPr xl2000="1" url="http://kdb-5.liu.se/liu/lith/studiehandboken/action.lasso?&amp;-response=lot_response_hu.lasso&amp;-op=eq&amp;kp_budget_year=2014-op=eq&amp;kp_programkod=I&amp;-op=ct&amp;kp_programprofil=kvu&amp;-Token.homr=Industriell%20ekonomi" htmlTables="1" htmlFormat="all">
      <tables count="1">
        <x v="1"/>
      </tables>
    </webPr>
  </connection>
  <connection id="43" name="Anslutning136" type="4" refreshedVersion="5" background="1" saveData="1">
    <webPr xl2000="1" url="http://kdb-5.liu.se/liu/lith/studiehandboken/action.lasso?&amp;-response=lot_response_hu.lasso&amp;-op=eq&amp;kp_budget_year=2009-op=eq&amp;kp_programkod=I&amp;-op=ct&amp;kp_programprofil=log&amp;-Token.homr=Industriell%20ekonomi" htmlTables="1" htmlFormat="all">
      <tables count="1">
        <x v="1"/>
      </tables>
    </webPr>
  </connection>
  <connection id="44" name="Anslutning137" type="4" refreshedVersion="5" background="1" saveData="1">
    <webPr xl2000="1" url="http://kdb-5.liu.se/liu/lith/studiehandboken/action.lasso?&amp;-response=lot_response_hu.lasso&amp;-op=eq&amp;kp_budget_year=2010-op=eq&amp;kp_programkod=I&amp;-op=ct&amp;kp_programprofil=log&amp;-Token.homr=Industriell%20ekonomi" htmlTables="1" htmlFormat="all">
      <tables count="1">
        <x v="1"/>
      </tables>
    </webPr>
  </connection>
  <connection id="45" name="Anslutning138" type="4" refreshedVersion="5" background="1" saveData="1">
    <webPr xl2000="1" url="http://kdb-5.liu.se/liu/lith/studiehandboken/action.lasso?&amp;-response=lot_response_hu.lasso&amp;-op=eq&amp;kp_budget_year=2011-op=eq&amp;kp_programkod=I&amp;-op=ct&amp;kp_programprofil=log&amp;-Token.homr=Industriell%20ekonomi" htmlTables="1" htmlFormat="all">
      <tables count="1">
        <x v="1"/>
      </tables>
    </webPr>
  </connection>
  <connection id="46" name="Anslutning139" type="4" refreshedVersion="5" background="1" saveData="1">
    <webPr xl2000="1" url="http://kdb-5.liu.se/liu/lith/studiehandboken/action.lasso?&amp;-response=lot_response_hu.lasso&amp;-op=eq&amp;kp_budget_year=2012-op=eq&amp;kp_programkod=I&amp;-op=ct&amp;kp_programprofil=log&amp;-Token.homr=Industriell%20ekonomi" htmlTables="1" htmlFormat="all">
      <tables count="1">
        <x v="1"/>
      </tables>
    </webPr>
  </connection>
  <connection id="47" name="Anslutning14" type="4" refreshedVersion="5" background="1" saveData="1">
    <webPr xl2000="1" url="http://kdb-5.liu.se/liu/lith/studiehandboken/action.lasso?&amp;-response=lot_response.lasso&amp;-op=eq&amp;kp_budget_year=2009-op=eq&amp;kp_programkod=I&amp;-op=ct&amp;kp_programprofil=bio" htmlTables="1" htmlFormat="all">
      <tables count="1">
        <x v="1"/>
      </tables>
    </webPr>
  </connection>
  <connection id="48" name="Anslutning140" type="4" refreshedVersion="5" background="1" saveData="1">
    <webPr xl2000="1" url="http://kdb-5.liu.se/liu/lith/studiehandboken/action.lasso?&amp;-response=lot_response_hu.lasso&amp;-op=eq&amp;kp_budget_year=2013-op=eq&amp;kp_programkod=I&amp;-op=ct&amp;kp_programprofil=log&amp;-Token.homr=Industriell%20ekonomi" htmlTables="1" htmlFormat="all">
      <tables count="1">
        <x v="1"/>
      </tables>
    </webPr>
  </connection>
  <connection id="49" name="Anslutning141" type="4" refreshedVersion="5" background="1" saveData="1">
    <webPr xl2000="1" url="http://kdb-5.liu.se/liu/lith/studiehandboken/action.lasso?&amp;-response=lot_response_hu.lasso&amp;-op=eq&amp;kp_budget_year=2014-op=eq&amp;kp_programkod=I&amp;-op=ct&amp;kp_programprofil=log&amp;-Token.homr=Industriell%20ekonomi" htmlTables="1" htmlFormat="all">
      <tables count="1">
        <x v="1"/>
      </tables>
    </webPr>
  </connection>
  <connection id="50" name="Anslutning142" type="4" refreshedVersion="5" background="1" saveData="1">
    <webPr xl2000="1" url="http://kdb-5.liu.se/liu/lith/studiehandboken/action.lasso?&amp;-response=lot_response_hu.lasso&amp;-op=eq&amp;kp_budget_year=2009-op=eq&amp;kp_programkod=I&amp;-op=ct&amp;kp_programprofil=pl&amp;-Token.homr=Industriell%20ekonomi" htmlTables="1" htmlFormat="all">
      <tables count="1">
        <x v="1"/>
      </tables>
    </webPr>
  </connection>
  <connection id="51" name="Anslutning143" type="4" refreshedVersion="5" background="1" saveData="1">
    <webPr xl2000="1" url="http://kdb-5.liu.se/liu/lith/studiehandboken/action.lasso?&amp;-response=lot_response_hu.lasso&amp;-op=eq&amp;kp_budget_year=2010-op=eq&amp;kp_programkod=I&amp;-op=ct&amp;kp_programprofil=pl&amp;-Token.homr=Industriell%20ekonomi" htmlTables="1" htmlFormat="all">
      <tables count="1">
        <x v="1"/>
      </tables>
    </webPr>
  </connection>
  <connection id="52" name="Anslutning144" type="4" refreshedVersion="5" background="1" saveData="1">
    <webPr xl2000="1" url="http://kdb-5.liu.se/liu/lith/studiehandboken/action.lasso?&amp;-response=lot_response_hu.lasso&amp;-op=eq&amp;kp_budget_year=2011-op=eq&amp;kp_programkod=I&amp;-op=ct&amp;kp_programprofil=pl&amp;-Token.homr=Industriell%20ekonomi" htmlTables="1" htmlFormat="all">
      <tables count="1">
        <x v="1"/>
      </tables>
    </webPr>
  </connection>
  <connection id="53" name="Anslutning145" type="4" refreshedVersion="5" background="1" saveData="1">
    <webPr xl2000="1" url="http://kdb-5.liu.se/liu/lith/studiehandboken/action.lasso?&amp;-response=lot_response_hu.lasso&amp;-op=eq&amp;kp_budget_year=2012-op=eq&amp;kp_programkod=I&amp;-op=ct&amp;kp_programprofil=pl&amp;-Token.homr=Industriell%20ekonomi" htmlTables="1" htmlFormat="all">
      <tables count="1">
        <x v="1"/>
      </tables>
    </webPr>
  </connection>
  <connection id="54" name="Anslutning146" type="4" refreshedVersion="5" background="1" saveData="1">
    <webPr xl2000="1" url="http://kdb-5.liu.se/liu/lith/studiehandboken/action.lasso?&amp;-response=lot_response_hu.lasso&amp;-op=eq&amp;kp_budget_year=2013-op=eq&amp;kp_programkod=I&amp;-op=ct&amp;kp_programprofil=pl&amp;-Token.homr=Industriell%20ekonomi" htmlTables="1" htmlFormat="all">
      <tables count="1">
        <x v="1"/>
      </tables>
    </webPr>
  </connection>
  <connection id="55" name="Anslutning147" type="4" refreshedVersion="5" background="1" saveData="1">
    <webPr xl2000="1" url="http://kdb-5.liu.se/liu/lith/studiehandboken/action.lasso?&amp;-response=lot_response_hu.lasso&amp;-op=eq&amp;kp_budget_year=2014-op=eq&amp;kp_programkod=I&amp;-op=ct&amp;kp_programprofil=pl&amp;-Token.homr=Industriell%20ekonomi" htmlTables="1" htmlFormat="all">
      <tables count="1">
        <x v="1"/>
      </tables>
    </webPr>
  </connection>
  <connection id="56" name="Anslutning148" type="4" refreshedVersion="5" background="1" saveData="1">
    <webPr xl2000="1" url="http://kdb-5.liu.se/liu/lith/studiehandboken/action.lasso?&amp;-response=lot_response_hu.lasso&amp;-op=eq&amp;kp_budget_year=2009-op=eq&amp;kp_programkod=I&amp;-op=ct&amp;kp_programprofil=pie&amp;-Token.homr=Industriell%20ekonomi" htmlTables="1" htmlFormat="all">
      <tables count="1">
        <x v="1"/>
      </tables>
    </webPr>
  </connection>
  <connection id="57" name="Anslutning149" type="4" refreshedVersion="5" background="1" saveData="1">
    <webPr xl2000="1" url="http://kdb-5.liu.se/liu/lith/studiehandboken/action.lasso?&amp;-response=lot_response_hu.lasso&amp;-op=eq&amp;kp_budget_year=2010-op=eq&amp;kp_programkod=I&amp;-op=ct&amp;kp_programprofil=pie&amp;-Token.homr=Industriell%20ekonomi" htmlTables="1" htmlFormat="all">
      <tables count="1">
        <x v="1"/>
      </tables>
    </webPr>
  </connection>
  <connection id="58" name="Anslutning15" type="4" refreshedVersion="5" background="1" saveData="1">
    <webPr xl2000="1" url="http://kdb-5.liu.se/liu/lith/studiehandboken/action.lasso?&amp;-response=lot_response.lasso&amp;-op=eq&amp;kp_budget_year=2010-op=eq&amp;kp_programkod=I&amp;-op=ct&amp;kp_programprofil=bio" htmlTables="1" htmlFormat="all">
      <tables count="1">
        <x v="1"/>
      </tables>
    </webPr>
  </connection>
  <connection id="59" name="Anslutning150" type="4" refreshedVersion="5" background="1" saveData="1">
    <webPr xl2000="1" url="http://kdb-5.liu.se/liu/lith/studiehandboken/action.lasso?&amp;-response=lot_response_hu.lasso&amp;-op=eq&amp;kp_budget_year=2011-op=eq&amp;kp_programkod=I&amp;-op=ct&amp;kp_programprofil=pie&amp;-Token.homr=Industriell%20ekonomi" htmlTables="1" htmlFormat="all">
      <tables count="1">
        <x v="1"/>
      </tables>
    </webPr>
  </connection>
  <connection id="60" name="Anslutning151" type="4" refreshedVersion="5" background="1" saveData="1">
    <webPr xl2000="1" url="http://kdb-5.liu.se/liu/lith/studiehandboken/action.lasso?&amp;-response=lot_response_hu.lasso&amp;-op=eq&amp;kp_budget_year=2012-op=eq&amp;kp_programkod=I&amp;-op=ct&amp;kp_programprofil=pie&amp;-Token.homr=Industriell%20ekonomi" htmlTables="1" htmlFormat="all">
      <tables count="1">
        <x v="1"/>
      </tables>
    </webPr>
  </connection>
  <connection id="61" name="Anslutning152" type="4" refreshedVersion="5" background="1" saveData="1">
    <webPr xl2000="1" url="http://kdb-5.liu.se/liu/lith/studiehandboken/action.lasso?&amp;-response=lot_response_hu.lasso&amp;-op=eq&amp;kp_budget_year=2013-op=eq&amp;kp_programkod=I&amp;-op=ct&amp;kp_programprofil=pie&amp;-Token.homr=Industriell%20ekonomi" htmlTables="1" htmlFormat="all">
      <tables count="1">
        <x v="1"/>
      </tables>
    </webPr>
  </connection>
  <connection id="62" name="Anslutning153" type="4" refreshedVersion="5" background="1" saveData="1">
    <webPr xl2000="1" url="http://kdb-5.liu.se/liu/lith/studiehandboken/action.lasso?&amp;-response=lot_response_hu.lasso&amp;-op=eq&amp;kp_budget_year=2014-op=eq&amp;kp_programkod=I&amp;-op=ct&amp;kp_programprofil=pie&amp;-Token.homr=Industriell%20ekonomi" htmlTables="1" htmlFormat="all">
      <tables count="1">
        <x v="1"/>
      </tables>
    </webPr>
  </connection>
  <connection id="63" name="Anslutning154" type="4" refreshedVersion="5" background="1" saveData="1">
    <webPr xl2000="1" url="http://kdb-5.liu.se/liu/lith/studiehandboken/action.lasso?&amp;-response=lot_response_hu.lasso&amp;-op=eq&amp;kp_budget_year=2009-op=eq&amp;kp_programkod=I&amp;-op=ct&amp;kp_programprofil=ss&amp;-Token.homr=Industriell%20ekonomi" htmlTables="1" htmlFormat="all">
      <tables count="1">
        <x v="1"/>
      </tables>
    </webPr>
  </connection>
  <connection id="64" name="Anslutning155" type="4" refreshedVersion="5" background="1" saveData="1">
    <webPr xl2000="1" url="http://kdb-5.liu.se/liu/lith/studiehandboken/action.lasso?&amp;-response=lot_response_hu.lasso&amp;-op=eq&amp;kp_budget_year=2010-op=eq&amp;kp_programkod=I&amp;-op=ct&amp;kp_programprofil=ss&amp;-Token.homr=Industriell%20ekonomi" htmlTables="1" htmlFormat="all">
      <tables count="1">
        <x v="1"/>
      </tables>
    </webPr>
  </connection>
  <connection id="65" name="Anslutning156" type="4" refreshedVersion="5" background="1" saveData="1">
    <webPr xl2000="1" url="http://kdb-5.liu.se/liu/lith/studiehandboken/action.lasso?&amp;-response=lot_response_hu.lasso&amp;-op=eq&amp;kp_budget_year=2011-op=eq&amp;kp_programkod=I&amp;-op=ct&amp;kp_programprofil=ss&amp;-Token.homr=Industriell%20ekonomi" htmlTables="1" htmlFormat="all">
      <tables count="1">
        <x v="1"/>
      </tables>
    </webPr>
  </connection>
  <connection id="66" name="Anslutning157" type="4" refreshedVersion="5" background="1" saveData="1">
    <webPr xl2000="1" url="http://kdb-5.liu.se/liu/lith/studiehandboken/action.lasso?&amp;-response=lot_response_hu.lasso&amp;-op=eq&amp;kp_budget_year=2012-op=eq&amp;kp_programkod=I&amp;-op=ct&amp;kp_programprofil=ss&amp;-Token.homr=Industriell%20ekonomi" htmlTables="1" htmlFormat="all">
      <tables count="1">
        <x v="1"/>
      </tables>
    </webPr>
  </connection>
  <connection id="67" name="Anslutning158" type="4" refreshedVersion="5" background="1" saveData="1">
    <webPr xl2000="1" url="http://kdb-5.liu.se/liu/lith/studiehandboken/action.lasso?&amp;-response=lot_response_hu.lasso&amp;-op=eq&amp;kp_budget_year=2013-op=eq&amp;kp_programkod=I&amp;-op=ct&amp;kp_programprofil=ss&amp;-Token.homr=Industriell%20ekonomi" htmlTables="1" htmlFormat="all">
      <tables count="1">
        <x v="1"/>
      </tables>
    </webPr>
  </connection>
  <connection id="68" name="Anslutning159" type="4" refreshedVersion="5" background="1" saveData="1">
    <webPr xl2000="1" url="http://kdb-5.liu.se/liu/lith/studiehandboken/action.lasso?&amp;-response=lot_response_hu.lasso&amp;-op=eq&amp;kp_budget_year=2014-op=eq&amp;kp_programkod=I&amp;-op=ct&amp;kp_programprofil=ss&amp;-Token.homr=Industriell%20ekonomi" htmlTables="1" htmlFormat="all">
      <tables count="1">
        <x v="1"/>
      </tables>
    </webPr>
  </connection>
  <connection id="69" name="Anslutning16" type="4" refreshedVersion="5" background="1" saveData="1">
    <webPr xl2000="1" url="http://kdb-5.liu.se/liu/lith/studiehandboken/action.lasso?&amp;-response=lot_response.lasso&amp;-op=eq&amp;kp_budget_year=2011-op=eq&amp;kp_programkod=I&amp;-op=ct&amp;kp_programprofil=bio" htmlTables="1" htmlFormat="all">
      <tables count="1">
        <x v="1"/>
      </tables>
    </webPr>
  </connection>
  <connection id="70" name="Anslutning160" type="4" refreshedVersion="5" background="1" saveData="1">
    <webPr xl2000="1" url="http://kdb-5.liu.se/liu/lith/studiehandboken/action.lasso?&amp;-response=lot_response.lasso&amp;-op=eq&amp;kp_budget_year=2009-op=eq&amp;kp_programkod=I&amp;-op=eq&amp;kp_programprofil=I&amp;-op=gt&amp;kp_termin=6" htmlTables="1" htmlFormat="all">
      <tables count="1">
        <x v="1"/>
      </tables>
    </webPr>
  </connection>
  <connection id="71" name="Anslutning161" type="4" refreshedVersion="5" background="1" saveData="1">
    <webPr xl2000="1" url="http://kdb-5.liu.se/liu/lith/studiehandboken/action.lasso?&amp;-response=lot_response.lasso&amp;-op=eq&amp;kp_budget_year=2010-op=eq&amp;kp_programkod=I&amp;-op=eq&amp;kp_programprofil=I&amp;-op=gt&amp;kp_termin=6" htmlTables="1" htmlFormat="all">
      <tables count="1">
        <x v="1"/>
      </tables>
    </webPr>
  </connection>
  <connection id="72" name="Anslutning162" type="4" refreshedVersion="5" background="1" saveData="1">
    <webPr xl2000="1" url="http://kdb-5.liu.se/liu/lith/studiehandboken/action.lasso?&amp;-response=lot_response.lasso&amp;-op=eq&amp;kp_budget_year=2011-op=eq&amp;kp_programkod=I&amp;-op=eq&amp;kp_programprofil=I&amp;-op=gt&amp;kp_termin=6" htmlTables="1" htmlFormat="all">
      <tables count="1">
        <x v="1"/>
      </tables>
    </webPr>
  </connection>
  <connection id="73" name="Anslutning163" type="4" refreshedVersion="5" background="1" saveData="1">
    <webPr xl2000="1" url="http://kdb-5.liu.se/liu/lith/studiehandboken/action.lasso?&amp;-response=lot_response.lasso&amp;-op=eq&amp;kp_budget_year=2012-op=eq&amp;kp_programkod=I&amp;-op=eq&amp;kp_programprofil=I&amp;-op=gt&amp;kp_termin=6" htmlTables="1" htmlFormat="all">
      <tables count="1">
        <x v="1"/>
      </tables>
    </webPr>
  </connection>
  <connection id="74" name="Anslutning164" type="4" refreshedVersion="5" background="1" saveData="1">
    <webPr xl2000="1" url="http://kdb-5.liu.se/liu/lith/studiehandboken/action.lasso?&amp;-response=lot_response.lasso&amp;-op=eq&amp;kp_budget_year=2013-op=eq&amp;kp_programkod=I&amp;-op=eq&amp;kp_programprofil=I&amp;-op=gt&amp;kp_termin=6" htmlTables="1" htmlFormat="all">
      <tables count="1">
        <x v="1"/>
      </tables>
    </webPr>
  </connection>
  <connection id="75" name="Anslutning165" type="4" refreshedVersion="5" background="1" saveData="1">
    <webPr xl2000="1" url="http://kdb-5.liu.se/liu/lith/studiehandboken/action.lasso?&amp;-response=lot_response.lasso&amp;-op=eq&amp;kp_budget_year=2014-op=eq&amp;kp_programkod=I&amp;-op=eq&amp;kp_programprofil=I&amp;-op=gt&amp;kp_termin=6" htmlTables="1" htmlFormat="all">
      <tables count="1">
        <x v="1"/>
      </tables>
    </webPr>
  </connection>
  <connection id="76" name="Anslutning166" type="4" refreshedVersion="5" background="1" saveData="1">
    <webPr xl2000="1" url="http://kdb-5.liu.se/liu/lith/studiehandboken/action.lasso?&amp;-response=lot_response.lasso&amp;-op=eq&amp;kp_budget_year=2009-op=eq&amp;kp_programkod=I&amp;-op=eq&amp;kp_programprofil=I&amp;-op=lt&amp;kp_termin=7" htmlTables="1" htmlFormat="all">
      <tables count="1">
        <x v="1"/>
      </tables>
    </webPr>
  </connection>
  <connection id="77" name="Anslutning167" type="4" refreshedVersion="5" background="1" saveData="1">
    <webPr xl2000="1" url="http://kdb-5.liu.se/liu/lith/studiehandboken/action.lasso?&amp;-response=lot_response.lasso&amp;-op=eq&amp;kp_budget_year=2010-op=eq&amp;kp_programkod=I&amp;-op=eq&amp;kp_programprofil=I&amp;-op=lt&amp;kp_termin=7" htmlTables="1" htmlFormat="all">
      <tables count="1">
        <x v="1"/>
      </tables>
    </webPr>
  </connection>
  <connection id="78" name="Anslutning168" type="4" refreshedVersion="5" background="1" saveData="1">
    <webPr xl2000="1" url="http://kdb-5.liu.se/liu/lith/studiehandboken/action.lasso?&amp;-response=lot_response.lasso&amp;-op=eq&amp;kp_budget_year=2011-op=eq&amp;kp_programkod=I&amp;-op=eq&amp;kp_programprofil=I&amp;-op=lt&amp;kp_termin=7" htmlTables="1" htmlFormat="all">
      <tables count="1">
        <x v="1"/>
      </tables>
    </webPr>
  </connection>
  <connection id="79" name="Anslutning169" type="4" refreshedVersion="5" background="1" saveData="1">
    <webPr xl2000="1" url="http://kdb-5.liu.se/liu/lith/studiehandboken/action.lasso?&amp;-response=lot_response.lasso&amp;-op=eq&amp;kp_budget_year=2012-op=eq&amp;kp_programkod=I&amp;-op=eq&amp;kp_programprofil=I&amp;-op=lt&amp;kp_termin=7" htmlTables="1" htmlFormat="all">
      <tables count="1">
        <x v="1"/>
      </tables>
    </webPr>
  </connection>
  <connection id="80" name="Anslutning17" type="4" refreshedVersion="5" background="1" saveData="1">
    <webPr xl2000="1" url="http://kdb-5.liu.se/liu/lith/studiehandboken/action.lasso?&amp;-response=lot_response.lasso&amp;-op=eq&amp;kp_budget_year=2012-op=eq&amp;kp_programkod=I&amp;-op=ct&amp;kp_programprofil=bio" htmlTables="1" htmlFormat="all">
      <tables count="1">
        <x v="1"/>
      </tables>
    </webPr>
  </connection>
  <connection id="81" name="Anslutning170" type="4" refreshedVersion="5" background="1" saveData="1">
    <webPr xl2000="1" url="http://kdb-5.liu.se/liu/lith/studiehandboken/action.lasso?&amp;-response=lot_response.lasso&amp;-op=eq&amp;kp_budget_year=2013-op=eq&amp;kp_programkod=I&amp;-op=eq&amp;kp_programprofil=I&amp;-op=lt&amp;kp_termin=7" htmlTables="1" htmlFormat="all">
      <tables count="1">
        <x v="1"/>
      </tables>
    </webPr>
  </connection>
  <connection id="82" name="Anslutning171" type="4" refreshedVersion="5" background="1" saveData="1">
    <webPr xl2000="1" url="http://kdb-5.liu.se/liu/lith/studiehandboken/action.lasso?&amp;-response=lot_response.lasso&amp;-op=eq&amp;kp_budget_year=2014-op=eq&amp;kp_programkod=I&amp;-op=eq&amp;kp_programprofil=I&amp;-op=lt&amp;kp_termin=7" htmlTables="1" htmlFormat="all">
      <tables count="1">
        <x v="1"/>
      </tables>
    </webPr>
  </connection>
  <connection id="83" name="Anslutning172" type="4" refreshedVersion="5" background="1" saveData="1">
    <webPr xl2000="1" url="http://kdb-5.liu.se/liu/lith/studiehandboken/action.lasso?&amp;-response=lot_response_hu.lasso&amp;-op=eq&amp;kp_budget_year=2009-op=eq&amp;kp_programkod=M&amp;-op=ct&amp;kp_programprofil=esmt&amp;-Token.homr=Maskinteknik" htmlTables="1" htmlFormat="all">
      <tables count="1">
        <x v="1"/>
      </tables>
    </webPr>
  </connection>
  <connection id="84" name="Anslutning173" type="4" refreshedVersion="5" background="1" saveData="1">
    <webPr xl2000="1" url="http://kdb-5.liu.se/liu/lith/studiehandboken/action.lasso?&amp;-response=lot_response_hu.lasso&amp;-op=eq&amp;kp_budget_year=2009-op=eq&amp;kp_programkod=M&amp;-op=ct&amp;kp_programprofil=esmt&amp;-Token.homr=Maskinteknik" htmlTables="1" htmlFormat="all">
      <tables count="1">
        <x v="1"/>
      </tables>
    </webPr>
  </connection>
  <connection id="85" name="Anslutning174" type="4" refreshedVersion="5" background="1" saveData="1">
    <webPr xl2000="1" url="http://kdb-5.liu.se/liu/lith/studiehandboken/action.lasso?&amp;-response=lot_response_hu.lasso&amp;-op=eq&amp;kp_budget_year=2010-op=eq&amp;kp_programkod=M&amp;-op=ct&amp;kp_programprofil=esmt&amp;-Token.homr=Maskinteknik" htmlTables="1" htmlFormat="all">
      <tables count="1">
        <x v="1"/>
      </tables>
    </webPr>
  </connection>
  <connection id="86" name="Anslutning175" type="4" refreshedVersion="5" background="1" saveData="1">
    <webPr xl2000="1" url="http://kdb-5.liu.se/liu/lith/studiehandboken/action.lasso?&amp;-response=lot_response_hu.lasso&amp;-op=eq&amp;kp_budget_year=2011-op=eq&amp;kp_programkod=M&amp;-op=ct&amp;kp_programprofil=esmt&amp;-Token.homr=Maskinteknik" htmlTables="1" htmlFormat="all">
      <tables count="1">
        <x v="1"/>
      </tables>
    </webPr>
  </connection>
  <connection id="87" name="Anslutning176" type="4" refreshedVersion="5" background="1" saveData="1">
    <webPr xl2000="1" url="http://kdb-5.liu.se/liu/lith/studiehandboken/action.lasso?&amp;-response=lot_response_hu.lasso&amp;-op=eq&amp;kp_budget_year=2012-op=eq&amp;kp_programkod=M&amp;-op=ct&amp;kp_programprofil=esmt&amp;-Token.homr=Maskinteknik" htmlTables="1" htmlFormat="all">
      <tables count="1">
        <x v="1"/>
      </tables>
    </webPr>
  </connection>
  <connection id="88" name="Anslutning177" type="4" refreshedVersion="5" background="1" saveData="1">
    <webPr xl2000="1" url="http://kdb-5.liu.se/liu/lith/studiehandboken/action.lasso?&amp;-response=lot_response_hu.lasso&amp;-op=eq&amp;kp_budget_year=2013-op=eq&amp;kp_programkod=M&amp;-op=ct&amp;kp_programprofil=esmt&amp;-Token.homr=Maskinteknik" htmlTables="1" htmlFormat="all">
      <tables count="1">
        <x v="1"/>
      </tables>
    </webPr>
  </connection>
  <connection id="89" name="Anslutning178" type="4" refreshedVersion="5" background="1" saveData="1">
    <webPr xl2000="1" url="http://kdb-5.liu.se/liu/lith/studiehandboken/action.lasso?&amp;-response=lot_response_hu.lasso&amp;-op=eq&amp;kp_budget_year=2014-op=eq&amp;kp_programkod=M&amp;-op=ct&amp;kp_programprofil=esmt&amp;-Token.homr=Maskinteknik" htmlTables="1" htmlFormat="all">
      <tables count="1">
        <x v="1"/>
      </tables>
    </webPr>
  </connection>
  <connection id="90" name="Anslutning179" type="4" refreshedVersion="5" background="1" saveData="1">
    <webPr xl2000="1" url="http://kdb-5.liu.se/liu/lith/studiehandboken/action.lasso?&amp;-response=lot_response_hu.lasso&amp;-op=eq&amp;kp_budget_year=2009-op=eq&amp;kp_programkod=M&amp;-op=ct&amp;kp_programprofil=flyg&amp;-Token.homr=Maskinteknik" htmlTables="1" htmlFormat="all">
      <tables count="1">
        <x v="1"/>
      </tables>
    </webPr>
  </connection>
  <connection id="91" name="Anslutning18" type="4" refreshedVersion="5" background="1" saveData="1">
    <webPr xl2000="1" url="http://kdb-5.liu.se/liu/lith/studiehandboken/action.lasso?&amp;-response=lot_response.lasso&amp;-op=eq&amp;kp_budget_year=2013-op=eq&amp;kp_programkod=I&amp;-op=ct&amp;kp_programprofil=bio" htmlTables="1" htmlFormat="all">
      <tables count="1">
        <x v="1"/>
      </tables>
    </webPr>
  </connection>
  <connection id="92" name="Anslutning180" type="4" refreshedVersion="5" background="1" saveData="1">
    <webPr xl2000="1" url="http://kdb-5.liu.se/liu/lith/studiehandboken/action.lasso?&amp;-response=lot_response_hu.lasso&amp;-op=eq&amp;kp_budget_year=2010-op=eq&amp;kp_programkod=M&amp;-op=ct&amp;kp_programprofil=flyg&amp;-Token.homr=Maskinteknik" htmlTables="1" htmlFormat="all">
      <tables count="1">
        <x v="1"/>
      </tables>
    </webPr>
  </connection>
  <connection id="93" name="Anslutning181" type="4" refreshedVersion="5" background="1" saveData="1">
    <webPr xl2000="1" url="http://kdb-5.liu.se/liu/lith/studiehandboken/action.lasso?&amp;-response=lot_response_hu.lasso&amp;-op=eq&amp;kp_budget_year=2011-op=eq&amp;kp_programkod=M&amp;-op=ct&amp;kp_programprofil=flyg&amp;-Token.homr=Maskinteknik" htmlTables="1" htmlFormat="all">
      <tables count="1">
        <x v="1"/>
      </tables>
    </webPr>
  </connection>
  <connection id="94" name="Anslutning182" type="4" refreshedVersion="5" background="1" saveData="1">
    <webPr xl2000="1" url="http://kdb-5.liu.se/liu/lith/studiehandboken/action.lasso?&amp;-response=lot_response_hu.lasso&amp;-op=eq&amp;kp_budget_year=2012-op=eq&amp;kp_programkod=M&amp;-op=ct&amp;kp_programprofil=flyg&amp;-Token.homr=Maskinteknik" htmlTables="1" htmlFormat="all">
      <tables count="1">
        <x v="1"/>
      </tables>
    </webPr>
  </connection>
  <connection id="95" name="Anslutning183" type="4" refreshedVersion="5" background="1" saveData="1">
    <webPr xl2000="1" url="http://kdb-5.liu.se/liu/lith/studiehandboken/action.lasso?&amp;-response=lot_response_hu.lasso&amp;-op=eq&amp;kp_budget_year=2013-op=eq&amp;kp_programkod=M&amp;-op=ct&amp;kp_programprofil=flyg&amp;-Token.homr=Maskinteknik" htmlTables="1" htmlFormat="all">
      <tables count="1">
        <x v="1"/>
      </tables>
    </webPr>
  </connection>
  <connection id="96" name="Anslutning184" type="4" refreshedVersion="5" background="1" saveData="1">
    <webPr xl2000="1" url="http://kdb-5.liu.se/liu/lith/studiehandboken/action.lasso?&amp;-response=lot_response_hu.lasso&amp;-op=eq&amp;kp_budget_year=2014-op=eq&amp;kp_programkod=M&amp;-op=ct&amp;kp_programprofil=flyg&amp;-Token.homr=Maskinteknik" htmlTables="1" htmlFormat="all">
      <tables count="1">
        <x v="1"/>
      </tables>
    </webPr>
  </connection>
  <connection id="97" name="Anslutning185" type="4" refreshedVersion="5" background="1" saveData="1">
    <webPr xl2000="1" url="http://kdb-5.liu.se/liu/lith/studiehandboken/action.lasso?&amp;-response=lot_response_hu.lasso&amp;-op=eq&amp;kp_budget_year=2009-op=eq&amp;kp_programkod=M&amp;-op=ct&amp;kp_programprofil=putv&amp;-Token.homr=Maskinteknik" htmlTables="1" htmlFormat="all">
      <tables count="1">
        <x v="1"/>
      </tables>
    </webPr>
  </connection>
  <connection id="98" name="Anslutning186" type="4" refreshedVersion="5" background="1" saveData="1">
    <webPr xl2000="1" url="http://kdb-5.liu.se/liu/lith/studiehandboken/action.lasso?&amp;-response=lot_response_hu.lasso&amp;-op=eq&amp;kp_budget_year=2010-op=eq&amp;kp_programkod=M&amp;-op=ct&amp;kp_programprofil=putv&amp;-Token.homr=Maskinteknik" htmlTables="1" htmlFormat="all">
      <tables count="1">
        <x v="1"/>
      </tables>
    </webPr>
  </connection>
  <connection id="99" name="Anslutning187" type="4" refreshedVersion="5" background="1" saveData="1">
    <webPr xl2000="1" url="http://kdb-5.liu.se/liu/lith/studiehandboken/action.lasso?&amp;-response=lot_response_hu.lasso&amp;-op=eq&amp;kp_budget_year=2011-op=eq&amp;kp_programkod=M&amp;-op=ct&amp;kp_programprofil=putv&amp;-Token.homr=Maskinteknik" htmlTables="1" htmlFormat="all">
      <tables count="1">
        <x v="1"/>
      </tables>
    </webPr>
  </connection>
  <connection id="100" name="Anslutning188" type="4" refreshedVersion="5" background="1" saveData="1">
    <webPr xl2000="1" url="http://kdb-5.liu.se/liu/lith/studiehandboken/action.lasso?&amp;-response=lot_response_hu.lasso&amp;-op=eq&amp;kp_budget_year=2012-op=eq&amp;kp_programkod=M&amp;-op=ct&amp;kp_programprofil=putv&amp;-Token.homr=Maskinteknik" htmlTables="1" htmlFormat="all">
      <tables count="1">
        <x v="1"/>
      </tables>
    </webPr>
  </connection>
  <connection id="101" name="Anslutning189" type="4" refreshedVersion="5" background="1" saveData="1">
    <webPr xl2000="1" url="http://kdb-5.liu.se/liu/lith/studiehandboken/action.lasso?&amp;-response=lot_response_hu.lasso&amp;-op=eq&amp;kp_budget_year=2013-op=eq&amp;kp_programkod=M&amp;-op=ct&amp;kp_programprofil=putv&amp;-Token.homr=Maskinteknik" htmlTables="1" htmlFormat="all">
      <tables count="1">
        <x v="1"/>
      </tables>
    </webPr>
  </connection>
  <connection id="102" name="Anslutning19" type="4" refreshedVersion="5" background="1" saveData="1">
    <webPr xl2000="1" url="http://kdb-5.liu.se/liu/lith/studiehandboken/action.lasso?&amp;-response=lot_response.lasso&amp;-op=eq&amp;kp_budget_year=2014-op=eq&amp;kp_programkod=I&amp;-op=ct&amp;kp_programprofil=bio" htmlTables="1" htmlFormat="all">
      <tables count="1">
        <x v="1"/>
      </tables>
    </webPr>
  </connection>
  <connection id="103" name="Anslutning190" type="4" refreshedVersion="5" background="1" saveData="1">
    <webPr xl2000="1" url="http://kdb-5.liu.se/liu/lith/studiehandboken/action.lasso?&amp;-response=lot_response_hu.lasso&amp;-op=eq&amp;kp_budget_year=2014-op=eq&amp;kp_programkod=M&amp;-op=ct&amp;kp_programprofil=putv&amp;-Token.homr=Maskinteknik" htmlTables="1" htmlFormat="all">
      <tables count="1">
        <x v="1"/>
      </tables>
    </webPr>
  </connection>
  <connection id="104" name="Anslutning191" type="4" refreshedVersion="5" background="1" saveData="1">
    <webPr xl2000="1" url="http://kdb-5.liu.se/liu/lith/studiehandboken/action.lasso?&amp;-response=lot_response_hu.lasso&amp;-op=eq&amp;kp_budget_year=2009-op=eq&amp;kp_programkod=M&amp;-op=ct&amp;kp_programprofil=teme&amp;-Token.homr=Maskinteknik" htmlTables="1" htmlFormat="all">
      <tables count="1">
        <x v="1"/>
      </tables>
    </webPr>
  </connection>
  <connection id="105" name="Anslutning192" type="4" refreshedVersion="5" background="1" saveData="1">
    <webPr xl2000="1" url="http://kdb-5.liu.se/liu/lith/studiehandboken/action.lasso?&amp;-response=lot_response_hu.lasso&amp;-op=eq&amp;kp_budget_year=2010-op=eq&amp;kp_programkod=M&amp;-op=ct&amp;kp_programprofil=teme&amp;-Token.homr=Maskinteknik" htmlTables="1" htmlFormat="all">
      <tables count="1">
        <x v="1"/>
      </tables>
    </webPr>
  </connection>
  <connection id="106" name="Anslutning193" type="4" refreshedVersion="5" background="1" saveData="1">
    <webPr xl2000="1" url="http://kdb-5.liu.se/liu/lith/studiehandboken/action.lasso?&amp;-response=lot_response_hu.lasso&amp;-op=eq&amp;kp_budget_year=2011-op=eq&amp;kp_programkod=M&amp;-op=ct&amp;kp_programprofil=teme&amp;-Token.homr=Maskinteknik" htmlTables="1" htmlFormat="all">
      <tables count="1">
        <x v="1"/>
      </tables>
    </webPr>
  </connection>
  <connection id="107" name="Anslutning194" type="4" refreshedVersion="5" background="1" saveData="1">
    <webPr xl2000="1" url="http://kdb-5.liu.se/liu/lith/studiehandboken/action.lasso?&amp;-response=lot_response_hu.lasso&amp;-op=eq&amp;kp_budget_year=2012-op=eq&amp;kp_programkod=M&amp;-op=ct&amp;kp_programprofil=teme&amp;-Token.homr=Maskinteknik" htmlTables="1" htmlFormat="all">
      <tables count="1">
        <x v="1"/>
      </tables>
    </webPr>
  </connection>
  <connection id="108" name="Anslutning195" type="4" refreshedVersion="5" background="1" saveData="1">
    <webPr xl2000="1" url="http://kdb-5.liu.se/liu/lith/studiehandboken/action.lasso?&amp;-response=lot_response_hu.lasso&amp;-op=eq&amp;kp_budget_year=2013-op=eq&amp;kp_programkod=M&amp;-op=ct&amp;kp_programprofil=teme&amp;-Token.homr=Maskinteknik" htmlTables="1" htmlFormat="all">
      <tables count="1">
        <x v="1"/>
      </tables>
    </webPr>
  </connection>
  <connection id="109" name="Anslutning196" type="4" refreshedVersion="5" background="1" saveData="1">
    <webPr xl2000="1" url="http://kdb-5.liu.se/liu/lith/studiehandboken/action.lasso?&amp;-response=lot_response_hu.lasso&amp;-op=eq&amp;kp_budget_year=2014-op=eq&amp;kp_programkod=M&amp;-op=ct&amp;kp_programprofil=teme&amp;-Token.homr=Maskinteknik" htmlTables="1" htmlFormat="all">
      <tables count="1">
        <x v="1"/>
      </tables>
    </webPr>
  </connection>
  <connection id="110" name="Anslutning197" type="4" refreshedVersion="5" background="1" saveData="1">
    <webPr xl2000="1" url="http://kdb-5.liu.se/liu/lith/studiehandboken/action.lasso?&amp;-response=lot_response_hu.lasso&amp;-op=eq&amp;kp_budget_year=2009-op=eq&amp;kp_programkod=M&amp;-op=ct&amp;kp_programprofil=inpr&amp;-Token.homr=Maskinteknik" htmlTables="1" htmlFormat="all">
      <tables count="1">
        <x v="1"/>
      </tables>
    </webPr>
  </connection>
  <connection id="111" name="Anslutning198" type="4" refreshedVersion="5" background="1" saveData="1">
    <webPr xl2000="1" url="http://kdb-5.liu.se/liu/lith/studiehandboken/action.lasso?&amp;-response=lot_response_hu.lasso&amp;-op=eq&amp;kp_budget_year=2010-op=eq&amp;kp_programkod=M&amp;-op=ct&amp;kp_programprofil=inpr&amp;-Token.homr=Maskinteknik" htmlTables="1" htmlFormat="all">
      <tables count="1">
        <x v="1"/>
      </tables>
    </webPr>
  </connection>
  <connection id="112" name="Anslutning199" type="4" refreshedVersion="5" background="1" saveData="1">
    <webPr xl2000="1" url="http://kdb-5.liu.se/liu/lith/studiehandboken/action.lasso?&amp;-response=lot_response_hu.lasso&amp;-op=eq&amp;kp_budget_year=2011-op=eq&amp;kp_programkod=M&amp;-op=ct&amp;kp_programprofil=inpr&amp;-Token.homr=Maskinteknik" htmlTables="1" htmlFormat="all">
      <tables count="1">
        <x v="1"/>
      </tables>
    </webPr>
  </connection>
  <connection id="113" name="Anslutning2" type="4" refreshedVersion="5" background="1" saveData="1">
    <webPr xl2000="1" url="http://kdb-5.liu.se/liu/lith/studiehandboken/action.lasso?&amp;-response=lot_response.lasso&amp;-op=eq&amp;kp_budget_year=2009-op=eq&amp;kp_programkod=I&amp;-op=ct&amp;kp_programprofil=maskin" htmlTables="1" htmlFormat="all">
      <tables count="1">
        <x v="1"/>
      </tables>
    </webPr>
  </connection>
  <connection id="114" name="Anslutning20" type="4" refreshedVersion="5" background="1" saveData="1">
    <webPr xl2000="1" url="http://kdb-5.liu.se/liu/lith/studiehandboken/action.lasso?&amp;-response=lot_response.lasso&amp;-op=eq&amp;kp_budget_year=2009-op=eq&amp;kp_programkod=I&amp;-op=ct&amp;kp_programprofil=bio" htmlTables="1" htmlFormat="all">
      <tables count="1">
        <x v="1"/>
      </tables>
    </webPr>
  </connection>
  <connection id="115" name="Anslutning200" type="4" refreshedVersion="5" background="1" saveData="1">
    <webPr xl2000="1" url="http://kdb-5.liu.se/liu/lith/studiehandboken/action.lasso?&amp;-response=lot_response_hu.lasso&amp;-op=eq&amp;kp_budget_year=2012-op=eq&amp;kp_programkod=M&amp;-op=ct&amp;kp_programprofil=inpr&amp;-Token.homr=Maskinteknik" htmlTables="1" htmlFormat="all">
      <tables count="1">
        <x v="1"/>
      </tables>
    </webPr>
  </connection>
  <connection id="116" name="Anslutning201" type="4" refreshedVersion="5" background="1" saveData="1">
    <webPr xl2000="1" url="http://kdb-5.liu.se/liu/lith/studiehandboken/action.lasso?&amp;-response=lot_response_hu.lasso&amp;-op=eq&amp;kp_budget_year=2013-op=eq&amp;kp_programkod=M&amp;-op=ct&amp;kp_programprofil=inpr&amp;-Token.homr=Maskinteknik" htmlTables="1" htmlFormat="all">
      <tables count="1">
        <x v="1"/>
      </tables>
    </webPr>
  </connection>
  <connection id="117" name="Anslutning202" type="4" refreshedVersion="5" background="1" saveData="1">
    <webPr xl2000="1" url="http://kdb-5.liu.se/liu/lith/studiehandboken/action.lasso?&amp;-response=lot_response_hu.lasso&amp;-op=eq&amp;kp_budget_year=2014-op=eq&amp;kp_programkod=M&amp;-op=ct&amp;kp_programprofil=inpr&amp;-Token.homr=Maskinteknik" htmlTables="1" htmlFormat="all">
      <tables count="1">
        <x v="1"/>
      </tables>
    </webPr>
  </connection>
  <connection id="118" name="Anslutning203" type="4" refreshedVersion="5" background="1" saveData="1">
    <webPr xl2000="1" url="http://kdb-5.liu.se/liu/lith/studiehandboken/action.lasso?&amp;-response=lot_response_hu.lasso&amp;-op=eq&amp;kp_budget_year=2009-op=eq&amp;kp_programkod=M&amp;-op=ct&amp;kp_programprofil=inpr&amp;-Token.homr=Industriell%20ekonomi" htmlTables="1" htmlFormat="all">
      <tables count="1">
        <x v="1"/>
      </tables>
    </webPr>
  </connection>
  <connection id="119" name="Anslutning204" type="4" refreshedVersion="5" background="1" saveData="1">
    <webPr xl2000="1" url="http://kdb-5.liu.se/liu/lith/studiehandboken/action.lasso?&amp;-response=lot_response_hu.lasso&amp;-op=eq&amp;kp_budget_year=2010-op=eq&amp;kp_programkod=M&amp;-op=ct&amp;kp_programprofil=inpr&amp;-Token.homr=Industriell%20ekonomi" htmlTables="1" htmlFormat="all">
      <tables count="1">
        <x v="1"/>
      </tables>
    </webPr>
  </connection>
  <connection id="120" name="Anslutning205" type="4" refreshedVersion="5" background="1" saveData="1">
    <webPr xl2000="1" url="http://kdb-5.liu.se/liu/lith/studiehandboken/action.lasso?&amp;-response=lot_response_hu.lasso&amp;-op=eq&amp;kp_budget_year=2011-op=eq&amp;kp_programkod=M&amp;-op=ct&amp;kp_programprofil=inpr&amp;-Token.homr=Industriell%20ekonomi" htmlTables="1" htmlFormat="all">
      <tables count="1">
        <x v="1"/>
      </tables>
    </webPr>
  </connection>
  <connection id="121" name="Anslutning206" type="4" refreshedVersion="5" background="1" saveData="1">
    <webPr xl2000="1" url="http://kdb-5.liu.se/liu/lith/studiehandboken/action.lasso?&amp;-response=lot_response_hu.lasso&amp;-op=eq&amp;kp_budget_year=2012-op=eq&amp;kp_programkod=M&amp;-op=ct&amp;kp_programprofil=inpr&amp;-Token.homr=Industriell%20ekonomi" htmlTables="1" htmlFormat="all">
      <tables count="1">
        <x v="1"/>
      </tables>
    </webPr>
  </connection>
  <connection id="122" name="Anslutning207" type="4" refreshedVersion="5" background="1" saveData="1">
    <webPr xl2000="1" url="http://kdb-5.liu.se/liu/lith/studiehandboken/action.lasso?&amp;-response=lot_response_hu.lasso&amp;-op=eq&amp;kp_budget_year=2013-op=eq&amp;kp_programkod=M&amp;-op=ct&amp;kp_programprofil=inpr&amp;-Token.homr=Industriell%20ekonomi" htmlTables="1" htmlFormat="all">
      <tables count="1">
        <x v="1"/>
      </tables>
    </webPr>
  </connection>
  <connection id="123" name="Anslutning208" type="4" refreshedVersion="5" background="1" saveData="1">
    <webPr xl2000="1" url="http://kdb-5.liu.se/liu/lith/studiehandboken/action.lasso?&amp;-response=lot_response_hu.lasso&amp;-op=eq&amp;kp_budget_year=2014-op=eq&amp;kp_programkod=M&amp;-op=ct&amp;kp_programprofil=inpr&amp;-Token.homr=Industriell%20ekonomi" htmlTables="1" htmlFormat="all">
      <tables count="1">
        <x v="1"/>
      </tables>
    </webPr>
  </connection>
  <connection id="124" name="Anslutning209" type="4" refreshedVersion="5" background="1" saveData="1">
    <webPr xl2000="1" url="http://kdb-5.liu.se/liu/lith/studiehandboken/action.lasso?&amp;-response=lot_response_hu.lasso&amp;-op=eq&amp;kp_budget_year=2009-op=eq&amp;kp_programkod=M&amp;-op=ct&amp;kp_programprofil=log&amp;-Token.homr=Industriell%20ekonomi" htmlTables="1" htmlFormat="all">
      <tables count="1">
        <x v="1"/>
      </tables>
    </webPr>
  </connection>
  <connection id="125" name="Anslutning21" type="4" refreshedVersion="5" background="1" saveData="1">
    <webPr xl2000="1" url="http://kdb-5.liu.se/liu/lith/studiehandboken/action.lasso?&amp;-response=lot_response.lasso&amp;-op=eq&amp;kp_budget_year=2010-op=eq&amp;kp_programkod=I&amp;-op=ct&amp;kp_programprofil=bio" htmlTables="1" htmlFormat="all">
      <tables count="1">
        <x v="1"/>
      </tables>
    </webPr>
  </connection>
  <connection id="126" name="Anslutning210" type="4" refreshedVersion="5" background="1" saveData="1">
    <webPr xl2000="1" url="http://kdb-5.liu.se/liu/lith/studiehandboken/action.lasso?&amp;-response=lot_response_hu.lasso&amp;-op=eq&amp;kp_budget_year=2010-op=eq&amp;kp_programkod=M&amp;-op=ct&amp;kp_programprofil=log&amp;-Token.homr=Industriell%20ekonomi" htmlTables="1" htmlFormat="all">
      <tables count="1">
        <x v="1"/>
      </tables>
    </webPr>
  </connection>
  <connection id="127" name="Anslutning211" type="4" refreshedVersion="5" background="1" saveData="1">
    <webPr xl2000="1" url="http://kdb-5.liu.se/liu/lith/studiehandboken/action.lasso?&amp;-response=lot_response_hu.lasso&amp;-op=eq&amp;kp_budget_year=2011-op=eq&amp;kp_programkod=M&amp;-op=ct&amp;kp_programprofil=log&amp;-Token.homr=Industriell%20ekonomi" htmlTables="1" htmlFormat="all">
      <tables count="1">
        <x v="1"/>
      </tables>
    </webPr>
  </connection>
  <connection id="128" name="Anslutning212" type="4" refreshedVersion="5" background="1" saveData="1">
    <webPr xl2000="1" url="http://kdb-5.liu.se/liu/lith/studiehandboken/action.lasso?&amp;-response=lot_response_hu.lasso&amp;-op=eq&amp;kp_budget_year=2012-op=eq&amp;kp_programkod=M&amp;-op=ct&amp;kp_programprofil=log&amp;-Token.homr=Industriell%20ekonomi" htmlTables="1" htmlFormat="all">
      <tables count="1">
        <x v="1"/>
      </tables>
    </webPr>
  </connection>
  <connection id="129" name="Anslutning213" type="4" refreshedVersion="5" background="1" saveData="1">
    <webPr xl2000="1" url="http://kdb-5.liu.se/liu/lith/studiehandboken/action.lasso?&amp;-response=lot_response_hu.lasso&amp;-op=eq&amp;kp_budget_year=2013-op=eq&amp;kp_programkod=M&amp;-op=ct&amp;kp_programprofil=log&amp;-Token.homr=Industriell%20ekonomi" htmlTables="1" htmlFormat="all">
      <tables count="1">
        <x v="1"/>
      </tables>
    </webPr>
  </connection>
  <connection id="130" name="Anslutning214" type="4" refreshedVersion="5" background="1" saveData="1">
    <webPr xl2000="1" url="http://kdb-5.liu.se/liu/lith/studiehandboken/action.lasso?&amp;-response=lot_response_hu.lasso&amp;-op=eq&amp;kp_budget_year=2014-op=eq&amp;kp_programkod=M&amp;-op=ct&amp;kp_programprofil=log&amp;-Token.homr=Industriell%20ekonomi" htmlTables="1" htmlFormat="all">
      <tables count="1">
        <x v="1"/>
      </tables>
    </webPr>
  </connection>
  <connection id="131" name="Anslutning215" type="4" refreshedVersion="5" background="1" saveData="1">
    <webPr xl2000="1" url="http://kdb-5.liu.se/liu/lith/studiehandboken/action.lasso?&amp;-response=lot_response_hu.lasso&amp;-op=eq&amp;kp_budget_year=2009-op=eq&amp;kp_programkod=M&amp;-op=ct&amp;kp_programprofil=reg&amp;-Token.homr=Elektroteknik" htmlTables="1" htmlFormat="all">
      <tables count="1">
        <x v="1"/>
      </tables>
    </webPr>
  </connection>
  <connection id="132" name="Anslutning216" type="4" refreshedVersion="5" background="1" saveData="1">
    <webPr xl2000="1" url="http://kdb-5.liu.se/liu/lith/studiehandboken/action.lasso?&amp;-response=lot_response_hu.lasso&amp;-op=eq&amp;kp_budget_year=2010-op=eq&amp;kp_programkod=M&amp;-op=ct&amp;kp_programprofil=reg&amp;-Token.homr=Elektroteknik" htmlTables="1" htmlFormat="all">
      <tables count="1">
        <x v="1"/>
      </tables>
    </webPr>
  </connection>
  <connection id="133" name="Anslutning217" type="4" refreshedVersion="5" background="1" saveData="1">
    <webPr xl2000="1" url="http://kdb-5.liu.se/liu/lith/studiehandboken/action.lasso?&amp;-response=lot_response_hu.lasso&amp;-op=eq&amp;kp_budget_year=2011-op=eq&amp;kp_programkod=M&amp;-op=ct&amp;kp_programprofil=reg&amp;-Token.homr=Elektroteknik" htmlTables="1" htmlFormat="all">
      <tables count="1">
        <x v="1"/>
      </tables>
    </webPr>
  </connection>
  <connection id="134" name="Anslutning218" type="4" refreshedVersion="5" background="1" saveData="1">
    <webPr xl2000="1" url="http://kdb-5.liu.se/liu/lith/studiehandboken/action.lasso?&amp;-response=lot_response_hu.lasso&amp;-op=eq&amp;kp_budget_year=2012-op=eq&amp;kp_programkod=M&amp;-op=ct&amp;kp_programprofil=reg&amp;-Token.homr=Elektroteknik" htmlTables="1" htmlFormat="all">
      <tables count="1">
        <x v="1"/>
      </tables>
    </webPr>
  </connection>
  <connection id="135" name="Anslutning219" type="4" refreshedVersion="5" background="1" saveData="1">
    <webPr xl2000="1" url="http://kdb-5.liu.se/liu/lith/studiehandboken/action.lasso?&amp;-response=lot_response_hu.lasso&amp;-op=eq&amp;kp_budget_year=2013-op=eq&amp;kp_programkod=M&amp;-op=ct&amp;kp_programprofil=reg&amp;-Token.homr=Elektroteknik" htmlTables="1" htmlFormat="all">
      <tables count="1">
        <x v="1"/>
      </tables>
    </webPr>
  </connection>
  <connection id="136" name="Anslutning22" type="4" refreshedVersion="5" background="1" saveData="1">
    <webPr xl2000="1" url="http://kdb-5.liu.se/liu/lith/studiehandboken/action.lasso?&amp;-response=lot_response.lasso&amp;-op=eq&amp;kp_budget_year=2011-op=eq&amp;kp_programkod=I&amp;-op=ct&amp;kp_programprofil=bio" htmlTables="1" htmlFormat="all">
      <tables count="1">
        <x v="1"/>
      </tables>
    </webPr>
  </connection>
  <connection id="137" name="Anslutning220" type="4" refreshedVersion="5" background="1" saveData="1">
    <webPr xl2000="1" url="http://kdb-5.liu.se/liu/lith/studiehandboken/action.lasso?&amp;-response=lot_response_hu.lasso&amp;-op=eq&amp;kp_budget_year=2014-op=eq&amp;kp_programkod=M&amp;-op=ct&amp;kp_programprofil=reg&amp;-Token.homr=Elektroteknik" htmlTables="1" htmlFormat="all">
      <tables count="1">
        <x v="1"/>
      </tables>
    </webPr>
  </connection>
  <connection id="138" name="Anslutning221" type="4" refreshedVersion="5" background="1" saveData="1">
    <webPr xl2000="1" url="http://kdb-5.liu.se/liu/lith/studiehandboken/action.lasso?&amp;-response=lot_response.lasso&amp;-op=eq&amp;kp_budget_year=2009-op=eq&amp;kp_programkod=M&amp;-op=eq&amp;kp_programprofil=M&amp;-op=gt&amp;kp_termin=6" htmlTables="1" htmlFormat="all">
      <tables count="1">
        <x v="1"/>
      </tables>
    </webPr>
  </connection>
  <connection id="139" name="Anslutning222" type="4" refreshedVersion="5" background="1" saveData="1">
    <webPr xl2000="1" url="http://kdb-5.liu.se/liu/lith/studiehandboken/action.lasso?&amp;-response=lot_response.lasso&amp;-op=eq&amp;kp_budget_year=2010-op=eq&amp;kp_programkod=M&amp;-op=eq&amp;kp_programprofil=M&amp;-op=gt&amp;kp_termin=6" htmlTables="1" htmlFormat="all">
      <tables count="1">
        <x v="1"/>
      </tables>
    </webPr>
  </connection>
  <connection id="140" name="Anslutning223" type="4" refreshedVersion="5" background="1" saveData="1">
    <webPr xl2000="1" url="http://kdb-5.liu.se/liu/lith/studiehandboken/action.lasso?&amp;-response=lot_response.lasso&amp;-op=eq&amp;kp_budget_year=2011-op=eq&amp;kp_programkod=M&amp;-op=eq&amp;kp_programprofil=M&amp;-op=gt&amp;kp_termin=6" htmlTables="1" htmlFormat="all">
      <tables count="1">
        <x v="1"/>
      </tables>
    </webPr>
  </connection>
  <connection id="141" name="Anslutning224" type="4" refreshedVersion="5" background="1" saveData="1">
    <webPr xl2000="1" url="http://kdb-5.liu.se/liu/lith/studiehandboken/action.lasso?&amp;-response=lot_response.lasso&amp;-op=eq&amp;kp_budget_year=2012-op=eq&amp;kp_programkod=M&amp;-op=eq&amp;kp_programprofil=M&amp;-op=gt&amp;kp_termin=6" htmlTables="1" htmlFormat="all">
      <tables count="1">
        <x v="1"/>
      </tables>
    </webPr>
  </connection>
  <connection id="142" name="Anslutning225" type="4" refreshedVersion="5" background="1" saveData="1">
    <webPr xl2000="1" url="http://kdb-5.liu.se/liu/lith/studiehandboken/action.lasso?&amp;-response=lot_response.lasso&amp;-op=eq&amp;kp_budget_year=2013-op=eq&amp;kp_programkod=M&amp;-op=eq&amp;kp_programprofil=M&amp;-op=gt&amp;kp_termin=6" htmlTables="1" htmlFormat="all">
      <tables count="1">
        <x v="1"/>
      </tables>
    </webPr>
  </connection>
  <connection id="143" name="Anslutning226" type="4" refreshedVersion="5" background="1" saveData="1">
    <webPr xl2000="1" url="http://kdb-5.liu.se/liu/lith/studiehandboken/action.lasso?&amp;-response=lot_response.lasso&amp;-op=eq&amp;kp_budget_year=2014-op=eq&amp;kp_programkod=M&amp;-op=eq&amp;kp_programprofil=M&amp;-op=gt&amp;kp_termin=6" htmlTables="1" htmlFormat="all">
      <tables count="1">
        <x v="1"/>
      </tables>
    </webPr>
  </connection>
  <connection id="144" name="Anslutning227" type="4" refreshedVersion="5" background="1" saveData="1">
    <webPr xl2000="1" url="http://kdb-5.liu.se/liu/lith/studiehandboken/action.lasso?&amp;-response=lot_response.lasso&amp;-op=eq&amp;kp_budget_year=2009-op=eq&amp;kp_programkod=M&amp;-op=eq&amp;kp_programprofil=M&amp;-op=lt&amp;kp_termin=7" htmlTables="1" htmlFormat="all">
      <tables count="1">
        <x v="1"/>
      </tables>
    </webPr>
  </connection>
  <connection id="145" name="Anslutning228" type="4" refreshedVersion="5" background="1" saveData="1">
    <webPr xl2000="1" url="http://kdb-5.liu.se/liu/lith/studiehandboken/action.lasso?&amp;-response=lot_response.lasso&amp;-op=eq&amp;kp_budget_year=2010-op=eq&amp;kp_programkod=M&amp;-op=eq&amp;kp_programprofil=M&amp;-op=lt&amp;kp_termin=7" htmlTables="1" htmlFormat="all">
      <tables count="1">
        <x v="1"/>
      </tables>
    </webPr>
  </connection>
  <connection id="146" name="Anslutning229" type="4" refreshedVersion="5" background="1" saveData="1">
    <webPr xl2000="1" url="http://kdb-5.liu.se/liu/lith/studiehandboken/action.lasso?&amp;-response=lot_response.lasso&amp;-op=eq&amp;kp_budget_year=2011-op=eq&amp;kp_programkod=M&amp;-op=eq&amp;kp_programprofil=M&amp;-op=lt&amp;kp_termin=7" htmlTables="1" htmlFormat="all">
      <tables count="1">
        <x v="1"/>
      </tables>
    </webPr>
  </connection>
  <connection id="147" name="Anslutning23" type="4" refreshedVersion="5" background="1" saveData="1">
    <webPr xl2000="1" url="http://kdb-5.liu.se/liu/lith/studiehandboken/action.lasso?&amp;-response=lot_response.lasso&amp;-op=eq&amp;kp_budget_year=2012-op=eq&amp;kp_programkod=I&amp;-op=ct&amp;kp_programprofil=bio" htmlTables="1" htmlFormat="all">
      <tables count="1">
        <x v="1"/>
      </tables>
    </webPr>
  </connection>
  <connection id="148" name="Anslutning230" type="4" refreshedVersion="5" background="1" saveData="1">
    <webPr xl2000="1" url="http://kdb-5.liu.se/liu/lith/studiehandboken/action.lasso?&amp;-response=lot_response.lasso&amp;-op=eq&amp;kp_budget_year=2012-op=eq&amp;kp_programkod=M&amp;-op=eq&amp;kp_programprofil=M&amp;-op=lt&amp;kp_termin=7" htmlTables="1" htmlFormat="all">
      <tables count="1">
        <x v="1"/>
      </tables>
    </webPr>
  </connection>
  <connection id="149" name="Anslutning231" type="4" refreshedVersion="5" background="1" saveData="1">
    <webPr xl2000="1" url="http://kdb-5.liu.se/liu/lith/studiehandboken/action.lasso?&amp;-response=lot_response.lasso&amp;-op=eq&amp;kp_budget_year=2013-op=eq&amp;kp_programkod=M&amp;-op=eq&amp;kp_programprofil=M&amp;-op=lt&amp;kp_termin=7" htmlTables="1" htmlFormat="all">
      <tables count="1">
        <x v="1"/>
      </tables>
    </webPr>
  </connection>
  <connection id="150" name="Anslutning232" type="4" refreshedVersion="5" background="1" saveData="1">
    <webPr xl2000="1" url="http://kdb-5.liu.se/liu/lith/studiehandboken/action.lasso?&amp;-response=lot_response.lasso&amp;-op=eq&amp;kp_budget_year=2014-op=eq&amp;kp_programkod=M&amp;-op=eq&amp;kp_programprofil=M&amp;-op=lt&amp;kp_termin=7" htmlTables="1" htmlFormat="all">
      <tables count="1">
        <x v="1"/>
      </tables>
    </webPr>
  </connection>
  <connection id="151" name="Anslutning233" type="4" refreshedVersion="5" background="1" saveData="1">
    <webPr xl2000="1" url="http://kdb-5.liu.se/liu/lith/studiehandboken/action.lasso?&amp;-response=lot_response_hu.lasso&amp;-op=eq&amp;kp_budget_year=2009-op=eq&amp;kp_programkod=DPU&amp;-op=ct&amp;kp_programprofil=putv&amp;-op=gt&amp;kp_termin=6&amp;-Token.homr=Produktutveckling" htmlTables="1" htmlFormat="all">
      <tables count="1">
        <x v="1"/>
      </tables>
    </webPr>
  </connection>
  <connection id="152" name="Anslutning234" type="4" refreshedVersion="5" background="1" saveData="1">
    <webPr xl2000="1" url="http://kdb-5.liu.se/liu/lith/studiehandboken/action.lasso?&amp;-response=lot_response_hu.lasso&amp;-op=eq&amp;kp_budget_year=2010-op=eq&amp;kp_programkod=DPU&amp;-op=ct&amp;kp_programprofil=putv&amp;-op=gt&amp;kp_termin=6&amp;-Token.homr=Produktutveckling" htmlTables="1" htmlFormat="all">
      <tables count="1">
        <x v="1"/>
      </tables>
    </webPr>
  </connection>
  <connection id="153" name="Anslutning235" type="4" refreshedVersion="5" background="1" saveData="1">
    <webPr xl2000="1" url="http://kdb-5.liu.se/liu/lith/studiehandboken/action.lasso?&amp;-response=lot_response_hu.lasso&amp;-op=eq&amp;kp_budget_year=2011-op=eq&amp;kp_programkod=DPU&amp;-op=ct&amp;kp_programprofil=putv&amp;-op=gt&amp;kp_termin=6&amp;-Token.homr=Produktutveckling" htmlTables="1" htmlFormat="all">
      <tables count="1">
        <x v="1"/>
      </tables>
    </webPr>
  </connection>
  <connection id="154" name="Anslutning236" type="4" refreshedVersion="5" background="1" saveData="1">
    <webPr xl2000="1" url="http://kdb-5.liu.se/liu/lith/studiehandboken/action.lasso?&amp;-response=lot_response_hu.lasso&amp;-op=eq&amp;kp_budget_year=2012-op=eq&amp;kp_programkod=DPU&amp;-op=ct&amp;kp_programprofil=putv&amp;-op=gt&amp;kp_termin=6&amp;-Token.homr=Produktutveckling" htmlTables="1" htmlFormat="all">
      <tables count="1">
        <x v="1"/>
      </tables>
    </webPr>
  </connection>
  <connection id="155" name="Anslutning237" type="4" refreshedVersion="5" background="1" saveData="1">
    <webPr xl2000="1" url="http://kdb-5.liu.se/liu/lith/studiehandboken/action.lasso?&amp;-response=lot_response_hu.lasso&amp;-op=eq&amp;kp_budget_year=2013-op=eq&amp;kp_programkod=DPU&amp;-op=ct&amp;kp_programprofil=putv&amp;-op=gt&amp;kp_termin=6&amp;-Token.homr=Produktutveckling" htmlTables="1" htmlFormat="all">
      <tables count="1">
        <x v="1"/>
      </tables>
    </webPr>
  </connection>
  <connection id="156" name="Anslutning238" type="4" refreshedVersion="5" background="1" saveData="1">
    <webPr xl2000="1" url="http://kdb-5.liu.se/liu/lith/studiehandboken/action.lasso?&amp;-response=lot_response_hu.lasso&amp;-op=eq&amp;kp_budget_year=2014-op=eq&amp;kp_programkod=DPU&amp;-op=ct&amp;kp_programprofil=putv&amp;-op=gt&amp;kp_termin=6&amp;-Token.homr=Produktutveckling" htmlTables="1" htmlFormat="all">
      <tables count="1">
        <x v="1"/>
      </tables>
    </webPr>
  </connection>
  <connection id="157" name="Anslutning239" type="4" refreshedVersion="5" background="1" saveData="1">
    <webPr xl2000="1" url="http://kdb-5.liu.se/liu/lith/studiehandboken/action.lasso?&amp;-response=lot_response_hu.lasso&amp;-op=eq&amp;kp_budget_year=2009-op=eq&amp;kp_programkod=DPU&amp;-op=ct&amp;kp_programprofil=kons&amp;-op=gt&amp;kp_termin=6&amp;-Token.homr=Maskinteknik" htmlTables="1" htmlFormat="all">
      <tables count="1">
        <x v="1"/>
      </tables>
    </webPr>
  </connection>
  <connection id="158" name="Anslutning24" type="4" refreshedVersion="5" background="1" saveData="1">
    <webPr xl2000="1" url="http://kdb-5.liu.se/liu/lith/studiehandboken/action.lasso?&amp;-response=lot_response.lasso&amp;-op=eq&amp;kp_budget_year=2013-op=eq&amp;kp_programkod=I&amp;-op=ct&amp;kp_programprofil=bio" htmlTables="1" htmlFormat="all">
      <tables count="1">
        <x v="1"/>
      </tables>
    </webPr>
  </connection>
  <connection id="159" name="Anslutning240" type="4" refreshedVersion="5" background="1" saveData="1">
    <webPr xl2000="1" url="http://kdb-5.liu.se/liu/lith/studiehandboken/action.lasso?&amp;-response=lot_response_hu.lasso&amp;-op=eq&amp;kp_budget_year=2010-op=eq&amp;kp_programkod=DPU&amp;-op=ct&amp;kp_programprofil=kons&amp;-op=gt&amp;kp_termin=6&amp;-Token.homr=Maskinteknik" htmlTables="1" htmlFormat="all">
      <tables count="1">
        <x v="1"/>
      </tables>
    </webPr>
  </connection>
  <connection id="160" name="Anslutning241" type="4" refreshedVersion="5" background="1" saveData="1">
    <webPr xl2000="1" url="http://kdb-5.liu.se/liu/lith/studiehandboken/action.lasso?&amp;-response=lot_response_hu.lasso&amp;-op=eq&amp;kp_budget_year=2011-op=eq&amp;kp_programkod=DPU&amp;-op=ct&amp;kp_programprofil=kons&amp;-op=gt&amp;kp_termin=6&amp;-Token.homr=Maskinteknik" htmlTables="1" htmlFormat="all">
      <tables count="1">
        <x v="1"/>
      </tables>
    </webPr>
  </connection>
  <connection id="161" name="Anslutning242" type="4" refreshedVersion="5" background="1" saveData="1">
    <webPr xl2000="1" url="http://kdb-5.liu.se/liu/lith/studiehandboken/action.lasso?&amp;-response=lot_response_hu.lasso&amp;-op=eq&amp;kp_budget_year=2012-op=eq&amp;kp_programkod=DPU&amp;-op=ct&amp;kp_programprofil=kons&amp;-op=gt&amp;kp_termin=6&amp;-Token.homr=Maskinteknik" htmlTables="1" htmlFormat="all">
      <tables count="1">
        <x v="1"/>
      </tables>
    </webPr>
  </connection>
  <connection id="162" name="Anslutning243" type="4" refreshedVersion="5" background="1" saveData="1">
    <webPr xl2000="1" url="http://kdb-5.liu.se/liu/lith/studiehandboken/action.lasso?&amp;-response=lot_response_hu.lasso&amp;-op=eq&amp;kp_budget_year=2013-op=eq&amp;kp_programkod=DPU&amp;-op=ct&amp;kp_programprofil=kons&amp;-op=gt&amp;kp_termin=6&amp;-Token.homr=Maskinteknik" htmlTables="1" htmlFormat="all">
      <tables count="1">
        <x v="1"/>
      </tables>
    </webPr>
  </connection>
  <connection id="163" name="Anslutning244" type="4" refreshedVersion="5" background="1" saveData="1">
    <webPr xl2000="1" url="http://kdb-5.liu.se/liu/lith/studiehandboken/action.lasso?&amp;-response=lot_response_hu.lasso&amp;-op=eq&amp;kp_budget_year=2014-op=eq&amp;kp_programkod=DPU&amp;-op=ct&amp;kp_programprofil=kons&amp;-op=gt&amp;kp_termin=6&amp;-Token.homr=Maskinteknik" htmlTables="1" htmlFormat="all">
      <tables count="1">
        <x v="1"/>
      </tables>
    </webPr>
  </connection>
  <connection id="164" name="Anslutning245" type="4" refreshedVersion="5" background="1" saveData="1">
    <webPr xl2000="1" url="http://kdb-5.liu.se/liu/lith/studiehandboken/action.lasso?&amp;-response=lot_response_hu.lasso&amp;-op=eq&amp;kp_budget_year=2009-op=eq&amp;kp_programkod=DPU&amp;-op=ct&amp;kp_programprofil=man&amp;-op=gt&amp;kp_termin=6&amp;-Token.homr=Industriell%20ekonomi" htmlTables="1" htmlFormat="all">
      <tables count="1">
        <x v="1"/>
      </tables>
    </webPr>
  </connection>
  <connection id="165" name="Anslutning246" type="4" refreshedVersion="5" background="1" saveData="1">
    <webPr xl2000="1" url="http://kdb-5.liu.se/liu/lith/studiehandboken/action.lasso?&amp;-response=lot_response_hu.lasso&amp;-op=eq&amp;kp_budget_year=2010-op=eq&amp;kp_programkod=DPU&amp;-op=ct&amp;kp_programprofil=man&amp;-op=gt&amp;kp_termin=6&amp;-Token.homr=Industriell%20ekonomi" htmlTables="1" htmlFormat="all">
      <tables count="1">
        <x v="1"/>
      </tables>
    </webPr>
  </connection>
  <connection id="166" name="Anslutning247" type="4" refreshedVersion="5" background="1" saveData="1">
    <webPr xl2000="1" url="http://kdb-5.liu.se/liu/lith/studiehandboken/action.lasso?&amp;-response=lot_response_hu.lasso&amp;-op=eq&amp;kp_budget_year=2011-op=eq&amp;kp_programkod=DPU&amp;-op=ct&amp;kp_programprofil=man&amp;-op=gt&amp;kp_termin=6&amp;-Token.homr=Industriell%20ekonomi" htmlTables="1" htmlFormat="all">
      <tables count="1">
        <x v="1"/>
      </tables>
    </webPr>
  </connection>
  <connection id="167" name="Anslutning248" type="4" refreshedVersion="5" background="1" saveData="1">
    <webPr xl2000="1" url="http://kdb-5.liu.se/liu/lith/studiehandboken/action.lasso?&amp;-response=lot_response_hu.lasso&amp;-op=eq&amp;kp_budget_year=2012-op=eq&amp;kp_programkod=DPU&amp;-op=ct&amp;kp_programprofil=man&amp;-op=gt&amp;kp_termin=6&amp;-Token.homr=Industriell%20ekonomi" htmlTables="1" htmlFormat="all">
      <tables count="1">
        <x v="1"/>
      </tables>
    </webPr>
  </connection>
  <connection id="168" name="Anslutning249" type="4" refreshedVersion="5" background="1" saveData="1">
    <webPr xl2000="1" url="http://kdb-5.liu.se/liu/lith/studiehandboken/action.lasso?&amp;-response=lot_response_hu.lasso&amp;-op=eq&amp;kp_budget_year=2013-op=eq&amp;kp_programkod=DPU&amp;-op=ct&amp;kp_programprofil=man&amp;-op=gt&amp;kp_termin=6&amp;-Token.homr=Industriell%20ekonomi" htmlTables="1" htmlFormat="all">
      <tables count="1">
        <x v="1"/>
      </tables>
    </webPr>
  </connection>
  <connection id="169" name="Anslutning25" type="4" refreshedVersion="5" background="1" saveData="1">
    <webPr xl2000="1" url="http://kdb-5.liu.se/liu/lith/studiehandboken/action.lasso?&amp;-response=lot_response.lasso&amp;-op=eq&amp;kp_budget_year=2014-op=eq&amp;kp_programkod=I&amp;-op=ct&amp;kp_programprofil=bio" htmlTables="1" htmlFormat="all">
      <tables count="1">
        <x v="1"/>
      </tables>
    </webPr>
  </connection>
  <connection id="170" name="Anslutning250" type="4" refreshedVersion="5" background="1" saveData="1">
    <webPr xl2000="1" url="http://kdb-5.liu.se/liu/lith/studiehandboken/action.lasso?&amp;-response=lot_response_hu.lasso&amp;-op=eq&amp;kp_budget_year=2014-op=eq&amp;kp_programkod=DPU&amp;-op=ct&amp;kp_programprofil=man&amp;-op=gt&amp;kp_termin=6&amp;-Token.homr=Industriell%20ekonomi" htmlTables="1" htmlFormat="all">
      <tables count="1">
        <x v="1"/>
      </tables>
    </webPr>
  </connection>
  <connection id="171" name="Anslutning251" type="4" refreshedVersion="5" background="1" saveData="1">
    <webPr xl2000="1" url="http://kdb-5.liu.se/liu/lith/studiehandboken/action.lasso?&amp;-response=lot_response.lasso&amp;-op=eq&amp;kp_budget_year=2009-op=eq&amp;kp_programkod=DPU&amp;-op=eq&amp;kp_programprofil=DPU&amp;-op=gt&amp;kp_termin=6" htmlTables="1" htmlFormat="all">
      <tables count="1">
        <x v="1"/>
      </tables>
    </webPr>
  </connection>
  <connection id="172" name="Anslutning252" type="4" refreshedVersion="5" background="1" saveData="1">
    <webPr xl2000="1" url="http://kdb-5.liu.se/liu/lith/studiehandboken/action.lasso?&amp;-response=lot_response.lasso&amp;-op=eq&amp;kp_budget_year=2010-op=eq&amp;kp_programkod=DPU&amp;-op=eq&amp;kp_programprofil=DPU&amp;-op=gt&amp;kp_termin=6" htmlTables="1" htmlFormat="all">
      <tables count="1">
        <x v="1"/>
      </tables>
    </webPr>
  </connection>
  <connection id="173" name="Anslutning253" type="4" refreshedVersion="5" background="1" saveData="1">
    <webPr xl2000="1" url="http://kdb-5.liu.se/liu/lith/studiehandboken/action.lasso?&amp;-response=lot_response.lasso&amp;-op=eq&amp;kp_budget_year=2011-op=eq&amp;kp_programkod=DPU&amp;-op=eq&amp;kp_programprofil=DPU&amp;-op=gt&amp;kp_termin=6" htmlTables="1" htmlFormat="all">
      <tables count="1">
        <x v="1"/>
      </tables>
    </webPr>
  </connection>
  <connection id="174" name="Anslutning254" type="4" refreshedVersion="5" background="1" saveData="1">
    <webPr xl2000="1" url="http://kdb-5.liu.se/liu/lith/studiehandboken/action.lasso?&amp;-response=lot_response.lasso&amp;-op=eq&amp;kp_budget_year=2012-op=eq&amp;kp_programkod=DPU&amp;-op=eq&amp;kp_programprofil=DPU&amp;-op=gt&amp;kp_termin=6" htmlTables="1" htmlFormat="all">
      <tables count="1">
        <x v="1"/>
      </tables>
    </webPr>
  </connection>
  <connection id="175" name="Anslutning255" type="4" refreshedVersion="5" background="1" saveData="1">
    <webPr xl2000="1" url="http://kdb-5.liu.se/liu/lith/studiehandboken/action.lasso?&amp;-response=lot_response.lasso&amp;-op=eq&amp;kp_budget_year=2013-op=eq&amp;kp_programkod=DPU&amp;-op=eq&amp;kp_programprofil=DPU&amp;-op=gt&amp;kp_termin=6" htmlTables="1" htmlFormat="all">
      <tables count="1">
        <x v="1"/>
      </tables>
    </webPr>
  </connection>
  <connection id="176" name="Anslutning256" type="4" refreshedVersion="5" background="1" saveData="1">
    <webPr xl2000="1" url="http://kdb-5.liu.se/liu/lith/studiehandboken/action.lasso?&amp;-response=lot_response.lasso&amp;-op=eq&amp;kp_budget_year=2014-op=eq&amp;kp_programkod=DPU&amp;-op=eq&amp;kp_programprofil=DPU&amp;-op=gt&amp;kp_termin=6" htmlTables="1" htmlFormat="all">
      <tables count="1">
        <x v="1"/>
      </tables>
    </webPr>
  </connection>
  <connection id="177" name="Anslutning257" type="4" refreshedVersion="5" background="1" saveData="1">
    <webPr xl2000="1" url="http://kdb-5.liu.se/liu/lith/studiehandboken/action.lasso?&amp;-response=lot_response.lasso&amp;-op=eq&amp;kp_budget_year=2009-op=eq&amp;kp_programkod=DPU&amp;-op=eq&amp;kp_programprofil=DPU&amp;-op=lt&amp;kp_termin=7" htmlTables="1" htmlFormat="all">
      <tables count="1">
        <x v="1"/>
      </tables>
    </webPr>
  </connection>
  <connection id="178" name="Anslutning258" type="4" refreshedVersion="5" background="1" saveData="1">
    <webPr xl2000="1" url="http://kdb-5.liu.se/liu/lith/studiehandboken/action.lasso?&amp;-response=lot_response.lasso&amp;-op=eq&amp;kp_budget_year=2010-op=eq&amp;kp_programkod=DPU&amp;-op=eq&amp;kp_programprofil=DPU&amp;-op=lt&amp;kp_termin=7" htmlTables="1" htmlFormat="all">
      <tables count="1">
        <x v="1"/>
      </tables>
    </webPr>
  </connection>
  <connection id="179" name="Anslutning259" type="4" refreshedVersion="5" background="1" saveData="1">
    <webPr xl2000="1" url="http://kdb-5.liu.se/liu/lith/studiehandboken/action.lasso?&amp;-response=lot_response.lasso&amp;-op=eq&amp;kp_budget_year=2011-op=eq&amp;kp_programkod=DPU&amp;-op=eq&amp;kp_programprofil=DPU&amp;-op=lt&amp;kp_termin=7" htmlTables="1" htmlFormat="all">
      <tables count="1">
        <x v="1"/>
      </tables>
    </webPr>
  </connection>
  <connection id="180" name="Anslutning26" type="4" refreshedVersion="5" background="1" saveData="1">
    <webPr xl2000="1" url="http://kdb-5.liu.se/liu/lith/studiehandboken/action.lasso?&amp;-response=lot_response.lasso&amp;-op=eq&amp;kp_budget_year=2009-op=eq&amp;kp_programkod=I&amp;-op=ct&amp;kp_programprofil=bio" htmlTables="1" htmlFormat="all">
      <tables count="1">
        <x v="1"/>
      </tables>
    </webPr>
  </connection>
  <connection id="181" name="Anslutning260" type="4" refreshedVersion="5" background="1" saveData="1">
    <webPr xl2000="1" url="http://kdb-5.liu.se/liu/lith/studiehandboken/action.lasso?&amp;-response=lot_response.lasso&amp;-op=eq&amp;kp_budget_year=2012-op=eq&amp;kp_programkod=DPU&amp;-op=eq&amp;kp_programprofil=DPU&amp;-op=lt&amp;kp_termin=7" htmlTables="1" htmlFormat="all">
      <tables count="1">
        <x v="1"/>
      </tables>
    </webPr>
  </connection>
  <connection id="182" name="Anslutning261" type="4" refreshedVersion="5" background="1" saveData="1">
    <webPr xl2000="1" url="http://kdb-5.liu.se/liu/lith/studiehandboken/action.lasso?&amp;-response=lot_response.lasso&amp;-op=eq&amp;kp_budget_year=2013-op=eq&amp;kp_programkod=DPU&amp;-op=eq&amp;kp_programprofil=DPU&amp;-op=lt&amp;kp_termin=7" htmlTables="1" htmlFormat="all">
      <tables count="1">
        <x v="1"/>
      </tables>
    </webPr>
  </connection>
  <connection id="183" name="Anslutning262" type="4" refreshedVersion="5" background="1" saveData="1">
    <webPr xl2000="1" url="http://kdb-5.liu.se/liu/lith/studiehandboken/action.lasso?&amp;-response=lot_response.lasso&amp;-op=eq&amp;kp_budget_year=2014-op=eq&amp;kp_programkod=DPU&amp;-op=eq&amp;kp_programprofil=DPU&amp;-op=lt&amp;kp_termin=7" htmlTables="1" htmlFormat="all">
      <tables count="1">
        <x v="1"/>
      </tables>
    </webPr>
  </connection>
  <connection id="184" name="Anslutning263" type="4" refreshedVersion="5" background="1" saveData="1">
    <webPr xl2000="1" url="http://kdb-5.liu.se/liu/lith/studiehandboken/action.lasso?&amp;-response=lot_response_hu.lasso&amp;-op=eq&amp;kp_budget_year=2009-op=eq&amp;kp_programkod=Y&amp;-op=ct&amp;kp_programprofil=med&amp;-Token.homr=Medicinsk%20teknik" htmlTables="1" htmlFormat="all">
      <tables count="1">
        <x v="1"/>
      </tables>
    </webPr>
  </connection>
  <connection id="185" name="Anslutning264" type="4" refreshedVersion="5" background="1" saveData="1">
    <webPr xl2000="1" url="http://kdb-5.liu.se/liu/lith/studiehandboken/action.lasso?&amp;-response=lot_response_hu.lasso&amp;-op=eq&amp;kp_budget_year=2010-op=eq&amp;kp_programkod=Y&amp;-op=ct&amp;kp_programprofil=med&amp;-Token.homr=Medicinsk%20teknik" htmlTables="1" htmlFormat="all">
      <tables count="1">
        <x v="1"/>
      </tables>
    </webPr>
  </connection>
  <connection id="186" name="Anslutning265" type="4" refreshedVersion="5" background="1" saveData="1">
    <webPr xl2000="1" url="http://kdb-5.liu.se/liu/lith/studiehandboken/action.lasso?&amp;-response=lot_response_hu.lasso&amp;-op=eq&amp;kp_budget_year=2011-op=eq&amp;kp_programkod=Y&amp;-op=ct&amp;kp_programprofil=med&amp;-Token.homr=Medicinsk%20teknik" htmlTables="1" htmlFormat="all">
      <tables count="1">
        <x v="1"/>
      </tables>
    </webPr>
  </connection>
  <connection id="187" name="Anslutning266" type="4" refreshedVersion="5" background="1" saveData="1">
    <webPr xl2000="1" url="http://kdb-5.liu.se/liu/lith/studiehandboken/action.lasso?&amp;-response=lot_response_hu.lasso&amp;-op=eq&amp;kp_budget_year=2012-op=eq&amp;kp_programkod=Y&amp;-op=ct&amp;kp_programprofil=med&amp;-Token.homr=Medicinsk%20teknik" htmlTables="1" htmlFormat="all">
      <tables count="1">
        <x v="1"/>
      </tables>
    </webPr>
  </connection>
  <connection id="188" name="Anslutning267" type="4" refreshedVersion="5" background="1" saveData="1">
    <webPr xl2000="1" url="http://kdb-5.liu.se/liu/lith/studiehandboken/action.lasso?&amp;-response=lot_response_hu.lasso&amp;-op=eq&amp;kp_budget_year=2013-op=eq&amp;kp_programkod=Y&amp;-op=ct&amp;kp_programprofil=med&amp;-Token.homr=Medicinsk%20teknik" htmlTables="1" htmlFormat="all">
      <tables count="1">
        <x v="1"/>
      </tables>
    </webPr>
  </connection>
  <connection id="189" name="Anslutning268" type="4" refreshedVersion="5" background="1" saveData="1">
    <webPr xl2000="1" url="http://kdb-5.liu.se/liu/lith/studiehandboken/action.lasso?&amp;-response=lot_response_hu.lasso&amp;-op=eq&amp;kp_budget_year=2014-op=eq&amp;kp_programkod=Y&amp;-op=ct&amp;kp_programprofil=med&amp;-Token.homr=Medicinsk%20teknik" htmlTables="1" htmlFormat="all">
      <tables count="1">
        <x v="1"/>
      </tables>
    </webPr>
  </connection>
  <connection id="190" name="Anslutning269" type="4" refreshedVersion="5" background="1" saveData="1">
    <webPr xl2000="1" url="http://kdb-5.liu.se/liu/lith/studiehandboken/action.lasso?&amp;-response=lot_response_hu.lasso&amp;-op=eq&amp;kp_budget_year=2009-op=eq&amp;kp_programkod=Y&amp;-op=ct&amp;kp_programprofil=tmt&amp;-Token.homr=Till%E4mpad%20matematik" htmlTables="1" htmlFormat="all">
      <tables count="1">
        <x v="1"/>
      </tables>
    </webPr>
  </connection>
  <connection id="191" name="Anslutning27"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192" name="Anslutning270" type="4" refreshedVersion="5" background="1" saveData="1">
    <webPr xl2000="1" url="http://kdb-5.liu.se/liu/lith/studiehandboken/action.lasso?&amp;-response=lot_response_hu.lasso&amp;-op=eq&amp;kp_budget_year=2010-op=eq&amp;kp_programkod=Y&amp;-op=ct&amp;kp_programprofil=tmt&amp;-Token.homr=Till%E4mpad%20matematik" htmlTables="1" htmlFormat="all">
      <tables count="1">
        <x v="1"/>
      </tables>
    </webPr>
  </connection>
  <connection id="193" name="Anslutning271" type="4" refreshedVersion="5" background="1" saveData="1">
    <webPr xl2000="1" url="http://kdb-5.liu.se/liu/lith/studiehandboken/action.lasso?&amp;-response=lot_response_hu.lasso&amp;-op=eq&amp;kp_budget_year=2011-op=eq&amp;kp_programkod=Y&amp;-op=ct&amp;kp_programprofil=tmt&amp;-Token.homr=Till%E4mpad%20matematik" htmlTables="1" htmlFormat="all">
      <tables count="1">
        <x v="1"/>
      </tables>
    </webPr>
  </connection>
  <connection id="194" name="Anslutning272" type="4" refreshedVersion="5" background="1" saveData="1">
    <webPr xl2000="1" url="http://kdb-5.liu.se/liu/lith/studiehandboken/action.lasso?&amp;-response=lot_response_hu.lasso&amp;-op=eq&amp;kp_budget_year=2012-op=eq&amp;kp_programkod=Y&amp;-op=ct&amp;kp_programprofil=tmt&amp;-Token.homr=Till%E4mpad%20matematik" htmlTables="1" htmlFormat="all">
      <tables count="1">
        <x v="1"/>
      </tables>
    </webPr>
  </connection>
  <connection id="195" name="Anslutning273" type="4" refreshedVersion="5" background="1" saveData="1">
    <webPr xl2000="1" url="http://kdb-5.liu.se/liu/lith/studiehandboken/action.lasso?&amp;-response=lot_response_hu.lasso&amp;-op=eq&amp;kp_budget_year=2013-op=eq&amp;kp_programkod=Y&amp;-op=ct&amp;kp_programprofil=tmt&amp;-Token.homr=Till%E4mpad%20matematik" htmlTables="1" htmlFormat="all">
      <tables count="1">
        <x v="1"/>
      </tables>
    </webPr>
  </connection>
  <connection id="196" name="Anslutning274" type="4" refreshedVersion="5" background="1" saveData="1">
    <webPr xl2000="1" url="http://kdb-5.liu.se/liu/lith/studiehandboken/action.lasso?&amp;-response=lot_response_hu.lasso&amp;-op=eq&amp;kp_budget_year=2014-op=eq&amp;kp_programkod=Y&amp;-op=ct&amp;kp_programprofil=tmt&amp;-Token.homr=Till%E4mpad%20matematik" htmlTables="1" htmlFormat="all">
      <tables count="1">
        <x v="1"/>
      </tables>
    </webPr>
  </connection>
  <connection id="197" name="Anslutning275" type="4" refreshedVersion="5" background="1" saveData="1">
    <webPr xl2000="1" url="http://kdb-5.liu.se/liu/lith/studiehandboken/action.lasso?&amp;-response=lot_response_hu.lasso&amp;-op=eq&amp;kp_budget_year=2009-op=eq&amp;kp_programkod=Y&amp;-op=ct&amp;kp_programprofil=sis&amp;-Token.homr=Elektroteknik" htmlTables="1" htmlFormat="all">
      <tables count="1">
        <x v="1"/>
      </tables>
    </webPr>
  </connection>
  <connection id="198" name="Anslutning276" type="4" refreshedVersion="5" background="1" saveData="1">
    <webPr xl2000="1" url="http://kdb-5.liu.se/liu/lith/studiehandboken/action.lasso?&amp;-response=lot_response_hu.lasso&amp;-op=eq&amp;kp_budget_year=2010-op=eq&amp;kp_programkod=Y&amp;-op=ct&amp;kp_programprofil=sis&amp;-Token.homr=Elektroteknik" htmlTables="1" htmlFormat="all">
      <tables count="1">
        <x v="1"/>
      </tables>
    </webPr>
  </connection>
  <connection id="199" name="Anslutning277" type="4" refreshedVersion="5" background="1" saveData="1">
    <webPr xl2000="1" url="http://kdb-5.liu.se/liu/lith/studiehandboken/action.lasso?&amp;-response=lot_response_hu.lasso&amp;-op=eq&amp;kp_budget_year=2011-op=eq&amp;kp_programkod=Y&amp;-op=ct&amp;kp_programprofil=sis&amp;-Token.homr=Elektroteknik" htmlTables="1" htmlFormat="all">
      <tables count="1">
        <x v="1"/>
      </tables>
    </webPr>
  </connection>
  <connection id="200" name="Anslutning278" type="4" refreshedVersion="5" background="1" saveData="1">
    <webPr xl2000="1" url="http://kdb-5.liu.se/liu/lith/studiehandboken/action.lasso?&amp;-response=lot_response_hu.lasso&amp;-op=eq&amp;kp_budget_year=2012-op=eq&amp;kp_programkod=Y&amp;-op=ct&amp;kp_programprofil=sis&amp;-Token.homr=Elektroteknik" htmlTables="1" htmlFormat="all">
      <tables count="1">
        <x v="1"/>
      </tables>
    </webPr>
  </connection>
  <connection id="201" name="Anslutning279" type="4" refreshedVersion="5" background="1" saveData="1">
    <webPr xl2000="1" url="http://kdb-5.liu.se/liu/lith/studiehandboken/action.lasso?&amp;-response=lot_response_hu.lasso&amp;-op=eq&amp;kp_budget_year=2013-op=eq&amp;kp_programkod=Y&amp;-op=ct&amp;kp_programprofil=sis&amp;-Token.homr=Elektroteknik" htmlTables="1" htmlFormat="all">
      <tables count="1">
        <x v="1"/>
      </tables>
    </webPr>
  </connection>
  <connection id="202" name="Anslutning28"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203" name="Anslutning280" type="4" refreshedVersion="5" background="1" saveData="1">
    <webPr xl2000="1" url="http://kdb-5.liu.se/liu/lith/studiehandboken/action.lasso?&amp;-response=lot_response_hu.lasso&amp;-op=eq&amp;kp_budget_year=2014-op=eq&amp;kp_programkod=Y&amp;-op=ct&amp;kp_programprofil=sis&amp;-Token.homr=Elektroteknik" htmlTables="1" htmlFormat="all">
      <tables count="1">
        <x v="1"/>
      </tables>
    </webPr>
  </connection>
  <connection id="204" name="Anslutning281" type="4" refreshedVersion="5" background="1" saveData="1">
    <webPr xl2000="1" url="http://kdb-5.liu.se/liu/lith/studiehandboken/action.lasso?&amp;-response=lot_response_hu.lasso&amp;-op=eq&amp;kp_budget_year=2009-op=eq&amp;kp_programkod=Y&amp;-op=ct&amp;kp_programprofil=soc&amp;-Token.homr=Elektroteknik" htmlTables="1" htmlFormat="all">
      <tables count="1">
        <x v="1"/>
      </tables>
    </webPr>
  </connection>
  <connection id="205" name="Anslutning282" type="4" refreshedVersion="5" background="1" saveData="1">
    <webPr xl2000="1" url="http://kdb-5.liu.se/liu/lith/studiehandboken/action.lasso?&amp;-response=lot_response_hu.lasso&amp;-op=eq&amp;kp_budget_year=2010-op=eq&amp;kp_programkod=Y&amp;-op=ct&amp;kp_programprofil=soc&amp;-Token.homr=Elektroteknik" htmlTables="1" htmlFormat="all">
      <tables count="1">
        <x v="1"/>
      </tables>
    </webPr>
  </connection>
  <connection id="206" name="Anslutning283" type="4" refreshedVersion="5" background="1" saveData="1">
    <webPr xl2000="1" url="http://kdb-5.liu.se/liu/lith/studiehandboken/action.lasso?&amp;-response=lot_response_hu.lasso&amp;-op=eq&amp;kp_budget_year=2011-op=eq&amp;kp_programkod=Y&amp;-op=ct&amp;kp_programprofil=soc&amp;-Token.homr=Elektroteknik" htmlTables="1" htmlFormat="all">
      <tables count="1">
        <x v="1"/>
      </tables>
    </webPr>
  </connection>
  <connection id="207" name="Anslutning284" type="4" refreshedVersion="5" background="1" saveData="1">
    <webPr xl2000="1" url="http://kdb-5.liu.se/liu/lith/studiehandboken/action.lasso?&amp;-response=lot_response_hu.lasso&amp;-op=eq&amp;kp_budget_year=2012-op=eq&amp;kp_programkod=Y&amp;-op=ct&amp;kp_programprofil=soc&amp;-Token.homr=Elektroteknik" htmlTables="1" htmlFormat="all">
      <tables count="1">
        <x v="1"/>
      </tables>
    </webPr>
  </connection>
  <connection id="208" name="Anslutning285" type="4" refreshedVersion="5" background="1" saveData="1">
    <webPr xl2000="1" url="http://kdb-5.liu.se/liu/lith/studiehandboken/action.lasso?&amp;-response=lot_response_hu.lasso&amp;-op=eq&amp;kp_budget_year=2013-op=eq&amp;kp_programkod=Y&amp;-op=ct&amp;kp_programprofil=soc&amp;-Token.homr=Elektroteknik" htmlTables="1" htmlFormat="all">
      <tables count="1">
        <x v="1"/>
      </tables>
    </webPr>
  </connection>
  <connection id="209" name="Anslutning286" type="4" refreshedVersion="5" background="1" saveData="1">
    <webPr xl2000="1" url="http://kdb-5.liu.se/liu/lith/studiehandboken/action.lasso?&amp;-response=lot_response_hu.lasso&amp;-op=eq&amp;kp_budget_year=2014-op=eq&amp;kp_programkod=Y&amp;-op=ct&amp;kp_programprofil=soc&amp;-Token.homr=Elektroteknik" htmlTables="1" htmlFormat="all">
      <tables count="1">
        <x v="1"/>
      </tables>
    </webPr>
  </connection>
  <connection id="210" name="Anslutning287" type="4" refreshedVersion="5" background="1" saveData="1">
    <webPr xl2000="1" url="http://kdb-5.liu.se/liu/lith/studiehandboken/action.lasso?&amp;-response=lot_response_hu.lasso&amp;-op=eq&amp;kp_budget_year=2009-op=eq&amp;kp_programkod=Y&amp;-op=ct&amp;kp_programprofil=sbb&amp;-Token.homr=Elektroteknik" htmlTables="1" htmlFormat="all">
      <tables count="1">
        <x v="1"/>
      </tables>
    </webPr>
  </connection>
  <connection id="211" name="Anslutning288" type="4" refreshedVersion="5" background="1" saveData="1">
    <webPr xl2000="1" url="http://kdb-5.liu.se/liu/lith/studiehandboken/action.lasso?&amp;-response=lot_response_hu.lasso&amp;-op=eq&amp;kp_budget_year=2010-op=eq&amp;kp_programkod=Y&amp;-op=ct&amp;kp_programprofil=sbb&amp;-Token.homr=Elektroteknik" htmlTables="1" htmlFormat="all">
      <tables count="1">
        <x v="1"/>
      </tables>
    </webPr>
  </connection>
  <connection id="212" name="Anslutning289" type="4" refreshedVersion="5" background="1" saveData="1">
    <webPr xl2000="1" url="http://kdb-5.liu.se/liu/lith/studiehandboken/action.lasso?&amp;-response=lot_response_hu.lasso&amp;-op=eq&amp;kp_budget_year=2011-op=eq&amp;kp_programkod=Y&amp;-op=ct&amp;kp_programprofil=sbb&amp;-Token.homr=Elektroteknik" htmlTables="1" htmlFormat="all">
      <tables count="1">
        <x v="1"/>
      </tables>
    </webPr>
  </connection>
  <connection id="213" name="Anslutning29"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214" name="Anslutning290" type="4" refreshedVersion="5" background="1" saveData="1">
    <webPr xl2000="1" url="http://kdb-5.liu.se/liu/lith/studiehandboken/action.lasso?&amp;-response=lot_response_hu.lasso&amp;-op=eq&amp;kp_budget_year=2012-op=eq&amp;kp_programkod=Y&amp;-op=ct&amp;kp_programprofil=sbb&amp;-Token.homr=Elektroteknik" htmlTables="1" htmlFormat="all">
      <tables count="1">
        <x v="1"/>
      </tables>
    </webPr>
  </connection>
  <connection id="215" name="Anslutning291" type="4" refreshedVersion="5" background="1" saveData="1">
    <webPr xl2000="1" url="http://kdb-5.liu.se/liu/lith/studiehandboken/action.lasso?&amp;-response=lot_response_hu.lasso&amp;-op=eq&amp;kp_budget_year=2013-op=eq&amp;kp_programkod=Y&amp;-op=ct&amp;kp_programprofil=sbb&amp;-Token.homr=Elektroteknik" htmlTables="1" htmlFormat="all">
      <tables count="1">
        <x v="1"/>
      </tables>
    </webPr>
  </connection>
  <connection id="216" name="Anslutning292" type="4" refreshedVersion="5" background="1" saveData="1">
    <webPr xl2000="1" url="http://kdb-5.liu.se/liu/lith/studiehandboken/action.lasso?&amp;-response=lot_response_hu.lasso&amp;-op=eq&amp;kp_budget_year=2014-op=eq&amp;kp_programkod=Y&amp;-op=ct&amp;kp_programprofil=sbb&amp;-Token.homr=Elektroteknik" htmlTables="1" htmlFormat="all">
      <tables count="1">
        <x v="1"/>
      </tables>
    </webPr>
  </connection>
  <connection id="217" name="Anslutning293" type="4" refreshedVersion="5" background="1" saveData="1">
    <webPr xl2000="1" url="http://kdb-5.liu.se/liu/lith/studiehandboken/action.lasso?&amp;-response=lot_response_hu.lasso&amp;-op=eq&amp;kp_budget_year=2009-op=eq&amp;kp_programkod=Y&amp;-op=ct&amp;kp_programprofil=mek&amp;-Token.homr=Elektroteknik" htmlTables="1" htmlFormat="all">
      <tables count="1">
        <x v="1"/>
      </tables>
    </webPr>
  </connection>
  <connection id="218" name="Anslutning294" type="4" refreshedVersion="5" background="1" saveData="1">
    <webPr xl2000="1" url="http://kdb-5.liu.se/liu/lith/studiehandboken/action.lasso?&amp;-response=lot_response_hu.lasso&amp;-op=eq&amp;kp_budget_year=2010-op=eq&amp;kp_programkod=Y&amp;-op=ct&amp;kp_programprofil=mek&amp;-Token.homr=Elektroteknik" htmlTables="1" htmlFormat="all">
      <tables count="1">
        <x v="1"/>
      </tables>
    </webPr>
  </connection>
  <connection id="219" name="Anslutning295" type="4" refreshedVersion="5" background="1" saveData="1">
    <webPr xl2000="1" url="http://kdb-5.liu.se/liu/lith/studiehandboken/action.lasso?&amp;-response=lot_response_hu.lasso&amp;-op=eq&amp;kp_budget_year=2011-op=eq&amp;kp_programkod=Y&amp;-op=ct&amp;kp_programprofil=mek&amp;-Token.homr=Elektroteknik" htmlTables="1" htmlFormat="all">
      <tables count="1">
        <x v="1"/>
      </tables>
    </webPr>
  </connection>
  <connection id="220" name="Anslutning296" type="4" refreshedVersion="5" background="1" saveData="1">
    <webPr xl2000="1" url="http://kdb-5.liu.se/liu/lith/studiehandboken/action.lasso?&amp;-response=lot_response_hu.lasso&amp;-op=eq&amp;kp_budget_year=2012-op=eq&amp;kp_programkod=Y&amp;-op=ct&amp;kp_programprofil=mek&amp;-Token.homr=Elektroteknik" htmlTables="1" htmlFormat="all">
      <tables count="1">
        <x v="1"/>
      </tables>
    </webPr>
  </connection>
  <connection id="221" name="Anslutning297" type="4" refreshedVersion="5" background="1" saveData="1">
    <webPr xl2000="1" url="http://kdb-5.liu.se/liu/lith/studiehandboken/action.lasso?&amp;-response=lot_response_hu.lasso&amp;-op=eq&amp;kp_budget_year=2013-op=eq&amp;kp_programkod=Y&amp;-op=ct&amp;kp_programprofil=mek&amp;-Token.homr=Elektroteknik" htmlTables="1" htmlFormat="all">
      <tables count="1">
        <x v="1"/>
      </tables>
    </webPr>
  </connection>
  <connection id="222" name="Anslutning298" type="4" refreshedVersion="5" background="1" saveData="1">
    <webPr xl2000="1" url="http://kdb-5.liu.se/liu/lith/studiehandboken/action.lasso?&amp;-response=lot_response_hu.lasso&amp;-op=eq&amp;kp_budget_year=2014-op=eq&amp;kp_programkod=Y&amp;-op=ct&amp;kp_programprofil=mek&amp;-Token.homr=Elektroteknik" htmlTables="1" htmlFormat="all">
      <tables count="1">
        <x v="1"/>
      </tables>
    </webPr>
  </connection>
  <connection id="223" name="Anslutning299" type="4" refreshedVersion="5" background="1" saveData="1">
    <webPr xl2000="1" url="http://kdb-5.liu.se/liu/lith/studiehandboken/action.lasso?&amp;-response=lot_response_hu.lasso&amp;-op=eq&amp;kp_budget_year=2009-op=eq&amp;kp_programkod=Y&amp;-op=ct&amp;kp_programprofil=kom&amp;-Token.homr=Elektroteknik" htmlTables="1" htmlFormat="all">
      <tables count="1">
        <x v="1"/>
      </tables>
    </webPr>
  </connection>
  <connection id="224" name="Anslutning3" type="4" refreshedVersion="5" background="1" saveData="1">
    <webPr xl2000="1" url="http://kdb-5.liu.se/liu/lith/studiehandboken/action.lasso?&amp;-response=lot_response.lasso&amp;-op=eq&amp;kp_budget_year=2010-op=eq&amp;kp_programkod=I&amp;-op=ct&amp;kp_programprofil=maskin" htmlTables="1" htmlFormat="all">
      <tables count="1">
        <x v="1"/>
      </tables>
    </webPr>
  </connection>
  <connection id="225" name="Anslutning30"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226" name="Anslutning300" type="4" refreshedVersion="5" background="1" saveData="1">
    <webPr xl2000="1" url="http://kdb-5.liu.se/liu/lith/studiehandboken/action.lasso?&amp;-response=lot_response_hu.lasso&amp;-op=eq&amp;kp_budget_year=2010-op=eq&amp;kp_programkod=Y&amp;-op=ct&amp;kp_programprofil=kom&amp;-Token.homr=Elektroteknik" htmlTables="1" htmlFormat="all">
      <tables count="1">
        <x v="1"/>
      </tables>
    </webPr>
  </connection>
  <connection id="227" name="Anslutning301" type="4" refreshedVersion="5" background="1" saveData="1">
    <webPr xl2000="1" url="http://kdb-5.liu.se/liu/lith/studiehandboken/action.lasso?&amp;-response=lot_response_hu.lasso&amp;-op=eq&amp;kp_budget_year=2011-op=eq&amp;kp_programkod=Y&amp;-op=ct&amp;kp_programprofil=kom&amp;-Token.homr=Elektroteknik" htmlTables="1" htmlFormat="all">
      <tables count="1">
        <x v="1"/>
      </tables>
    </webPr>
  </connection>
  <connection id="228" name="Anslutning302" type="4" refreshedVersion="5" background="1" saveData="1">
    <webPr xl2000="1" url="http://kdb-5.liu.se/liu/lith/studiehandboken/action.lasso?&amp;-response=lot_response_hu.lasso&amp;-op=eq&amp;kp_budget_year=2012-op=eq&amp;kp_programkod=Y&amp;-op=ct&amp;kp_programprofil=kom&amp;-Token.homr=Elektroteknik" htmlTables="1" htmlFormat="all">
      <tables count="1">
        <x v="1"/>
      </tables>
    </webPr>
  </connection>
  <connection id="229" name="Anslutning303" type="4" refreshedVersion="5" background="1" saveData="1">
    <webPr xl2000="1" url="http://kdb-5.liu.se/liu/lith/studiehandboken/action.lasso?&amp;-response=lot_response_hu.lasso&amp;-op=eq&amp;kp_budget_year=2013-op=eq&amp;kp_programkod=Y&amp;-op=ct&amp;kp_programprofil=kom&amp;-Token.homr=Elektroteknik" htmlTables="1" htmlFormat="all">
      <tables count="1">
        <x v="1"/>
      </tables>
    </webPr>
  </connection>
  <connection id="230" name="Anslutning304" type="4" refreshedVersion="5" background="1" saveData="1">
    <webPr xl2000="1" url="http://kdb-5.liu.se/liu/lith/studiehandboken/action.lasso?&amp;-response=lot_response_hu.lasso&amp;-op=eq&amp;kp_budget_year=2014-op=eq&amp;kp_programkod=Y&amp;-op=ct&amp;kp_programprofil=kom&amp;-Token.homr=Elektroteknik" htmlTables="1" htmlFormat="all">
      <tables count="1">
        <x v="1"/>
      </tables>
    </webPr>
  </connection>
  <connection id="231" name="Anslutning305" type="4" refreshedVersion="5" background="1" saveData="1">
    <webPr xl2000="1" url="http://kdb-5.liu.se/liu/lith/studiehandboken/action.lasso?&amp;-response=lot_response_hu.lasso&amp;-op=eq&amp;kp_budget_year=2009-op=eq&amp;kp_programkod=Y&amp;-op=ct&amp;kp_programprofil=ele&amp;-Token.homr=Elektroteknik" htmlTables="1" htmlFormat="all">
      <tables count="1">
        <x v="1"/>
      </tables>
    </webPr>
  </connection>
  <connection id="232" name="Anslutning306" type="4" refreshedVersion="5" background="1" saveData="1">
    <webPr xl2000="1" url="http://kdb-5.liu.se/liu/lith/studiehandboken/action.lasso?&amp;-response=lot_response_hu.lasso&amp;-op=eq&amp;kp_budget_year=2010-op=eq&amp;kp_programkod=Y&amp;-op=ct&amp;kp_programprofil=ele&amp;-Token.homr=Elektroteknik" htmlTables="1" htmlFormat="all">
      <tables count="1">
        <x v="1"/>
      </tables>
    </webPr>
  </connection>
  <connection id="233" name="Anslutning307" type="4" refreshedVersion="5" background="1" saveData="1">
    <webPr xl2000="1" url="http://kdb-5.liu.se/liu/lith/studiehandboken/action.lasso?&amp;-response=lot_response_hu.lasso&amp;-op=eq&amp;kp_budget_year=2011-op=eq&amp;kp_programkod=Y&amp;-op=ct&amp;kp_programprofil=ele&amp;-Token.homr=Elektroteknik" htmlTables="1" htmlFormat="all">
      <tables count="1">
        <x v="1"/>
      </tables>
    </webPr>
  </connection>
  <connection id="234" name="Anslutning308" type="4" refreshedVersion="5" background="1" saveData="1">
    <webPr xl2000="1" url="http://kdb-5.liu.se/liu/lith/studiehandboken/action.lasso?&amp;-response=lot_response_hu.lasso&amp;-op=eq&amp;kp_budget_year=2012-op=eq&amp;kp_programkod=Y&amp;-op=ct&amp;kp_programprofil=ele&amp;-Token.homr=Elektroteknik" htmlTables="1" htmlFormat="all">
      <tables count="1">
        <x v="1"/>
      </tables>
    </webPr>
  </connection>
  <connection id="235" name="Anslutning309" type="4" refreshedVersion="5" background="1" saveData="1">
    <webPr xl2000="1" url="http://kdb-5.liu.se/liu/lith/studiehandboken/action.lasso?&amp;-response=lot_response_hu.lasso&amp;-op=eq&amp;kp_budget_year=2013-op=eq&amp;kp_programkod=Y&amp;-op=ct&amp;kp_programprofil=ele&amp;-Token.homr=Elektroteknik" htmlTables="1" htmlFormat="all">
      <tables count="1">
        <x v="1"/>
      </tables>
    </webPr>
  </connection>
  <connection id="236" name="Anslutning31"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237" name="Anslutning310" type="4" refreshedVersion="5" background="1" saveData="1">
    <webPr xl2000="1" url="http://kdb-5.liu.se/liu/lith/studiehandboken/action.lasso?&amp;-response=lot_response_hu.lasso&amp;-op=eq&amp;kp_budget_year=2014-op=eq&amp;kp_programkod=Y&amp;-op=ct&amp;kp_programprofil=ele&amp;-Token.homr=Elektroteknik" htmlTables="1" htmlFormat="all">
      <tables count="1">
        <x v="1"/>
      </tables>
    </webPr>
  </connection>
  <connection id="238" name="Anslutning311" type="4" refreshedVersion="5" background="1" saveData="1">
    <webPr xl2000="1" url="http://kdb-5.liu.se/liu/lith/studiehandboken/action.lasso?&amp;-response=lot_response_hu.lasso&amp;-op=eq&amp;kp_budget_year=2009-op=eq&amp;kp_programkod=Y&amp;-op=ct&amp;kp_programprofil=mef&amp;-Token.homr=Teknisk%20fysik" htmlTables="1" htmlFormat="all">
      <tables count="1">
        <x v="1"/>
      </tables>
    </webPr>
  </connection>
  <connection id="239" name="Anslutning312" type="4" refreshedVersion="5" background="1" saveData="1">
    <webPr xl2000="1" url="http://kdb-5.liu.se/liu/lith/studiehandboken/action.lasso?&amp;-response=lot_response_hu.lasso&amp;-op=eq&amp;kp_budget_year=2010-op=eq&amp;kp_programkod=Y&amp;-op=ct&amp;kp_programprofil=mef&amp;-Token.homr=Teknisk%20fysik" htmlTables="1" htmlFormat="all">
      <tables count="1">
        <x v="1"/>
      </tables>
    </webPr>
  </connection>
  <connection id="240" name="Anslutning313" type="4" refreshedVersion="5" background="1" saveData="1">
    <webPr xl2000="1" url="http://kdb-5.liu.se/liu/lith/studiehandboken/action.lasso?&amp;-response=lot_response_hu.lasso&amp;-op=eq&amp;kp_budget_year=2011-op=eq&amp;kp_programkod=Y&amp;-op=ct&amp;kp_programprofil=mef&amp;-Token.homr=Teknisk%20fysik" htmlTables="1" htmlFormat="all">
      <tables count="1">
        <x v="1"/>
      </tables>
    </webPr>
  </connection>
  <connection id="241" name="Anslutning314" type="4" refreshedVersion="5" background="1" saveData="1">
    <webPr xl2000="1" url="http://kdb-5.liu.se/liu/lith/studiehandboken/action.lasso?&amp;-response=lot_response_hu.lasso&amp;-op=eq&amp;kp_budget_year=2012-op=eq&amp;kp_programkod=Y&amp;-op=ct&amp;kp_programprofil=mef&amp;-Token.homr=Teknisk%20fysik" htmlTables="1" htmlFormat="all">
      <tables count="1">
        <x v="1"/>
      </tables>
    </webPr>
  </connection>
  <connection id="242" name="Anslutning315" type="4" refreshedVersion="5" background="1" saveData="1">
    <webPr xl2000="1" url="http://kdb-5.liu.se/liu/lith/studiehandboken/action.lasso?&amp;-response=lot_response_hu.lasso&amp;-op=eq&amp;kp_budget_year=2013-op=eq&amp;kp_programkod=Y&amp;-op=ct&amp;kp_programprofil=mef&amp;-Token.homr=Teknisk%20fysik" htmlTables="1" htmlFormat="all">
      <tables count="1">
        <x v="1"/>
      </tables>
    </webPr>
  </connection>
  <connection id="243" name="Anslutning316" type="4" refreshedVersion="5" background="1" saveData="1">
    <webPr xl2000="1" url="http://kdb-5.liu.se/liu/lith/studiehandboken/action.lasso?&amp;-response=lot_response_hu.lasso&amp;-op=eq&amp;kp_budget_year=2014-op=eq&amp;kp_programkod=Y&amp;-op=ct&amp;kp_programprofil=mef&amp;-Token.homr=Teknisk%20fysik" htmlTables="1" htmlFormat="all">
      <tables count="1">
        <x v="1"/>
      </tables>
    </webPr>
  </connection>
  <connection id="244" name="Anslutning317" type="4" refreshedVersion="5" background="1" saveData="1">
    <webPr xl2000="1" url="http://kdb-5.liu.se/liu/lith/studiehandboken/action.lasso?&amp;-response=lot_response_hu.lasso&amp;-op=eq&amp;kp_budget_year=2009-op=eq&amp;kp_programkod=Y&amp;-op=ct&amp;kp_programprofil=tmv&amp;-Token.homr=Teknisk%20fysik" htmlTables="1" htmlFormat="all">
      <tables count="1">
        <x v="1"/>
      </tables>
    </webPr>
  </connection>
  <connection id="245" name="Anslutning318" type="4" refreshedVersion="5" background="1" saveData="1">
    <webPr xl2000="1" url="http://kdb-5.liu.se/liu/lith/studiehandboken/action.lasso?&amp;-response=lot_response_hu.lasso&amp;-op=eq&amp;kp_budget_year=2010-op=eq&amp;kp_programkod=Y&amp;-op=ct&amp;kp_programprofil=tmv&amp;-Token.homr=Teknisk%20fysik" htmlTables="1" htmlFormat="all">
      <tables count="1">
        <x v="1"/>
      </tables>
    </webPr>
  </connection>
  <connection id="246" name="Anslutning319" type="4" refreshedVersion="5" background="1" saveData="1">
    <webPr xl2000="1" url="http://kdb-5.liu.se/liu/lith/studiehandboken/action.lasso?&amp;-response=lot_response_hu.lasso&amp;-op=eq&amp;kp_budget_year=2011-op=eq&amp;kp_programkod=Y&amp;-op=ct&amp;kp_programprofil=tmv&amp;-Token.homr=Teknisk%20fysik" htmlTables="1" htmlFormat="all">
      <tables count="1">
        <x v="1"/>
      </tables>
    </webPr>
  </connection>
  <connection id="247" name="Anslutning32"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248" name="Anslutning320" type="4" refreshedVersion="5" background="1" saveData="1">
    <webPr xl2000="1" url="http://kdb-5.liu.se/liu/lith/studiehandboken/action.lasso?&amp;-response=lot_response_hu.lasso&amp;-op=eq&amp;kp_budget_year=2012-op=eq&amp;kp_programkod=Y&amp;-op=ct&amp;kp_programprofil=tmv&amp;-Token.homr=Teknisk%20fysik" htmlTables="1" htmlFormat="all">
      <tables count="1">
        <x v="1"/>
      </tables>
    </webPr>
  </connection>
  <connection id="249" name="Anslutning321" type="4" refreshedVersion="5" background="1" saveData="1">
    <webPr xl2000="1" url="http://kdb-5.liu.se/liu/lith/studiehandboken/action.lasso?&amp;-response=lot_response_hu.lasso&amp;-op=eq&amp;kp_budget_year=2013-op=eq&amp;kp_programkod=Y&amp;-op=ct&amp;kp_programprofil=tmv&amp;-Token.homr=Teknisk%20fysik" htmlTables="1" htmlFormat="all">
      <tables count="1">
        <x v="1"/>
      </tables>
    </webPr>
  </connection>
  <connection id="250" name="Anslutning322" type="4" refreshedVersion="5" background="1" saveData="1">
    <webPr xl2000="1" url="http://kdb-5.liu.se/liu/lith/studiehandboken/action.lasso?&amp;-response=lot_response_hu.lasso&amp;-op=eq&amp;kp_budget_year=2014-op=eq&amp;kp_programkod=Y&amp;-op=ct&amp;kp_programprofil=tmv&amp;-Token.homr=Teknisk%20fysik" htmlTables="1" htmlFormat="all">
      <tables count="1">
        <x v="1"/>
      </tables>
    </webPr>
  </connection>
  <connection id="251" name="Anslutning323" type="4" refreshedVersion="5" background="1" saveData="1">
    <webPr xl2000="1" url="http://kdb-5.liu.se/liu/lith/studiehandboken/action.lasso?&amp;-response=lot_response_hu.lasso&amp;-op=eq&amp;kp_budget_year=2009-op=eq&amp;kp_programkod=Y&amp;-op=ct&amp;kp_programprofil=tmf&amp;-Token.homr=Till%E4mpad%20matematik" htmlTables="1" htmlFormat="all">
      <tables count="1">
        <x v="1"/>
      </tables>
    </webPr>
  </connection>
  <connection id="252" name="Anslutning324" type="4" refreshedVersion="5" background="1" saveData="1">
    <webPr xl2000="1" url="http://kdb-5.liu.se/liu/lith/studiehandboken/action.lasso?&amp;-response=lot_response_hu.lasso&amp;-op=eq&amp;kp_budget_year=2010-op=eq&amp;kp_programkod=Y&amp;-op=ct&amp;kp_programprofil=tmf&amp;-Token.homr=Till%E4mpad%20matematik" htmlTables="1" htmlFormat="all">
      <tables count="1">
        <x v="1"/>
      </tables>
    </webPr>
  </connection>
  <connection id="253" name="Anslutning325" type="4" refreshedVersion="5" background="1" saveData="1">
    <webPr xl2000="1" url="http://kdb-5.liu.se/liu/lith/studiehandboken/action.lasso?&amp;-response=lot_response_hu.lasso&amp;-op=eq&amp;kp_budget_year=2011-op=eq&amp;kp_programkod=Y&amp;-op=ct&amp;kp_programprofil=tmf&amp;-Token.homr=Till%E4mpad%20matematik" htmlTables="1" htmlFormat="all">
      <tables count="1">
        <x v="1"/>
      </tables>
    </webPr>
  </connection>
  <connection id="254" name="Anslutning326" type="4" refreshedVersion="5" background="1" saveData="1">
    <webPr xl2000="1" url="http://kdb-5.liu.se/liu/lith/studiehandboken/action.lasso?&amp;-response=lot_response_hu.lasso&amp;-op=eq&amp;kp_budget_year=2012-op=eq&amp;kp_programkod=Y&amp;-op=ct&amp;kp_programprofil=tmf&amp;-Token.homr=Till%E4mpad%20matematik" htmlTables="1" htmlFormat="all">
      <tables count="1">
        <x v="1"/>
      </tables>
    </webPr>
  </connection>
  <connection id="255" name="Anslutning327" type="4" refreshedVersion="5" background="1" saveData="1">
    <webPr xl2000="1" url="http://kdb-5.liu.se/liu/lith/studiehandboken/action.lasso?&amp;-response=lot_response_hu.lasso&amp;-op=eq&amp;kp_budget_year=2013-op=eq&amp;kp_programkod=Y&amp;-op=ct&amp;kp_programprofil=tmf&amp;-Token.homr=Till%E4mpad%20matematik" htmlTables="1" htmlFormat="all">
      <tables count="1">
        <x v="1"/>
      </tables>
    </webPr>
  </connection>
  <connection id="256" name="Anslutning328" type="4" refreshedVersion="5" background="1" saveData="1">
    <webPr xl2000="1" url="http://kdb-5.liu.se/liu/lith/studiehandboken/action.lasso?&amp;-response=lot_response_hu.lasso&amp;-op=eq&amp;kp_budget_year=2014-op=eq&amp;kp_programkod=Y&amp;-op=ct&amp;kp_programprofil=tmf&amp;-Token.homr=Till%E4mpad%20matematik" htmlTables="1" htmlFormat="all">
      <tables count="1">
        <x v="1"/>
      </tables>
    </webPr>
  </connection>
  <connection id="257" name="Anslutning329" type="4" refreshedVersion="5" background="1" saveData="1">
    <webPr xl2000="1" url="http://kdb-5.liu.se/liu/lith/studiehandboken/action.lasso?&amp;-response=lot_response.lasso&amp;-op=eq&amp;kp_budget_year=2009-op=eq&amp;kp_programkod=Y&amp;-op=eq&amp;kp_programprofil=Y&amp;-op=gt&amp;kp_termin=6" htmlTables="1" htmlFormat="all">
      <tables count="1">
        <x v="1"/>
      </tables>
    </webPr>
  </connection>
  <connection id="258" name="Anslutning33"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259" name="Anslutning330" type="4" refreshedVersion="5" background="1" saveData="1">
    <webPr xl2000="1" url="http://kdb-5.liu.se/liu/lith/studiehandboken/action.lasso?&amp;-response=lot_response.lasso&amp;-op=eq&amp;kp_budget_year=2010-op=eq&amp;kp_programkod=Y&amp;-op=eq&amp;kp_programprofil=Y&amp;-op=gt&amp;kp_termin=6" htmlTables="1" htmlFormat="all">
      <tables count="1">
        <x v="1"/>
      </tables>
    </webPr>
  </connection>
  <connection id="260" name="Anslutning331" type="4" refreshedVersion="5" background="1" saveData="1">
    <webPr xl2000="1" url="http://kdb-5.liu.se/liu/lith/studiehandboken/action.lasso?&amp;-response=lot_response.lasso&amp;-op=eq&amp;kp_budget_year=2011-op=eq&amp;kp_programkod=Y&amp;-op=eq&amp;kp_programprofil=Y&amp;-op=gt&amp;kp_termin=6" htmlTables="1" htmlFormat="all">
      <tables count="1">
        <x v="1"/>
      </tables>
    </webPr>
  </connection>
  <connection id="261" name="Anslutning332" type="4" refreshedVersion="5" background="1" saveData="1">
    <webPr xl2000="1" url="http://kdb-5.liu.se/liu/lith/studiehandboken/action.lasso?&amp;-response=lot_response.lasso&amp;-op=eq&amp;kp_budget_year=2012-op=eq&amp;kp_programkod=Y&amp;-op=eq&amp;kp_programprofil=Y&amp;-op=gt&amp;kp_termin=6" htmlTables="1" htmlFormat="all">
      <tables count="1">
        <x v="1"/>
      </tables>
    </webPr>
  </connection>
  <connection id="262" name="Anslutning333" type="4" refreshedVersion="5" background="1" saveData="1">
    <webPr xl2000="1" url="http://kdb-5.liu.se/liu/lith/studiehandboken/action.lasso?&amp;-response=lot_response.lasso&amp;-op=eq&amp;kp_budget_year=2013-op=eq&amp;kp_programkod=Y&amp;-op=eq&amp;kp_programprofil=Y&amp;-op=gt&amp;kp_termin=6" htmlTables="1" htmlFormat="all">
      <tables count="1">
        <x v="1"/>
      </tables>
    </webPr>
  </connection>
  <connection id="263" name="Anslutning334" type="4" refreshedVersion="5" background="1" saveData="1">
    <webPr xl2000="1" url="http://kdb-5.liu.se/liu/lith/studiehandboken/action.lasso?&amp;-response=lot_response.lasso&amp;-op=eq&amp;kp_budget_year=2014-op=eq&amp;kp_programkod=Y&amp;-op=eq&amp;kp_programprofil=Y&amp;-op=gt&amp;kp_termin=6" htmlTables="1" htmlFormat="all">
      <tables count="1">
        <x v="1"/>
      </tables>
    </webPr>
  </connection>
  <connection id="264" name="Anslutning335" type="4" refreshedVersion="5" background="1" saveData="1">
    <webPr xl2000="1" url="http://kdb-5.liu.se/liu/lith/studiehandboken/action.lasso?&amp;-response=lot_response.lasso&amp;-op=eq&amp;kp_budget_year=2009-op=eq&amp;kp_programkod=Y&amp;-op=eq&amp;kp_programprofil=Yxtra&amp;-op=lt&amp;kp_termin=7" htmlTables="1" htmlFormat="all">
      <tables count="1">
        <x v="1"/>
      </tables>
    </webPr>
  </connection>
  <connection id="265" name="Anslutning336" type="4" refreshedVersion="5" background="1" saveData="1">
    <webPr xl2000="1" url="http://kdb-5.liu.se/liu/lith/studiehandboken/action.lasso?&amp;-response=lot_response.lasso&amp;-op=eq&amp;kp_budget_year=2010-op=eq&amp;kp_programkod=Y&amp;-op=eq&amp;kp_programprofil=Yxtra&amp;-op=lt&amp;kp_termin=7" htmlTables="1" htmlFormat="all">
      <tables count="1">
        <x v="1"/>
      </tables>
    </webPr>
  </connection>
  <connection id="266" name="Anslutning337" type="4" refreshedVersion="5" background="1" saveData="1">
    <webPr xl2000="1" url="http://kdb-5.liu.se/liu/lith/studiehandboken/action.lasso?&amp;-response=lot_response.lasso&amp;-op=eq&amp;kp_budget_year=2011-op=eq&amp;kp_programkod=Y&amp;-op=eq&amp;kp_programprofil=Yxtra&amp;-op=lt&amp;kp_termin=7" htmlTables="1" htmlFormat="all">
      <tables count="1">
        <x v="1"/>
      </tables>
    </webPr>
  </connection>
  <connection id="267" name="Anslutning338" type="4" refreshedVersion="5" background="1" saveData="1">
    <webPr xl2000="1" url="http://kdb-5.liu.se/liu/lith/studiehandboken/action.lasso?&amp;-response=lot_response.lasso&amp;-op=eq&amp;kp_budget_year=2012-op=eq&amp;kp_programkod=Y&amp;-op=eq&amp;kp_programprofil=Yxtra&amp;-op=lt&amp;kp_termin=7" htmlTables="1" htmlFormat="all">
      <tables count="1">
        <x v="1"/>
      </tables>
    </webPr>
  </connection>
  <connection id="268" name="Anslutning339" type="4" refreshedVersion="5" background="1" saveData="1">
    <webPr xl2000="1" url="http://kdb-5.liu.se/liu/lith/studiehandboken/action.lasso?&amp;-response=lot_response.lasso&amp;-op=eq&amp;kp_budget_year=2013-op=eq&amp;kp_programkod=Y&amp;-op=eq&amp;kp_programprofil=Yxtra&amp;-op=lt&amp;kp_termin=7" htmlTables="1" htmlFormat="all">
      <tables count="1">
        <x v="1"/>
      </tables>
    </webPr>
  </connection>
  <connection id="269" name="Anslutning34"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270" name="Anslutning340" type="4" refreshedVersion="5" background="1" saveData="1">
    <webPr xl2000="1" url="http://kdb-5.liu.se/liu/lith/studiehandboken/action.lasso?&amp;-response=lot_response.lasso&amp;-op=eq&amp;kp_budget_year=2014-op=eq&amp;kp_programkod=Y&amp;-op=eq&amp;kp_programprofil=Yxtra&amp;-op=lt&amp;kp_termin=7" htmlTables="1" htmlFormat="all">
      <tables count="1">
        <x v="1"/>
      </tables>
    </webPr>
  </connection>
  <connection id="271" name="Anslutning341" type="4" refreshedVersion="5" background="1" saveData="1">
    <webPr xl2000="1" url="http://kdb-5.liu.se/liu/lith/studiehandboken/action.lasso?&amp;-response=lot_response.lasso&amp;-op=eq&amp;kp_budget_year=2009-op=eq&amp;kp_programkod=Y&amp;-op=eq&amp;kp_programprofil=Y&amp;-op=lt&amp;kp_termin=7" htmlTables="1" htmlFormat="all">
      <tables count="1">
        <x v="1"/>
      </tables>
    </webPr>
  </connection>
  <connection id="272" name="Anslutning342" type="4" refreshedVersion="5" background="1" saveData="1">
    <webPr xl2000="1" url="http://kdb-5.liu.se/liu/lith/studiehandboken/action.lasso?&amp;-response=lot_response.lasso&amp;-op=eq&amp;kp_budget_year=2010-op=eq&amp;kp_programkod=Y&amp;-op=eq&amp;kp_programprofil=Y&amp;-op=lt&amp;kp_termin=7" htmlTables="1" htmlFormat="all">
      <tables count="1">
        <x v="1"/>
      </tables>
    </webPr>
  </connection>
  <connection id="273" name="Anslutning343" type="4" refreshedVersion="5" background="1" saveData="1">
    <webPr xl2000="1" url="http://kdb-5.liu.se/liu/lith/studiehandboken/action.lasso?&amp;-response=lot_response.lasso&amp;-op=eq&amp;kp_budget_year=2011-op=eq&amp;kp_programkod=Y&amp;-op=eq&amp;kp_programprofil=Y&amp;-op=lt&amp;kp_termin=7" htmlTables="1" htmlFormat="all">
      <tables count="1">
        <x v="1"/>
      </tables>
    </webPr>
  </connection>
  <connection id="274" name="Anslutning344" type="4" refreshedVersion="5" background="1" saveData="1">
    <webPr xl2000="1" url="http://kdb-5.liu.se/liu/lith/studiehandboken/action.lasso?&amp;-response=lot_response.lasso&amp;-op=eq&amp;kp_budget_year=2012-op=eq&amp;kp_programkod=Y&amp;-op=eq&amp;kp_programprofil=Y&amp;-op=lt&amp;kp_termin=7" htmlTables="1" htmlFormat="all">
      <tables count="1">
        <x v="1"/>
      </tables>
    </webPr>
  </connection>
  <connection id="275" name="Anslutning345" type="4" refreshedVersion="5" background="1" saveData="1">
    <webPr xl2000="1" url="http://kdb-5.liu.se/liu/lith/studiehandboken/action.lasso?&amp;-response=lot_response.lasso&amp;-op=eq&amp;kp_budget_year=2013-op=eq&amp;kp_programkod=Y&amp;-op=eq&amp;kp_programprofil=Y&amp;-op=lt&amp;kp_termin=7" htmlTables="1" htmlFormat="all">
      <tables count="1">
        <x v="1"/>
      </tables>
    </webPr>
  </connection>
  <connection id="276" name="Anslutning346" type="4" refreshedVersion="5" background="1" saveData="1">
    <webPr xl2000="1" url="http://kdb-5.liu.se/liu/lith/studiehandboken/action.lasso?&amp;-response=lot_response.lasso&amp;-op=eq&amp;kp_budget_year=2014-op=eq&amp;kp_programkod=Y&amp;-op=eq&amp;kp_programprofil=Y&amp;-op=lt&amp;kp_termin=7" htmlTables="1" htmlFormat="all">
      <tables count="1">
        <x v="1"/>
      </tables>
    </webPr>
  </connection>
  <connection id="277" name="Anslutning347" type="4" refreshedVersion="5" background="1" saveData="1">
    <webPr xl2000="1" url="http://kdb-5.liu.se/liu/lith/studiehandboken/action.lasso?&amp;-response=lot_response_hu.lasso&amp;-op=eq&amp;kp_budget_year=2009-op=eq&amp;kp_programkod=TB&amp;-op=eq&amp;kp_programprofil=TBbfbm&amp;-Token.homr=Teknisk%20biologi" htmlTables="1" htmlFormat="all">
      <tables count="1">
        <x v="1"/>
      </tables>
    </webPr>
  </connection>
  <connection id="278" name="Anslutning348" type="4" refreshedVersion="5" background="1" saveData="1">
    <webPr xl2000="1" url="http://kdb-5.liu.se/liu/lith/studiehandboken/action.lasso?&amp;-response=lot_response_hu.lasso&amp;-op=eq&amp;kp_budget_year=2010-op=eq&amp;kp_programkod=TB&amp;-op=eq&amp;kp_programprofil=TBbfbm&amp;-Token.homr=Teknisk%20biologi" htmlTables="1" htmlFormat="all">
      <tables count="1">
        <x v="1"/>
      </tables>
    </webPr>
  </connection>
  <connection id="279" name="Anslutning349" type="4" refreshedVersion="5" background="1" saveData="1">
    <webPr xl2000="1" url="http://kdb-5.liu.se/liu/lith/studiehandboken/action.lasso?&amp;-response=lot_response_hu.lasso&amp;-op=eq&amp;kp_budget_year=2011-op=eq&amp;kp_programkod=TB&amp;-op=eq&amp;kp_programprofil=TBbfbm&amp;-Token.homr=Teknisk%20biologi" htmlTables="1" htmlFormat="all">
      <tables count="1">
        <x v="1"/>
      </tables>
    </webPr>
  </connection>
  <connection id="280" name="Anslutning35" type="4" refreshedVersion="5" background="1" saveData="1">
    <webPr xl2000="1" url="http://kdb-5.liu.se/liu/lith/studiehandboken/action.lasso?&amp;-response=lot_response.lasso&amp;-op=eq&amp;kp_budget_year=2010-op=eq&amp;kp_programkod=I&amp;-op=ct&amp;kp_programprofil=bio" htmlTables="1" htmlFormat="all">
      <tables count="1">
        <x v="1"/>
      </tables>
    </webPr>
  </connection>
  <connection id="281" name="Anslutning350" type="4" refreshedVersion="5" background="1" saveData="1">
    <webPr xl2000="1" url="http://kdb-5.liu.se/liu/lith/studiehandboken/action.lasso?&amp;-response=lot_response_hu.lasso&amp;-op=eq&amp;kp_budget_year=2012-op=eq&amp;kp_programkod=TB&amp;-op=eq&amp;kp_programprofil=TBbfbm&amp;-Token.homr=Teknisk%20biologi" htmlTables="1" htmlFormat="all">
      <tables count="1">
        <x v="1"/>
      </tables>
    </webPr>
  </connection>
  <connection id="282" name="Anslutning351" type="4" refreshedVersion="5" background="1" saveData="1">
    <webPr xl2000="1" url="http://kdb-5.liu.se/liu/lith/studiehandboken/action.lasso?&amp;-response=lot_response_hu.lasso&amp;-op=eq&amp;kp_budget_year=2013-op=eq&amp;kp_programkod=TB&amp;-op=eq&amp;kp_programprofil=TBbfbm&amp;-Token.homr=Teknisk%20biologi" htmlTables="1" htmlFormat="all">
      <tables count="1">
        <x v="1"/>
      </tables>
    </webPr>
  </connection>
  <connection id="283" name="Anslutning352" type="4" refreshedVersion="5" background="1" saveData="1">
    <webPr xl2000="1" url="http://kdb-5.liu.se/liu/lith/studiehandboken/action.lasso?&amp;-response=lot_response_hu.lasso&amp;-op=eq&amp;kp_budget_year=2014-op=eq&amp;kp_programkod=TB&amp;-op=eq&amp;kp_programprofil=TBbfbm&amp;-Token.homr=Teknisk%20biologi" htmlTables="1" htmlFormat="all">
      <tables count="1">
        <x v="1"/>
      </tables>
    </webPr>
  </connection>
  <connection id="284" name="Anslutning353" type="4" refreshedVersion="5" background="1" saveData="1">
    <webPr xl2000="1" url="http://kdb-5.liu.se/liu/lith/studiehandboken/action.lasso?&amp;-response=lot_response_hu.lasso&amp;-op=eq&amp;kp_budget_year=2009-op=eq&amp;kp_programkod=TB&amp;-op=eq&amp;kp_programprofil=TBbp&amp;-Token.homr=Teknisk%20biologi" htmlTables="1" htmlFormat="all">
      <tables count="1">
        <x v="1"/>
      </tables>
    </webPr>
  </connection>
  <connection id="285" name="Anslutning354" type="4" refreshedVersion="5" background="1" saveData="1">
    <webPr xl2000="1" url="http://kdb-5.liu.se/liu/lith/studiehandboken/action.lasso?&amp;-response=lot_response_hu.lasso&amp;-op=eq&amp;kp_budget_year=2010-op=eq&amp;kp_programkod=TB&amp;-op=eq&amp;kp_programprofil=TBbp&amp;-Token.homr=Teknisk%20biologi" htmlTables="1" htmlFormat="all">
      <tables count="1">
        <x v="1"/>
      </tables>
    </webPr>
  </connection>
  <connection id="286" name="Anslutning355" type="4" refreshedVersion="5" background="1" saveData="1">
    <webPr xl2000="1" url="http://kdb-5.liu.se/liu/lith/studiehandboken/action.lasso?&amp;-response=lot_response_hu.lasso&amp;-op=eq&amp;kp_budget_year=2011-op=eq&amp;kp_programkod=TB&amp;-op=eq&amp;kp_programprofil=TBbp&amp;-Token.homr=Teknisk%20biologi" htmlTables="1" htmlFormat="all">
      <tables count="1">
        <x v="1"/>
      </tables>
    </webPr>
  </connection>
  <connection id="287" name="Anslutning356" type="4" refreshedVersion="5" background="1" saveData="1">
    <webPr xl2000="1" url="http://kdb-5.liu.se/liu/lith/studiehandboken/action.lasso?&amp;-response=lot_response_hu.lasso&amp;-op=eq&amp;kp_budget_year=2012-op=eq&amp;kp_programkod=TB&amp;-op=eq&amp;kp_programprofil=TBbp&amp;-Token.homr=Teknisk%20biologi" htmlTables="1" htmlFormat="all">
      <tables count="1">
        <x v="1"/>
      </tables>
    </webPr>
  </connection>
  <connection id="288" name="Anslutning357" type="4" refreshedVersion="5" background="1" saveData="1">
    <webPr xl2000="1" url="http://kdb-5.liu.se/liu/lith/studiehandboken/action.lasso?&amp;-response=lot_response_hu.lasso&amp;-op=eq&amp;kp_budget_year=2013-op=eq&amp;kp_programkod=TB&amp;-op=eq&amp;kp_programprofil=TBbp&amp;-Token.homr=Teknisk%20biologi" htmlTables="1" htmlFormat="all">
      <tables count="1">
        <x v="1"/>
      </tables>
    </webPr>
  </connection>
  <connection id="289" name="Anslutning358" type="4" refreshedVersion="5" background="1" saveData="1">
    <webPr xl2000="1" url="http://kdb-5.liu.se/liu/lith/studiehandboken/action.lasso?&amp;-response=lot_response_hu.lasso&amp;-op=eq&amp;kp_budget_year=2014-op=eq&amp;kp_programkod=TB&amp;-op=eq&amp;kp_programprofil=TBbp&amp;-Token.homr=Teknisk%20biologi" htmlTables="1" htmlFormat="all">
      <tables count="1">
        <x v="1"/>
      </tables>
    </webPr>
  </connection>
  <connection id="290" name="Anslutning359" type="4" refreshedVersion="5" background="1" saveData="1">
    <webPr xl2000="1" url="http://kdb-5.liu.se/liu/lith/studiehandboken/action.lasso?&amp;-response=lot_response.lasso&amp;-op=eq&amp;kp_budget_year=2009-op=eq&amp;kp_programkod=TB&amp;-op=eq&amp;kp_programprofil=TB&amp;-op=&amp;-op=lt&amp;kp_termin=7" htmlTables="1" htmlFormat="all">
      <tables count="1">
        <x v="1"/>
      </tables>
    </webPr>
  </connection>
  <connection id="291" name="Anslutning36" type="4" refreshedVersion="5" background="1" saveData="1">
    <webPr xl2000="1" url="http://kdb-5.liu.se/liu/lith/studiehandboken/action.lasso?&amp;-response=lot_response.lasso&amp;-op=eq&amp;kp_budget_year=2011-op=eq&amp;kp_programkod=I&amp;-op=ct&amp;kp_programprofil=bio" htmlTables="1" htmlFormat="all">
      <tables count="1">
        <x v="1"/>
      </tables>
    </webPr>
  </connection>
  <connection id="292" name="Anslutning360" type="4" refreshedVersion="5" background="1" saveData="1">
    <webPr xl2000="1" url="http://kdb-5.liu.se/liu/lith/studiehandboken/action.lasso?&amp;-response=lot_response.lasso&amp;-op=eq&amp;kp_budget_year=2010-op=eq&amp;kp_programkod=TB&amp;-op=eq&amp;kp_programprofil=TB&amp;-op=&amp;-op=lt&amp;kp_termin=7" htmlTables="1" htmlFormat="all">
      <tables count="1">
        <x v="1"/>
      </tables>
    </webPr>
  </connection>
  <connection id="293" name="Anslutning361" type="4" refreshedVersion="5" background="1" saveData="1">
    <webPr xl2000="1" url="http://kdb-5.liu.se/liu/lith/studiehandboken/action.lasso?&amp;-response=lot_response.lasso&amp;-op=eq&amp;kp_budget_year=2011-op=eq&amp;kp_programkod=TB&amp;-op=eq&amp;kp_programprofil=TB&amp;-op=&amp;-op=lt&amp;kp_termin=7" htmlTables="1" htmlFormat="all">
      <tables count="1">
        <x v="1"/>
      </tables>
    </webPr>
  </connection>
  <connection id="294" name="Anslutning362" type="4" refreshedVersion="5" background="1" saveData="1">
    <webPr xl2000="1" url="http://kdb-5.liu.se/liu/lith/studiehandboken/action.lasso?&amp;-response=lot_response.lasso&amp;-op=eq&amp;kp_budget_year=2012-op=eq&amp;kp_programkod=TB&amp;-op=eq&amp;kp_programprofil=TB&amp;-op=&amp;-op=lt&amp;kp_termin=7" htmlTables="1" htmlFormat="all">
      <tables count="1">
        <x v="1"/>
      </tables>
    </webPr>
  </connection>
  <connection id="295" name="Anslutning363" type="4" refreshedVersion="5" background="1" saveData="1">
    <webPr xl2000="1" url="http://kdb-5.liu.se/liu/lith/studiehandboken/action.lasso?&amp;-response=lot_response.lasso&amp;-op=eq&amp;kp_budget_year=2013-op=eq&amp;kp_programkod=TB&amp;-op=eq&amp;kp_programprofil=TB&amp;-op=&amp;-op=lt&amp;kp_termin=7" htmlTables="1" htmlFormat="all">
      <tables count="1">
        <x v="1"/>
      </tables>
    </webPr>
  </connection>
  <connection id="296" name="Anslutning364" type="4" refreshedVersion="5" background="1" saveData="1">
    <webPr xl2000="1" url="http://kdb-5.liu.se/liu/lith/studiehandboken/action.lasso?&amp;-response=lot_response.lasso&amp;-op=eq&amp;kp_budget_year=2014-op=eq&amp;kp_programkod=TB&amp;-op=eq&amp;kp_programprofil=TB&amp;-op=&amp;-op=lt&amp;kp_termin=7" htmlTables="1" htmlFormat="all">
      <tables count="1">
        <x v="1"/>
      </tables>
    </webPr>
  </connection>
  <connection id="297" name="Anslutning365" type="4" refreshedVersion="5" background="1" saveData="1">
    <webPr xl2000="1" url="http://kdb-5.liu.se/liu/lith/studiehandboken/action.lasso?&amp;-response=lot_response_hu.lasso&amp;-op=eq&amp;kp_budget_year=2009-op=eq&amp;kp_programkod=ED&amp;-op=ct&amp;kp_programprofil=ts&amp;-op=eq&amp;-Token.homr=Elektroteknik" htmlTables="1" htmlFormat="all">
      <tables count="1">
        <x v="1"/>
      </tables>
    </webPr>
  </connection>
  <connection id="298" name="Anslutning366" type="4" refreshedVersion="5" background="1" saveData="1">
    <webPr xl2000="1" url="http://kdb-5.liu.se/liu/lith/studiehandboken/action.lasso?&amp;-response=lot_response_hu.lasso&amp;-op=eq&amp;kp_budget_year=2010-op=eq&amp;kp_programkod=ED&amp;-op=ct&amp;kp_programprofil=ts&amp;-op=eq&amp;-Token.homr=Elektroteknik" htmlTables="1" htmlFormat="all">
      <tables count="1">
        <x v="1"/>
      </tables>
    </webPr>
  </connection>
  <connection id="299" name="Anslutning367" type="4" refreshedVersion="5" background="1" saveData="1">
    <webPr xl2000="1" url="http://kdb-5.liu.se/liu/lith/studiehandboken/action.lasso?&amp;-response=lot_response_hu.lasso&amp;-op=eq&amp;kp_budget_year=2011-op=eq&amp;kp_programkod=ED&amp;-op=ct&amp;kp_programprofil=ts&amp;-op=eq&amp;-Token.homr=Elektroteknik" htmlTables="1" htmlFormat="all">
      <tables count="1">
        <x v="1"/>
      </tables>
    </webPr>
  </connection>
  <connection id="300" name="Anslutning368" type="4" refreshedVersion="5" background="1" saveData="1">
    <webPr xl2000="1" url="http://kdb-5.liu.se/liu/lith/studiehandboken/action.lasso?&amp;-response=lot_response_hu.lasso&amp;-op=eq&amp;kp_budget_year=2012-op=eq&amp;kp_programkod=ED&amp;-op=ct&amp;kp_programprofil=ts&amp;-op=eq&amp;-Token.homr=Elektroteknik" htmlTables="1" htmlFormat="all">
      <tables count="1">
        <x v="1"/>
      </tables>
    </webPr>
  </connection>
  <connection id="301" name="Anslutning369" type="4" refreshedVersion="5" background="1" saveData="1">
    <webPr xl2000="1" url="http://kdb-5.liu.se/liu/lith/studiehandboken/action.lasso?&amp;-response=lot_response_hu.lasso&amp;-op=eq&amp;kp_budget_year=2013-op=eq&amp;kp_programkod=ED&amp;-op=ct&amp;kp_programprofil=ts&amp;-op=eq&amp;-Token.homr=Elektroteknik" htmlTables="1" htmlFormat="all">
      <tables count="1">
        <x v="1"/>
      </tables>
    </webPr>
  </connection>
  <connection id="302" name="Anslutning37" type="4" refreshedVersion="5" background="1" saveData="1">
    <webPr xl2000="1" url="http://kdb-5.liu.se/liu/lith/studiehandboken/action.lasso?&amp;-response=lot_response.lasso&amp;-op=eq&amp;kp_budget_year=2012-op=eq&amp;kp_programkod=I&amp;-op=ct&amp;kp_programprofil=bio" htmlTables="1" htmlFormat="all">
      <tables count="1">
        <x v="1"/>
      </tables>
    </webPr>
  </connection>
  <connection id="303" name="Anslutning370" type="4" refreshedVersion="5" background="1" saveData="1">
    <webPr xl2000="1" url="http://kdb-5.liu.se/liu/lith/studiehandboken/action.lasso?&amp;-response=lot_response_hu.lasso&amp;-op=eq&amp;kp_budget_year=2014-op=eq&amp;kp_programkod=ED&amp;-op=ct&amp;kp_programprofil=ts&amp;-op=eq&amp;-Token.homr=Elektroteknik" htmlTables="1" htmlFormat="all">
      <tables count="1">
        <x v="1"/>
      </tables>
    </webPr>
  </connection>
  <connection id="304" name="Anslutning371" type="4" refreshedVersion="5" background="1" saveData="1">
    <webPr xl2000="1" url="http://kdb-5.liu.se/liu/lith/studiehandboken/action.lasso?&amp;-response=lot_response_hu.lasso&amp;-op=eq&amp;kp_budget_year=2009-op=eq&amp;kp_programkod=ED&amp;-op=ct&amp;kp_programprofil=sl&amp;-op=eq&amp;-Token.homr=Elektroteknik" htmlTables="1" htmlFormat="all">
      <tables count="1">
        <x v="1"/>
      </tables>
    </webPr>
  </connection>
  <connection id="305" name="Anslutning372" type="4" refreshedVersion="5" background="1" saveData="1">
    <webPr xl2000="1" url="http://kdb-5.liu.se/liu/lith/studiehandboken/action.lasso?&amp;-response=lot_response_hu.lasso&amp;-op=eq&amp;kp_budget_year=2010-op=eq&amp;kp_programkod=ED&amp;-op=ct&amp;kp_programprofil=sl&amp;-op=eq&amp;-Token.homr=Elektroteknik" htmlTables="1" htmlFormat="all">
      <tables count="1">
        <x v="1"/>
      </tables>
    </webPr>
  </connection>
  <connection id="306" name="Anslutning373" type="4" refreshedVersion="5" background="1" saveData="1">
    <webPr xl2000="1" url="http://kdb-5.liu.se/liu/lith/studiehandboken/action.lasso?&amp;-response=lot_response_hu.lasso&amp;-op=eq&amp;kp_budget_year=2011-op=eq&amp;kp_programkod=ED&amp;-op=ct&amp;kp_programprofil=sl&amp;-op=eq&amp;-Token.homr=Elektroteknik" htmlTables="1" htmlFormat="all">
      <tables count="1">
        <x v="1"/>
      </tables>
    </webPr>
  </connection>
  <connection id="307" name="Anslutning374" type="4" refreshedVersion="5" background="1" saveData="1">
    <webPr xl2000="1" url="http://kdb-5.liu.se/liu/lith/studiehandboken/action.lasso?&amp;-response=lot_response_hu.lasso&amp;-op=eq&amp;kp_budget_year=2012-op=eq&amp;kp_programkod=ED&amp;-op=ct&amp;kp_programprofil=sl&amp;-op=eq&amp;-Token.homr=Elektroteknik" htmlTables="1" htmlFormat="all">
      <tables count="1">
        <x v="1"/>
      </tables>
    </webPr>
  </connection>
  <connection id="308" name="Anslutning375" type="4" refreshedVersion="5" background="1" saveData="1">
    <webPr xl2000="1" url="http://kdb-5.liu.se/liu/lith/studiehandboken/action.lasso?&amp;-response=lot_response_hu.lasso&amp;-op=eq&amp;kp_budget_year=2013-op=eq&amp;kp_programkod=ED&amp;-op=ct&amp;kp_programprofil=sl&amp;-op=eq&amp;-Token.homr=Elektroteknik" htmlTables="1" htmlFormat="all">
      <tables count="1">
        <x v="1"/>
      </tables>
    </webPr>
  </connection>
  <connection id="309" name="Anslutning376" type="4" refreshedVersion="5" background="1" saveData="1">
    <webPr xl2000="1" url="http://kdb-5.liu.se/liu/lith/studiehandboken/action.lasso?&amp;-response=lot_response_hu.lasso&amp;-op=eq&amp;kp_budget_year=2014-op=eq&amp;kp_programkod=ED&amp;-op=ct&amp;kp_programprofil=sl&amp;-op=eq&amp;-Token.homr=Elektroteknik" htmlTables="1" htmlFormat="all">
      <tables count="1">
        <x v="1"/>
      </tables>
    </webPr>
  </connection>
  <connection id="310" name="Anslutning377" type="4" refreshedVersion="5" background="1" saveData="1">
    <webPr xl2000="1" url="http://kdb-5.liu.se/liu/lith/studiehandboken/action.lasso?&amp;-response=lot_response.lasso&amp;-op=eq&amp;kp_budget_year=2009-op=eq&amp;kp_programkod=ED&amp;-op=eq&amp;kp_programprofil=ED&amp;-op=gt&amp;kp_termin=6" htmlTables="1" htmlFormat="all">
      <tables count="1">
        <x v="1"/>
      </tables>
    </webPr>
  </connection>
  <connection id="311" name="Anslutning378" type="4" refreshedVersion="5" background="1" saveData="1">
    <webPr xl2000="1" url="http://kdb-5.liu.se/liu/lith/studiehandboken/action.lasso?&amp;-response=lot_response.lasso&amp;-op=eq&amp;kp_budget_year=2010-op=eq&amp;kp_programkod=ED&amp;-op=eq&amp;kp_programprofil=ED&amp;-op=gt&amp;kp_termin=6" htmlTables="1" htmlFormat="all">
      <tables count="1">
        <x v="1"/>
      </tables>
    </webPr>
  </connection>
  <connection id="312" name="Anslutning379" type="4" refreshedVersion="5" background="1" saveData="1">
    <webPr xl2000="1" url="http://kdb-5.liu.se/liu/lith/studiehandboken/action.lasso?&amp;-response=lot_response.lasso&amp;-op=eq&amp;kp_budget_year=2011-op=eq&amp;kp_programkod=ED&amp;-op=eq&amp;kp_programprofil=ED&amp;-op=gt&amp;kp_termin=6" htmlTables="1" htmlFormat="all">
      <tables count="1">
        <x v="1"/>
      </tables>
    </webPr>
  </connection>
  <connection id="313" name="Anslutning38" type="4" refreshedVersion="5" background="1" saveData="1">
    <webPr xl2000="1" url="http://kdb-5.liu.se/liu/lith/studiehandboken/action.lasso?&amp;-response=lot_response.lasso&amp;-op=eq&amp;kp_budget_year=2013-op=eq&amp;kp_programkod=I&amp;-op=ct&amp;kp_programprofil=bio" htmlTables="1" htmlFormat="all">
      <tables count="1">
        <x v="1"/>
      </tables>
    </webPr>
  </connection>
  <connection id="314" name="Anslutning380" type="4" refreshedVersion="5" background="1" saveData="1">
    <webPr xl2000="1" url="http://kdb-5.liu.se/liu/lith/studiehandboken/action.lasso?&amp;-response=lot_response.lasso&amp;-op=eq&amp;kp_budget_year=2012-op=eq&amp;kp_programkod=ED&amp;-op=eq&amp;kp_programprofil=ED&amp;-op=gt&amp;kp_termin=6" htmlTables="1" htmlFormat="all">
      <tables count="1">
        <x v="1"/>
      </tables>
    </webPr>
  </connection>
  <connection id="315" name="Anslutning381" type="4" refreshedVersion="5" background="1" saveData="1">
    <webPr xl2000="1" url="http://kdb-5.liu.se/liu/lith/studiehandboken/action.lasso?&amp;-response=lot_response.lasso&amp;-op=eq&amp;kp_budget_year=2013-op=eq&amp;kp_programkod=ED&amp;-op=eq&amp;kp_programprofil=ED&amp;-op=gt&amp;kp_termin=6" htmlTables="1" htmlFormat="all">
      <tables count="1">
        <x v="1"/>
      </tables>
    </webPr>
  </connection>
  <connection id="316" name="Anslutning382" type="4" refreshedVersion="5" background="1" saveData="1">
    <webPr xl2000="1" url="http://kdb-5.liu.se/liu/lith/studiehandboken/action.lasso?&amp;-response=lot_response.lasso&amp;-op=eq&amp;kp_budget_year=2014-op=eq&amp;kp_programkod=ED&amp;-op=eq&amp;kp_programprofil=ED&amp;-op=gt&amp;kp_termin=6" htmlTables="1" htmlFormat="all">
      <tables count="1">
        <x v="1"/>
      </tables>
    </webPr>
  </connection>
  <connection id="317" name="Anslutning383" type="4" refreshedVersion="5" background="1" saveData="1">
    <webPr xl2000="1" url="http://kdb-5.liu.se/liu/lith/studiehandboken/action.lasso?&amp;-response=lot_response.lasso&amp;-op=eq&amp;kp_budget_year=2009-op=eq&amp;kp_programkod=ED&amp;-op=eq&amp;kp_programprofil=ED&amp;-op=lt&amp;kp_termin=7" htmlTables="1" htmlFormat="all">
      <tables count="1">
        <x v="1"/>
      </tables>
    </webPr>
  </connection>
  <connection id="318" name="Anslutning384" type="4" refreshedVersion="5" background="1" saveData="1">
    <webPr xl2000="1" url="http://kdb-5.liu.se/liu/lith/studiehandboken/action.lasso?&amp;-response=lot_response.lasso&amp;-op=eq&amp;kp_budget_year=2010-op=eq&amp;kp_programkod=ED&amp;-op=eq&amp;kp_programprofil=ED&amp;-op=lt&amp;kp_termin=7" htmlTables="1" htmlFormat="all">
      <tables count="1">
        <x v="1"/>
      </tables>
    </webPr>
  </connection>
  <connection id="319" name="Anslutning385" type="4" refreshedVersion="5" background="1" saveData="1">
    <webPr xl2000="1" url="http://kdb-5.liu.se/liu/lith/studiehandboken/action.lasso?&amp;-response=lot_response.lasso&amp;-op=eq&amp;kp_budget_year=2011-op=eq&amp;kp_programkod=ED&amp;-op=eq&amp;kp_programprofil=ED&amp;-op=lt&amp;kp_termin=7" htmlTables="1" htmlFormat="all">
      <tables count="1">
        <x v="1"/>
      </tables>
    </webPr>
  </connection>
  <connection id="320" name="Anslutning386" type="4" refreshedVersion="5" background="1" saveData="1">
    <webPr xl2000="1" url="http://kdb-5.liu.se/liu/lith/studiehandboken/action.lasso?&amp;-response=lot_response.lasso&amp;-op=eq&amp;kp_budget_year=2012-op=eq&amp;kp_programkod=ED&amp;-op=eq&amp;kp_programprofil=ED&amp;-op=lt&amp;kp_termin=7" htmlTables="1" htmlFormat="all">
      <tables count="1">
        <x v="1"/>
      </tables>
    </webPr>
  </connection>
  <connection id="321" name="Anslutning387" type="4" refreshedVersion="5" background="1" saveData="1">
    <webPr xl2000="1" url="http://kdb-5.liu.se/liu/lith/studiehandboken/action.lasso?&amp;-response=lot_response.lasso&amp;-op=eq&amp;kp_budget_year=2013-op=eq&amp;kp_programkod=ED&amp;-op=eq&amp;kp_programprofil=ED&amp;-op=lt&amp;kp_termin=7" htmlTables="1" htmlFormat="all">
      <tables count="1">
        <x v="1"/>
      </tables>
    </webPr>
  </connection>
  <connection id="322" name="Anslutning388" type="4" refreshedVersion="5" background="1" saveData="1">
    <webPr xl2000="1" url="http://kdb-5.liu.se/liu/lith/studiehandboken/action.lasso?&amp;-response=lot_response.lasso&amp;-op=eq&amp;kp_budget_year=2014-op=eq&amp;kp_programkod=ED&amp;-op=eq&amp;kp_programprofil=ED&amp;-op=lt&amp;kp_termin=7" htmlTables="1" htmlFormat="all">
      <tables count="1">
        <x v="1"/>
      </tables>
    </webPr>
  </connection>
  <connection id="323" name="Anslutning389" type="4" refreshedVersion="5" background="1" saveData="1">
    <webPr xl2000="1" url="http://kdb-5.liu.se/liu/lith/studiehandboken/action.lasso?&amp;-response=lot_response_hu.lasso&amp;-op=eq&amp;kp_budget_year=2009-op=eq&amp;kp_programkod=MED&amp;-op=ct&amp;kp_programprofil=bv&amp;-Token.homr=Elektroteknik" htmlTables="1" htmlFormat="all">
      <tables count="1">
        <x v="1"/>
      </tables>
    </webPr>
  </connection>
  <connection id="324" name="Anslutning39" type="4" refreshedVersion="5" background="1" saveData="1">
    <webPr xl2000="1" url="http://kdb-5.liu.se/liu/lith/studiehandboken/action.lasso?&amp;-response=lot_response.lasso&amp;-op=eq&amp;kp_budget_year=2014-op=eq&amp;kp_programkod=I&amp;-op=ct&amp;kp_programprofil=bio" htmlTables="1" htmlFormat="all">
      <tables count="1">
        <x v="1"/>
      </tables>
    </webPr>
  </connection>
  <connection id="325" name="Anslutning390" type="4" refreshedVersion="5" background="1" saveData="1">
    <webPr xl2000="1" url="http://kdb-5.liu.se/liu/lith/studiehandboken/action.lasso?&amp;-response=lot_response_hu.lasso&amp;-op=eq&amp;kp_budget_year=2010-op=eq&amp;kp_programkod=MED&amp;-op=ct&amp;kp_programprofil=bv&amp;-Token.homr=Elektroteknik" htmlTables="1" htmlFormat="all">
      <tables count="1">
        <x v="1"/>
      </tables>
    </webPr>
  </connection>
  <connection id="326" name="Anslutning391" type="4" refreshedVersion="5" background="1" saveData="1">
    <webPr xl2000="1" url="http://kdb-5.liu.se/liu/lith/studiehandboken/action.lasso?&amp;-response=lot_response_hu.lasso&amp;-op=eq&amp;kp_budget_year=2011-op=eq&amp;kp_programkod=MED&amp;-op=ct&amp;kp_programprofil=bv&amp;-Token.homr=Elektroteknik" htmlTables="1" htmlFormat="all">
      <tables count="1">
        <x v="1"/>
      </tables>
    </webPr>
  </connection>
  <connection id="327" name="Anslutning392" type="4" refreshedVersion="5" background="1" saveData="1">
    <webPr xl2000="1" url="http://kdb-5.liu.se/liu/lith/studiehandboken/action.lasso?&amp;-response=lot_response_hu.lasso&amp;-op=eq&amp;kp_budget_year=2012-op=eq&amp;kp_programkod=MED&amp;-op=ct&amp;kp_programprofil=bv&amp;-Token.homr=Elektroteknik" htmlTables="1" htmlFormat="all">
      <tables count="1">
        <x v="1"/>
      </tables>
    </webPr>
  </connection>
  <connection id="328" name="Anslutning393" type="4" refreshedVersion="5" background="1" saveData="1">
    <webPr xl2000="1" url="http://kdb-5.liu.se/liu/lith/studiehandboken/action.lasso?&amp;-response=lot_response_hu.lasso&amp;-op=eq&amp;kp_budget_year=2013-op=eq&amp;kp_programkod=MED&amp;-op=ct&amp;kp_programprofil=bv&amp;-Token.homr=Elektroteknik" htmlTables="1" htmlFormat="all">
      <tables count="1">
        <x v="1"/>
      </tables>
    </webPr>
  </connection>
  <connection id="329" name="Anslutning394" type="4" refreshedVersion="5" background="1" saveData="1">
    <webPr xl2000="1" url="http://kdb-5.liu.se/liu/lith/studiehandboken/action.lasso?&amp;-response=lot_response_hu.lasso&amp;-op=eq&amp;kp_budget_year=2014-op=eq&amp;kp_programkod=MED&amp;-op=ct&amp;kp_programprofil=bv&amp;-Token.homr=Elektroteknik" htmlTables="1" htmlFormat="all">
      <tables count="1">
        <x v="1"/>
      </tables>
    </webPr>
  </connection>
  <connection id="330" name="Anslutning395" type="4" refreshedVersion="5" background="1" saveData="1">
    <webPr xl2000="1" url="http://kdb-5.liu.se/liu/lith/studiehandboken/action.lasso?&amp;-response=lot_response_hu.lasso&amp;-op=eq&amp;kp_budget_year=2009-op=eq&amp;kp_programkod=MED&amp;-op=eq&amp;-op=ct&amp;kp_programprofil=mat&amp;-Token.homr=Teknisk%20fysik" htmlTables="1" htmlFormat="all">
      <tables count="1">
        <x v="1"/>
      </tables>
    </webPr>
  </connection>
  <connection id="331" name="Anslutning396" type="4" refreshedVersion="5" background="1" saveData="1">
    <webPr xl2000="1" url="http://kdb-5.liu.se/liu/lith/studiehandboken/action.lasso?&amp;-response=lot_response_hu.lasso&amp;-op=eq&amp;kp_budget_year=2010-op=eq&amp;kp_programkod=MED&amp;-op=eq&amp;-op=ct&amp;kp_programprofil=mat&amp;-Token.homr=Teknisk%20fysik" htmlTables="1" htmlFormat="all">
      <tables count="1">
        <x v="1"/>
      </tables>
    </webPr>
  </connection>
  <connection id="332" name="Anslutning397" type="4" refreshedVersion="5" background="1" saveData="1">
    <webPr xl2000="1" url="http://kdb-5.liu.se/liu/lith/studiehandboken/action.lasso?&amp;-response=lot_response_hu.lasso&amp;-op=eq&amp;kp_budget_year=2011-op=eq&amp;kp_programkod=MED&amp;-op=eq&amp;-op=ct&amp;kp_programprofil=mat&amp;-Token.homr=Teknisk%20fysik" htmlTables="1" htmlFormat="all">
      <tables count="1">
        <x v="1"/>
      </tables>
    </webPr>
  </connection>
  <connection id="333" name="Anslutning398" type="4" refreshedVersion="5" background="1" saveData="1">
    <webPr xl2000="1" url="http://kdb-5.liu.se/liu/lith/studiehandboken/action.lasso?&amp;-response=lot_response_hu.lasso&amp;-op=eq&amp;kp_budget_year=2012-op=eq&amp;kp_programkod=MED&amp;-op=eq&amp;-op=ct&amp;kp_programprofil=mat&amp;-Token.homr=Teknisk%20fysik" htmlTables="1" htmlFormat="all">
      <tables count="1">
        <x v="1"/>
      </tables>
    </webPr>
  </connection>
  <connection id="334" name="Anslutning399" type="4" refreshedVersion="5" background="1" saveData="1">
    <webPr xl2000="1" url="http://kdb-5.liu.se/liu/lith/studiehandboken/action.lasso?&amp;-response=lot_response_hu.lasso&amp;-op=eq&amp;kp_budget_year=2013-op=eq&amp;kp_programkod=MED&amp;-op=eq&amp;-op=ct&amp;kp_programprofil=mat&amp;-Token.homr=Teknisk%20fysik" htmlTables="1" htmlFormat="all">
      <tables count="1">
        <x v="1"/>
      </tables>
    </webPr>
  </connection>
  <connection id="335" name="Anslutning4" type="4" refreshedVersion="5" background="1" saveData="1">
    <webPr xl2000="1" url="http://kdb-5.liu.se/liu/lith/studiehandboken/action.lasso?&amp;-response=lot_response.lasso&amp;-op=eq&amp;kp_budget_year=2011-op=eq&amp;kp_programkod=I&amp;-op=ct&amp;kp_programprofil=maskin" htmlTables="1" htmlFormat="all">
      <tables count="1">
        <x v="1"/>
      </tables>
    </webPr>
  </connection>
  <connection id="336" name="Anslutning40" type="4" refreshedVersion="5" background="1" saveData="1">
    <webPr xl2000="1" url="http://kdb-5.liu.se/liu/lith/studiehandboken/action.lasso?&amp;-response=lot_response.lasso&amp;-op=eq&amp;kp_budget_year=2013&amp;-op=eq2009oken/action.lasso?&amp;-response=lot_response.lasso&amp;-op=eq&amp;kp_budget_year=2013&amp;-op=eq&amp;kp_programkod=I&amp;-op=ct&amp;kp_programprofil=data" htmlTables="1" htmlFormat="all">
      <tables count="1">
        <x v="1"/>
      </tables>
    </webPr>
  </connection>
  <connection id="337" name="Anslutning400" type="4" refreshedVersion="5" background="1" saveData="1">
    <webPr xl2000="1" url="http://kdb-5.liu.se/liu/lith/studiehandboken/action.lasso?&amp;-response=lot_response_hu.lasso&amp;-op=eq&amp;kp_budget_year=2014-op=eq&amp;kp_programkod=MED&amp;-op=eq&amp;-op=ct&amp;kp_programprofil=mat&amp;-Token.homr=Teknisk%20fysik" htmlTables="1" htmlFormat="all">
      <tables count="1">
        <x v="1"/>
      </tables>
    </webPr>
  </connection>
  <connection id="338" name="Anslutning401" type="4" refreshedVersion="5" background="1" saveData="1">
    <webPr xl2000="1" url="http://kdb-5.liu.se/liu/lith/studiehandboken/action.lasso?&amp;-response=lot_response_hu.lasso&amp;-op=eq&amp;kp_budget_year=2009-op=eq&amp;kp_programkod=MED&amp;-op=ct&amp;kp_programprofil=mo&amp;-Token.homr=Medicinsk%20teknik" htmlTables="1" htmlFormat="all">
      <tables count="1">
        <x v="1"/>
      </tables>
    </webPr>
  </connection>
  <connection id="339" name="Anslutning402" type="4" refreshedVersion="5" background="1" saveData="1">
    <webPr xl2000="1" url="http://kdb-5.liu.se/liu/lith/studiehandboken/action.lasso?&amp;-response=lot_response_hu.lasso&amp;-op=eq&amp;kp_budget_year=2010-op=eq&amp;kp_programkod=MED&amp;-op=ct&amp;kp_programprofil=mo&amp;-Token.homr=Medicinsk%20teknik" htmlTables="1" htmlFormat="all">
      <tables count="1">
        <x v="1"/>
      </tables>
    </webPr>
  </connection>
  <connection id="340" name="Anslutning403" type="4" refreshedVersion="5" background="1" saveData="1">
    <webPr xl2000="1" url="http://kdb-5.liu.se/liu/lith/studiehandboken/action.lasso?&amp;-response=lot_response_hu.lasso&amp;-op=eq&amp;kp_budget_year=2011-op=eq&amp;kp_programkod=MED&amp;-op=ct&amp;kp_programprofil=mo&amp;-Token.homr=Medicinsk%20teknik" htmlTables="1" htmlFormat="all">
      <tables count="1">
        <x v="1"/>
      </tables>
    </webPr>
  </connection>
  <connection id="341" name="Anslutning404" type="4" refreshedVersion="5" background="1" saveData="1">
    <webPr xl2000="1" url="http://kdb-5.liu.se/liu/lith/studiehandboken/action.lasso?&amp;-response=lot_response_hu.lasso&amp;-op=eq&amp;kp_budget_year=2012-op=eq&amp;kp_programkod=MED&amp;-op=ct&amp;kp_programprofil=mo&amp;-Token.homr=Medicinsk%20teknik" htmlTables="1" htmlFormat="all">
      <tables count="1">
        <x v="1"/>
      </tables>
    </webPr>
  </connection>
  <connection id="342" name="Anslutning405" type="4" refreshedVersion="5" background="1" saveData="1">
    <webPr xl2000="1" url="http://kdb-5.liu.se/liu/lith/studiehandboken/action.lasso?&amp;-response=lot_response_hu.lasso&amp;-op=eq&amp;kp_budget_year=2013-op=eq&amp;kp_programkod=MED&amp;-op=ct&amp;kp_programprofil=mo&amp;-Token.homr=Medicinsk%20teknik" htmlTables="1" htmlFormat="all">
      <tables count="1">
        <x v="1"/>
      </tables>
    </webPr>
  </connection>
  <connection id="343" name="Anslutning406" type="4" refreshedVersion="5" background="1" saveData="1">
    <webPr xl2000="1" url="http://kdb-5.liu.se/liu/lith/studiehandboken/action.lasso?&amp;-response=lot_response_hu.lasso&amp;-op=eq&amp;kp_budget_year=2014-op=eq&amp;kp_programkod=MED&amp;-op=ct&amp;kp_programprofil=mo&amp;-Token.homr=Medicinsk%20teknik" htmlTables="1" htmlFormat="all">
      <tables count="1">
        <x v="1"/>
      </tables>
    </webPr>
  </connection>
  <connection id="344" name="Anslutning407" type="4" refreshedVersion="5" background="1" saveData="1">
    <webPr xl2000="1" url="http://kdb-5.liu.se/liu/lith/studiehandboken/action.lasso?&amp;-response=lot_response.lasso&amp;-op=eq&amp;kp_budget_year=2009-op=eq&amp;kp_programkod=MED&amp;-op=eq&amp;kp_programprofil=MED&amp;-op=gt&amp;kp_termin=6" htmlTables="1" htmlFormat="all">
      <tables count="1">
        <x v="1"/>
      </tables>
    </webPr>
  </connection>
  <connection id="345" name="Anslutning408" type="4" refreshedVersion="5" background="1" saveData="1">
    <webPr xl2000="1" url="http://kdb-5.liu.se/liu/lith/studiehandboken/action.lasso?&amp;-response=lot_response.lasso&amp;-op=eq&amp;kp_budget_year=2010-op=eq&amp;kp_programkod=MED&amp;-op=eq&amp;kp_programprofil=MED&amp;-op=gt&amp;kp_termin=6" htmlTables="1" htmlFormat="all">
      <tables count="1">
        <x v="1"/>
      </tables>
    </webPr>
  </connection>
  <connection id="346" name="Anslutning409" type="4" refreshedVersion="5" background="1" saveData="1">
    <webPr xl2000="1" url="http://kdb-5.liu.se/liu/lith/studiehandboken/action.lasso?&amp;-response=lot_response.lasso&amp;-op=eq&amp;kp_budget_year=2011-op=eq&amp;kp_programkod=MED&amp;-op=eq&amp;kp_programprofil=MED&amp;-op=gt&amp;kp_termin=6" htmlTables="1" htmlFormat="all">
      <tables count="1">
        <x v="1"/>
      </tables>
    </webPr>
  </connection>
  <connection id="347" name="Anslutning41" type="4" refreshedVersion="5" background="1" saveData="1">
    <webPr xl2000="1" url="http://kdb-5.liu.se/liu/lith/studiehandboken/action.lasso?&amp;-response=lot_response.lasso&amp;-op=eq&amp;kp_budget_year=2013&amp;-op=eq2010oken/action.lasso?&amp;-response=lot_response.lasso&amp;-op=eq&amp;kp_budget_year=2013&amp;-op=eq&amp;kp_programkod=I&amp;-op=ct&amp;kp_programprofil=data" htmlTables="1" htmlFormat="all">
      <tables count="1">
        <x v="1"/>
      </tables>
    </webPr>
  </connection>
  <connection id="348" name="Anslutning410" type="4" refreshedVersion="5" background="1" saveData="1">
    <webPr xl2000="1" url="http://kdb-5.liu.se/liu/lith/studiehandboken/action.lasso?&amp;-response=lot_response.lasso&amp;-op=eq&amp;kp_budget_year=2012-op=eq&amp;kp_programkod=MED&amp;-op=eq&amp;kp_programprofil=MED&amp;-op=gt&amp;kp_termin=6" htmlTables="1" htmlFormat="all">
      <tables count="1">
        <x v="1"/>
      </tables>
    </webPr>
  </connection>
  <connection id="349" name="Anslutning411" type="4" refreshedVersion="5" background="1" saveData="1">
    <webPr xl2000="1" url="http://kdb-5.liu.se/liu/lith/studiehandboken/action.lasso?&amp;-response=lot_response.lasso&amp;-op=eq&amp;kp_budget_year=2013-op=eq&amp;kp_programkod=MED&amp;-op=eq&amp;kp_programprofil=MED&amp;-op=gt&amp;kp_termin=6" htmlTables="1" htmlFormat="all">
      <tables count="1">
        <x v="1"/>
      </tables>
    </webPr>
  </connection>
  <connection id="350" name="Anslutning412" type="4" refreshedVersion="5" background="1" saveData="1">
    <webPr xl2000="1" url="http://kdb-5.liu.se/liu/lith/studiehandboken/action.lasso?&amp;-response=lot_response.lasso&amp;-op=eq&amp;kp_budget_year=2014-op=eq&amp;kp_programkod=MED&amp;-op=eq&amp;kp_programprofil=MED&amp;-op=gt&amp;kp_termin=6" htmlTables="1" htmlFormat="all">
      <tables count="1">
        <x v="1"/>
      </tables>
    </webPr>
  </connection>
  <connection id="351" name="Anslutning413" type="4" refreshedVersion="5" background="1" saveData="1">
    <webPr xl2000="1" url="http://kdb-5.liu.se/liu/lith/studiehandboken/action.lasso?&amp;-response=lot_response.lasso&amp;-op=eq&amp;kp_budget_year=2009-op=eq&amp;kp_programkod=MED&amp;-op=eq&amp;kp_programprofil=MED&amp;-op=lt&amp;kp_termin=7" htmlTables="1" htmlFormat="all">
      <tables count="1">
        <x v="1"/>
      </tables>
    </webPr>
  </connection>
  <connection id="352" name="Anslutning414" type="4" refreshedVersion="5" background="1" saveData="1">
    <webPr xl2000="1" url="http://kdb-5.liu.se/liu/lith/studiehandboken/action.lasso?&amp;-response=lot_response.lasso&amp;-op=eq&amp;kp_budget_year=2010-op=eq&amp;kp_programkod=MED&amp;-op=eq&amp;kp_programprofil=MED&amp;-op=lt&amp;kp_termin=7" htmlTables="1" htmlFormat="all">
      <tables count="1">
        <x v="1"/>
      </tables>
    </webPr>
  </connection>
  <connection id="353" name="Anslutning415" type="4" refreshedVersion="5" background="1" saveData="1">
    <webPr xl2000="1" url="http://kdb-5.liu.se/liu/lith/studiehandboken/action.lasso?&amp;-response=lot_response.lasso&amp;-op=eq&amp;kp_budget_year=2011-op=eq&amp;kp_programkod=MED&amp;-op=eq&amp;kp_programprofil=MED&amp;-op=lt&amp;kp_termin=7" htmlTables="1" htmlFormat="all">
      <tables count="1">
        <x v="1"/>
      </tables>
    </webPr>
  </connection>
  <connection id="354" name="Anslutning416" type="4" refreshedVersion="5" background="1" saveData="1">
    <webPr xl2000="1" url="http://kdb-5.liu.se/liu/lith/studiehandboken/action.lasso?&amp;-response=lot_response.lasso&amp;-op=eq&amp;kp_budget_year=2012-op=eq&amp;kp_programkod=MED&amp;-op=eq&amp;kp_programprofil=MED&amp;-op=lt&amp;kp_termin=7" htmlTables="1" htmlFormat="all">
      <tables count="1">
        <x v="1"/>
      </tables>
    </webPr>
  </connection>
  <connection id="355" name="Anslutning417" type="4" refreshedVersion="5" background="1" saveData="1">
    <webPr xl2000="1" url="http://kdb-5.liu.se/liu/lith/studiehandboken/action.lasso?&amp;-response=lot_response.lasso&amp;-op=eq&amp;kp_budget_year=2013-op=eq&amp;kp_programkod=MED&amp;-op=eq&amp;kp_programprofil=MED&amp;-op=lt&amp;kp_termin=7" htmlTables="1" htmlFormat="all">
      <tables count="1">
        <x v="1"/>
      </tables>
    </webPr>
  </connection>
  <connection id="356" name="Anslutning418" type="4" refreshedVersion="5" background="1" saveData="1">
    <webPr xl2000="1" url="http://kdb-5.liu.se/liu/lith/studiehandboken/action.lasso?&amp;-response=lot_response.lasso&amp;-op=eq&amp;kp_budget_year=2014-op=eq&amp;kp_programkod=MED&amp;-op=eq&amp;kp_programprofil=MED&amp;-op=lt&amp;kp_termin=7" htmlTables="1" htmlFormat="all">
      <tables count="1">
        <x v="1"/>
      </tables>
    </webPr>
  </connection>
  <connection id="357" name="Anslutning42" type="4" refreshedVersion="5" background="1" saveData="1">
    <webPr xl2000="1" url="http://kdb-5.liu.se/liu/lith/studiehandboken/action.lasso?&amp;-response=lot_response.lasso&amp;-op=eq&amp;kp_budget_year=2013&amp;-op=eq2011oken/action.lasso?&amp;-response=lot_response.lasso&amp;-op=eq&amp;kp_budget_year=2013&amp;-op=eq&amp;kp_programkod=I&amp;-op=ct&amp;kp_programprofil=data" htmlTables="1" htmlFormat="all">
      <tables count="1">
        <x v="1"/>
      </tables>
    </webPr>
  </connection>
  <connection id="358" name="Anslutning43" type="4" refreshedVersion="5" background="1" saveData="1">
    <webPr xl2000="1" url="http://kdb-5.liu.se/liu/lith/studiehandboken/action.lasso?&amp;-response=lot_response.lasso&amp;-op=eq&amp;kp_budget_year=2013&amp;-op=eq2012oken/action.lasso?&amp;-response=lot_response.lasso&amp;-op=eq&amp;kp_budget_year=2013&amp;-op=eq&amp;kp_programkod=I&amp;-op=ct&amp;kp_programprofil=data" htmlTables="1" htmlFormat="all">
      <tables count="1">
        <x v="1"/>
      </tables>
    </webPr>
  </connection>
  <connection id="359" name="Anslutning44" type="4" refreshedVersion="5" background="1" saveData="1">
    <webPr xl2000="1" url="http://kdb-5.liu.se/liu/lith/studiehandboken/action.lasso?&amp;-response=lot_response.lasso&amp;-op=eq&amp;kp_budget_year=2013&amp;-op=eq2013oken/action.lasso?&amp;-response=lot_response.lasso&amp;-op=eq&amp;kp_budget_year=2013&amp;-op=eq&amp;kp_programkod=I&amp;-op=ct&amp;kp_programprofil=data" htmlTables="1" htmlFormat="all">
      <tables count="1">
        <x v="1"/>
      </tables>
    </webPr>
  </connection>
  <connection id="360" name="Anslutning45" type="4" refreshedVersion="5" background="1" saveData="1">
    <webPr xl2000="1" url="http://kdb-5.liu.se/liu/lith/studiehandboken/action.lasso?&amp;-response=lot_response.lasso&amp;-op=eq&amp;kp_budget_year=2013&amp;-op=eq2014oken/action.lasso?&amp;-response=lot_response.lasso&amp;-op=eq&amp;kp_budget_year=2013&amp;-op=eq&amp;kp_programkod=I&amp;-op=ct&amp;kp_programprofil=data" htmlTables="1" htmlFormat="all">
      <tables count="1">
        <x v="1"/>
      </tables>
    </webPr>
  </connection>
  <connection id="361" name="Anslutning46" type="4" refreshedVersion="5" background="1" saveData="1">
    <webPr xl2000="1" url="http://kdb-5.liu.se/liu/lith/studiehandboken/action.lasso?&amp;-response=lot_response.lasso&amp;-op=eq&amp;kp_budget_year=2013&amp;-op=eq&amp;2009boken/action.lasso?&amp;-response=lot_response.lasso&amp;-op=eq&amp;kp_budget_year=2013&amp;-op=eq&amp;kp_programkod=I&amp;-op=ct&amp;kp_programprofil=data" htmlTables="1" htmlFormat="all">
      <tables count="1">
        <x v="1"/>
      </tables>
    </webPr>
  </connection>
  <connection id="362" name="Anslutning47" type="4" refreshedVersion="5" background="1" saveData="1">
    <webPr xl2000="1" url="http://kdb-5.liu.se/liu/lith/studiehandboken/action.lasso?&amp;-response=lot_response.lasso&amp;-op=eq&amp;kp_budget_year=2013&amp;-op=eq&amp;2010boken/action.lasso?&amp;-response=lot_response.lasso&amp;-op=eq&amp;kp_budget_year=2013&amp;-op=eq&amp;kp_programkod=I&amp;-op=ct&amp;kp_programprofil=data" htmlTables="1" htmlFormat="all">
      <tables count="1">
        <x v="1"/>
      </tables>
    </webPr>
  </connection>
  <connection id="363" name="Anslutning48" type="4" refreshedVersion="5" background="1" saveData="1">
    <webPr xl2000="1" url="http://kdb-5.liu.se/liu/lith/studiehandboken/action.lasso?&amp;-response=lot_response.lasso&amp;-op=eq&amp;kp_budget_year=2013&amp;-op=eq&amp;2011boken/action.lasso?&amp;-response=lot_response.lasso&amp;-op=eq&amp;kp_budget_year=2013&amp;-op=eq&amp;kp_programkod=I&amp;-op=ct&amp;kp_programprofil=data" htmlTables="1" htmlFormat="all">
      <tables count="1">
        <x v="1"/>
      </tables>
    </webPr>
  </connection>
  <connection id="364" name="Anslutning49" type="4" refreshedVersion="5" background="1" saveData="1">
    <webPr xl2000="1" url="http://kdb-5.liu.se/liu/lith/studiehandboken/action.lasso?&amp;-response=lot_response.lasso&amp;-op=eq&amp;kp_budget_year=2013&amp;-op=eq&amp;2012boken/action.lasso?&amp;-response=lot_response.lasso&amp;-op=eq&amp;kp_budget_year=2013&amp;-op=eq&amp;kp_programkod=I&amp;-op=ct&amp;kp_programprofil=data" htmlTables="1" htmlFormat="all">
      <tables count="1">
        <x v="1"/>
      </tables>
    </webPr>
  </connection>
  <connection id="365" name="Anslutning5" type="4" refreshedVersion="5" background="1" saveData="1">
    <webPr xl2000="1" url="http://kdb-5.liu.se/liu/lith/studiehandboken/action.lasso?&amp;-response=lot_response.lasso&amp;-op=eq&amp;kp_budget_year=2012-op=eq&amp;kp_programkod=I&amp;-op=ct&amp;kp_programprofil=maskin" htmlTables="1" htmlFormat="all">
      <tables count="1">
        <x v="1"/>
      </tables>
    </webPr>
  </connection>
  <connection id="366" name="Anslutning50" type="4" refreshedVersion="5" background="1" saveData="1">
    <webPr xl2000="1" url="http://kdb-5.liu.se/liu/lith/studiehandboken/action.lasso?&amp;-response=lot_response.lasso&amp;-op=eq&amp;kp_budget_year=2013&amp;-op=eq&amp;2013boken/action.lasso?&amp;-response=lot_response.lasso&amp;-op=eq&amp;kp_budget_year=2013&amp;-op=eq&amp;kp_programkod=I&amp;-op=ct&amp;kp_programprofil=data" htmlTables="1" htmlFormat="all">
      <tables count="1">
        <x v="1"/>
      </tables>
    </webPr>
  </connection>
  <connection id="367" name="Anslutning51" type="4" refreshedVersion="5" background="1" saveData="1">
    <webPr xl2000="1" url="http://kdb-5.liu.se/liu/lith/studiehandboken/action.lasso?&amp;-response=lot_response.lasso&amp;-op=eq&amp;kp_budget_year=2013&amp;-op=eq&amp;2014boken/action.lasso?&amp;-response=lot_response.lasso&amp;-op=eq&amp;kp_budget_year=2013&amp;-op=eq&amp;kp_programkod=I&amp;-op=ct&amp;kp_programprofil=data" htmlTables="1" htmlFormat="all">
      <tables count="1">
        <x v="1"/>
      </tables>
    </webPr>
  </connection>
  <connection id="368" name="Anslutning52" type="4" refreshedVersion="5" background="1" saveData="1">
    <webPr xl2000="1" url="http://kdb-5.liu.se/liu/lith/studiehandboken/action.lasso?&amp;-response=lot_response.lasso&amp;-op=eq&amp;kp_budget_year=2013&amp;-op=eq&amp;2009ar=2013&amp;-op=eq&amp;kp_programkod=I&amp;-op=ct&amp;kp_programprofil=data" htmlTables="1" htmlFormat="all">
      <tables count="1">
        <x v="1"/>
      </tables>
    </webPr>
  </connection>
  <connection id="369" name="Anslutning53" type="4" refreshedVersion="5" background="1" saveData="1">
    <webPr xl2000="1" url="http://kdb-5.liu.se/liu/lith/studiehandboken/action.lasso?&amp;-response=lot_response.lasso&amp;-op=eq&amp;kp_budget_year=2013&amp;-op=eq&amp;2010ar=2013&amp;-op=eq&amp;2009ar=2013&amp;-op=eq&amp;kp_programkod=I&amp;-op=ct&amp;kp_programprofil=data" htmlTables="1" htmlFormat="all">
      <tables count="1">
        <x v="1"/>
      </tables>
    </webPr>
  </connection>
  <connection id="370" name="Anslutning54" type="4" refreshedVersion="5" background="1" saveData="1">
    <webPr xl2000="1" url="http://kdb-5.liu.se/liu/lith/studiehandboken/action.lasso?&amp;-response=lot_response.lasso&amp;-op=eq&amp;kp_budget_year=2013&amp;-op=eq&amp;2011ar=2013&amp;-op=eq&amp;2010ar=2013&amp;-op=eq&amp;2009ar=2013&amp;-op=eq&amp;kp_programkod=I&amp;-op=ct&amp;kp_programprofil=data" htmlTables="1" htmlFormat="all">
      <tables count="1">
        <x v="1"/>
      </tables>
    </webPr>
  </connection>
  <connection id="371" name="Anslutning55" type="4" refreshedVersion="5" background="1" saveData="1">
    <webPr xl2000="1" url="http://kdb-5.liu.se/liu/lith/studiehandboken/action.lasso?&amp;-response=lot_response.lasso&amp;-op=eq&amp;kp_budget_year=2013&amp;-op=eq&amp;2012ar=2013&amp;-op=eq&amp;2011ar=2013&amp;-op=eq&amp;2010ar=2013&amp;-op=eq&amp;2009ar=2013&amp;-op=eq&amp;kp_programkod=I&amp;-op=ct&amp;kp_programprofil=data" htmlTables="1" htmlFormat="all">
      <tables count="1">
        <x v="1"/>
      </tables>
    </webPr>
  </connection>
  <connection id="372" name="Anslutning56" type="4" refreshedVersion="5" background="1" saveData="1">
    <webPr xl2000="1" url="http://kdb-5.liu.se/liu/lith/studiehandboken/action.lasso?&amp;-response=lot_response.lasso&amp;-op=eq&amp;kp_budget_year=2013&amp;-op=eq&amp;2013ar=2013&amp;-op=eq&amp;2012ar=2013&amp;-op=eq&amp;2011ar=2013&amp;-op=eq&amp;2010ar=2013&amp;-op=eq&amp;2009ar=2013&amp;-op=eq&amp;kp_programkod=I&amp;-op=ct&amp;kp_programprofil=data" htmlTables="1" htmlFormat="all">
      <tables count="1">
        <x v="1"/>
      </tables>
    </webPr>
  </connection>
  <connection id="373" name="Anslutning57" type="4" refreshedVersion="5" background="1" saveData="1">
    <webPr xl2000="1" url="http://kdb-5.liu.se/liu/lith/studiehandboken/action.lasso?&amp;-response=lot_response.lasso&amp;-op=eq&amp;kp_budget_year=2013&amp;-op=eq&amp;2014ar=2013&amp;-op=eq&amp;2013ar=2013&amp;-op=eq&amp;2012ar=2013&amp;-op=eq&amp;2011ar=2013&amp;-op=eq&amp;2010ar=2013&amp;-op=eq&amp;2009ar=2013&amp;-op=eq&amp;kp_programkod=I&amp;-op=ct&amp;kp_programprofil=data" htmlTables="1" htmlFormat="all">
      <tables count="1">
        <x v="1"/>
      </tables>
    </webPr>
  </connection>
  <connection id="374" name="Anslutning58" type="4" refreshedVersion="5" background="1" saveData="1">
    <webPr xl2000="1" url="http://kdb-5.liu.se/liu/lith/studiehandboken/action.lasso?&amp;-response=lot_response.lasso&amp;-op=eq&amp;kp_budget_year=22009ar=2013&amp;-op=eq&amp;kp_programkod=I&amp;-op=ct&amp;kp_programprofil=data" htmlTables="1" htmlFormat="all">
      <tables count="1">
        <x v="1"/>
      </tables>
    </webPr>
  </connection>
  <connection id="375" name="Anslutning59" type="4" refreshedVersion="5" background="1" saveData="1">
    <webPr xl2000="1" url="http://kdb-5.liu.se/liu/lith/studiehandboken/action.lasso?&amp;-response=lot_response.lasso&amp;-op=eq&amp;kp_budget_year=22010ar=22009ar=2013&amp;-op=eq&amp;kp_programkod=I&amp;-op=ct&amp;kp_programprofil=data" htmlTables="1" htmlFormat="all">
      <tables count="1">
        <x v="1"/>
      </tables>
    </webPr>
  </connection>
  <connection id="376" name="Anslutning6" type="4" refreshedVersion="5" background="1" saveData="1">
    <webPr xl2000="1" url="http://kdb-5.liu.se/liu/lith/studiehandboken/action.lasso?&amp;-response=lot_response.lasso&amp;-op=eq&amp;kp_budget_year=2013-op=eq&amp;kp_programkod=I&amp;-op=ct&amp;kp_programprofil=maskin" htmlTables="1" htmlFormat="all">
      <tables count="1">
        <x v="1"/>
      </tables>
    </webPr>
  </connection>
  <connection id="377" name="Anslutning60" type="4" refreshedVersion="5" background="1" saveData="1">
    <webPr xl2000="1" url="http://kdb-5.liu.se/liu/lith/studiehandboken/action.lasso?&amp;-response=lot_response.lasso&amp;-op=eq&amp;kp_budget_year=22011ar=22010ar=22009ar=2013&amp;-op=eq&amp;kp_programkod=I&amp;-op=ct&amp;kp_programprofil=data" htmlTables="1" htmlFormat="all">
      <tables count="1">
        <x v="1"/>
      </tables>
    </webPr>
  </connection>
  <connection id="378" name="Anslutning61" type="4" refreshedVersion="5" background="1" saveData="1">
    <webPr xl2000="1" url="http://kdb-5.liu.se/liu/lith/studiehandboken/action.lasso?&amp;-response=lot_response.lasso&amp;-op=eq&amp;kp_budget_year=22012ar=22011ar=22010ar=22009ar=2013&amp;-op=eq&amp;kp_programkod=I&amp;-op=ct&amp;kp_programprofil=data" htmlTables="1" htmlFormat="all">
      <tables count="1">
        <x v="1"/>
      </tables>
    </webPr>
  </connection>
  <connection id="379" name="Anslutning62" type="4" refreshedVersion="5" background="1" saveData="1">
    <webPr xl2000="1" url="http://kdb-5.liu.se/liu/lith/studiehandboken/action.lasso?&amp;-response=lot_response.lasso&amp;-op=eq&amp;kp_budget_year=22013ar=22012ar=22011ar=22010ar=22009ar=2013&amp;-op=eq&amp;kp_programkod=I&amp;-op=ct&amp;kp_programprofil=data" htmlTables="1" htmlFormat="all">
      <tables count="1">
        <x v="1"/>
      </tables>
    </webPr>
  </connection>
  <connection id="380" name="Anslutning63" type="4" refreshedVersion="5" background="1" saveData="1">
    <webPr xl2000="1" url="http://kdb-5.liu.se/liu/lith/studiehandboken/action.lasso?&amp;-response=lot_response.lasso&amp;-op=eq&amp;kp_budget_year=22014ar=22013ar=22012ar=22011ar=22010ar=22009ar=2013&amp;-op=eq&amp;kp_programkod=I&amp;-op=ct&amp;kp_programprofil=data" htmlTables="1" htmlFormat="all">
      <tables count="1">
        <x v="1"/>
      </tables>
    </webPr>
  </connection>
  <connection id="381" name="Anslutning64" type="4" refreshedVersion="5" background="1" saveData="1">
    <webPr xl2000="1" url="http://kdb-5.liu.se/liu/lith/studiehandboken/action.lasso?&amp;-response=lot_response.lasso&amp;-op=eq&amp;kp_budget_year=2009ar=2013&amp;-op=eq&amp;kp_programkod=I&amp;-op=ct&amp;kp_programprofil=data" htmlTables="1" htmlFormat="all">
      <tables count="1">
        <x v="1"/>
      </tables>
    </webPr>
  </connection>
  <connection id="382" name="Anslutning65" type="4" refreshedVersion="5" background="1" saveData="1">
    <webPr xl2000="1" url="http://kdb-5.liu.se/liu/lith/studiehandboken/action.lasso?&amp;-response=lot_response.lasso&amp;-op=eq&amp;kp_budget_year=2010ar=2009ar=2013&amp;-op=eq&amp;kp_programkod=I&amp;-op=ct&amp;kp_programprofil=data" htmlTables="1" htmlFormat="all">
      <tables count="1">
        <x v="1"/>
      </tables>
    </webPr>
  </connection>
  <connection id="383" name="Anslutning66" type="4" refreshedVersion="5" background="1" saveData="1">
    <webPr xl2000="1" url="http://kdb-5.liu.se/liu/lith/studiehandboken/action.lasso?&amp;-response=lot_response.lasso&amp;-op=eq&amp;kp_budget_year=2011ar=2010ar=2009ar=2013&amp;-op=eq&amp;kp_programkod=I&amp;-op=ct&amp;kp_programprofil=data" htmlTables="1" htmlFormat="all">
      <tables count="1">
        <x v="1"/>
      </tables>
    </webPr>
  </connection>
  <connection id="384" name="Anslutning67" type="4" refreshedVersion="5" background="1" saveData="1">
    <webPr xl2000="1" url="http://kdb-5.liu.se/liu/lith/studiehandboken/action.lasso?&amp;-response=lot_response.lasso&amp;-op=eq&amp;kp_budget_year=2012ar=2011ar=2010ar=2009ar=2013&amp;-op=eq&amp;kp_programkod=I&amp;-op=ct&amp;kp_programprofil=data" htmlTables="1" htmlFormat="all">
      <tables count="1">
        <x v="1"/>
      </tables>
    </webPr>
  </connection>
  <connection id="385" name="Anslutning68" type="4" refreshedVersion="5" background="1" saveData="1">
    <webPr xl2000="1" url="http://kdb-5.liu.se/liu/lith/studiehandboken/action.lasso?&amp;-response=lot_response.lasso&amp;-op=eq&amp;kp_budget_year=2013ar=2012ar=2011ar=2010ar=2009ar=2013&amp;-op=eq&amp;kp_programkod=I&amp;-op=ct&amp;kp_programprofil=data" htmlTables="1" htmlFormat="all">
      <tables count="1">
        <x v="1"/>
      </tables>
    </webPr>
  </connection>
  <connection id="386" name="Anslutning69" type="4" refreshedVersion="5" background="1" saveData="1">
    <webPr xl2000="1" url="http://kdb-5.liu.se/liu/lith/studiehandboken/action.lasso?&amp;-response=lot_response.lasso&amp;-op=eq&amp;kp_budget_year=2014ar=2013ar=2012ar=2011ar=2010ar=2009ar=2013&amp;-op=eq&amp;kp_programkod=I&amp;-op=ct&amp;kp_programprofil=data" htmlTables="1" htmlFormat="all">
      <tables count="1">
        <x v="1"/>
      </tables>
    </webPr>
  </connection>
  <connection id="387" name="Anslutning7" type="4" refreshedVersion="5" background="1" saveData="1">
    <webPr xl2000="1" url="http://kdb-5.liu.se/liu/lith/studiehandboken/action.lasso?&amp;-response=lot_response.lasso&amp;-op=eq&amp;kp_budget_year=2014-op=eq&amp;kp_programkod=I&amp;-op=ct&amp;kp_programprofil=maskin" htmlTables="1" htmlFormat="all">
      <tables count="1">
        <x v="1"/>
      </tables>
    </webPr>
  </connection>
  <connection id="388" name="Anslutning70" type="4" refreshedVersion="5" background="1" saveData="1">
    <webPr xl2000="1" url="http://kdb-5.liu.se/liu/lith/studiehandboken/action.lasso?&amp;-response=lot_response.lasso&amp;-op=eq&amp;kp_budget_year=2009ar=2013&amp;-op=eq&amp;kp_programkod=I&amp;-op=ct&amp;kp_programprofil=data" htmlTables="1" htmlFormat="all">
      <tables count="1">
        <x v="1"/>
      </tables>
    </webPr>
  </connection>
  <connection id="389" name="Anslutning71" type="4" refreshedVersion="5" background="1" saveData="1">
    <webPr xl2000="1" url="http://kdb-5.liu.se/liu/lith/studiehandboken/action.lasso?&amp;-response=lot_response.lasso&amp;-op=eq&amp;kp_budget_year=2010ar=2013&amp;-op=eq&amp;kp_programkod=I&amp;-op=ct&amp;kp_programprofil=data" htmlTables="1" htmlFormat="all">
      <tables count="1">
        <x v="1"/>
      </tables>
    </webPr>
  </connection>
  <connection id="390" name="Anslutning72" type="4" refreshedVersion="5" background="1" saveData="1">
    <webPr xl2000="1" url="http://kdb-5.liu.se/liu/lith/studiehandboken/action.lasso?&amp;-response=lot_response.lasso&amp;-op=eq&amp;kp_budget_year=2011ar=2013&amp;-op=eq&amp;kp_programkod=I&amp;-op=ct&amp;kp_programprofil=data" htmlTables="1" htmlFormat="all">
      <tables count="1">
        <x v="1"/>
      </tables>
    </webPr>
  </connection>
  <connection id="391" name="Anslutning73" type="4" refreshedVersion="5" background="1" saveData="1">
    <webPr xl2000="1" url="http://kdb-5.liu.se/liu/lith/studiehandboken/action.lasso?&amp;-response=lot_response.lasso&amp;-op=eq&amp;kp_budget_year=2012ar=2013&amp;-op=eq&amp;kp_programkod=I&amp;-op=ct&amp;kp_programprofil=data" htmlTables="1" htmlFormat="all">
      <tables count="1">
        <x v="1"/>
      </tables>
    </webPr>
  </connection>
  <connection id="392" name="Anslutning74" type="4" refreshedVersion="5" background="1" saveData="1">
    <webPr xl2000="1" url="http://kdb-5.liu.se/liu/lith/studiehandboken/action.lasso?&amp;-response=lot_response.lasso&amp;-op=eq&amp;kp_budget_year=2013ar=2013&amp;-op=eq&amp;kp_programkod=I&amp;-op=ct&amp;kp_programprofil=data" htmlTables="1" htmlFormat="all">
      <tables count="1">
        <x v="1"/>
      </tables>
    </webPr>
  </connection>
  <connection id="393" name="Anslutning75" type="4" refreshedVersion="5" background="1" saveData="1">
    <webPr xl2000="1" url="http://kdb-5.liu.se/liu/lith/studiehandboken/action.lasso?&amp;-response=lot_response.lasso&amp;-op=eq&amp;kp_budget_year=2014ar=2013&amp;-op=eq&amp;kp_programkod=I&amp;-op=ct&amp;kp_programprofil=data" htmlTables="1" htmlFormat="all">
      <tables count="1">
        <x v="1"/>
      </tables>
    </webPr>
  </connection>
  <connection id="394" name="Anslutning76" type="4" refreshedVersion="5" background="1" saveData="1">
    <webPr xl2000="1" url="http://kdb-5.liu.se/liu/lith/studiehandboken/action.lasso?&amp;-response=lot_response.lasso&amp;-op=eq&amp;kp_budget_year=2009ar=2013&amp;-op=eq&amp;kp_programkod=I&amp;-op=ct&amp;kp_programprofil=data" htmlTables="1" htmlFormat="all">
      <tables count="1">
        <x v="1"/>
      </tables>
    </webPr>
  </connection>
  <connection id="395" name="Anslutning77" type="4" refreshedVersion="5" background="1" saveData="1">
    <webPr xl2000="1" url="http://kdb-5.liu.se/liu/lith/studiehandboken/action.lasso?&amp;-response=lot_response.lasso&amp;-op=eq&amp;kp_budget_year=2010ar=2013&amp;-op=eq&amp;kp_programkod=I&amp;-op=ct&amp;kp_programprofil=data" htmlTables="1" htmlFormat="all">
      <tables count="1">
        <x v="1"/>
      </tables>
    </webPr>
  </connection>
  <connection id="396" name="Anslutning78" type="4" refreshedVersion="5" background="1" saveData="1">
    <webPr xl2000="1" url="http://kdb-5.liu.se/liu/lith/studiehandboken/action.lasso?&amp;-response=lot_response.lasso&amp;-op=eq&amp;kp_budget_year=2011ar=2013&amp;-op=eq&amp;kp_programkod=I&amp;-op=ct&amp;kp_programprofil=data" htmlTables="1" htmlFormat="all">
      <tables count="1">
        <x v="1"/>
      </tables>
    </webPr>
  </connection>
  <connection id="397" name="Anslutning79" type="4" refreshedVersion="5" background="1" saveData="1">
    <webPr xl2000="1" url="http://kdb-5.liu.se/liu/lith/studiehandboken/action.lasso?&amp;-response=lot_response.lasso&amp;-op=eq&amp;kp_budget_year=2012ar=2013&amp;-op=eq&amp;kp_programkod=I&amp;-op=ct&amp;kp_programprofil=data" htmlTables="1" htmlFormat="all">
      <tables count="1">
        <x v="1"/>
      </tables>
    </webPr>
  </connection>
  <connection id="398" name="Anslutning8" type="4" refreshedVersion="5" background="1" saveData="1">
    <webPr xl2000="1" url="http://kdb-5.liu.se/liu/lith/studiehandboken/action.lasso?&amp;-response=lot_response.lasso&amp;-op=eq&amp;kp_budget_year=2009-op=eq&amp;kp_programkod=I&amp;-op=ct&amp;kp_programprofil=energi" htmlTables="1" htmlFormat="all">
      <tables count="1">
        <x v="1"/>
      </tables>
    </webPr>
  </connection>
  <connection id="399" name="Anslutning80" type="4" refreshedVersion="5" background="1" saveData="1">
    <webPr xl2000="1" url="http://kdb-5.liu.se/liu/lith/studiehandboken/action.lasso?&amp;-response=lot_response.lasso&amp;-op=eq&amp;kp_budget_year=2013ar=2013&amp;-op=eq&amp;kp_programkod=I&amp;-op=ct&amp;kp_programprofil=data" htmlTables="1" htmlFormat="all">
      <tables count="1">
        <x v="1"/>
      </tables>
    </webPr>
  </connection>
  <connection id="400" name="Anslutning81" type="4" refreshedVersion="5" background="1" saveData="1">
    <webPr xl2000="1" url="http://kdb-5.liu.se/liu/lith/studiehandboken/action.lasso?&amp;-response=lot_response.lasso&amp;-op=eq&amp;kp_budget_year=2014ar=2013&amp;-op=eq&amp;kp_programkod=I&amp;-op=ct&amp;kp_programprofil=data" htmlTables="1" htmlFormat="all">
      <tables count="1">
        <x v="1"/>
      </tables>
    </webPr>
  </connection>
  <connection id="401" name="Anslutning82" type="4" refreshedVersion="5" background="1" saveData="1">
    <webPr xl2000="1" url="http://kdb-5.liu.se/liu/lith/studiehandboken/action.lasso?&amp;-response=lot_response.lasso&amp;-op=eq&amp;kp_budget_year=2009-op=eq&amp;kp_programkod=I&amp;-op=ct&amp;kp_programprofil=data" htmlTables="1" htmlFormat="all">
      <tables count="1">
        <x v="1"/>
      </tables>
    </webPr>
  </connection>
  <connection id="402" name="Anslutning83" type="4" refreshedVersion="5" background="1" saveData="1">
    <webPr xl2000="1" url="http://kdb-5.liu.se/liu/lith/studiehandboken/action.lasso?&amp;-response=lot_response.lasso&amp;-op=eq&amp;kp_budget_year=2010-op=eq&amp;kp_programkod=I&amp;-op=ct&amp;kp_programprofil=data" htmlTables="1" htmlFormat="all">
      <tables count="1">
        <x v="1"/>
      </tables>
    </webPr>
  </connection>
  <connection id="403" name="Anslutning84" type="4" refreshedVersion="5" background="1" saveData="1">
    <webPr xl2000="1" url="http://kdb-5.liu.se/liu/lith/studiehandboken/action.lasso?&amp;-response=lot_response.lasso&amp;-op=eq&amp;kp_budget_year=2011-op=eq&amp;kp_programkod=I&amp;-op=ct&amp;kp_programprofil=data" htmlTables="1" htmlFormat="all">
      <tables count="1">
        <x v="1"/>
      </tables>
    </webPr>
  </connection>
  <connection id="404" name="Anslutning85" type="4" refreshedVersion="5" background="1" saveData="1">
    <webPr xl2000="1" url="http://kdb-5.liu.se/liu/lith/studiehandboken/action.lasso?&amp;-response=lot_response.lasso&amp;-op=eq&amp;kp_budget_year=2012-op=eq&amp;kp_programkod=I&amp;-op=ct&amp;kp_programprofil=data" htmlTables="1" htmlFormat="all">
      <tables count="1">
        <x v="1"/>
      </tables>
    </webPr>
  </connection>
  <connection id="405" name="Anslutning86" type="4" refreshedVersion="5" background="1" saveData="1">
    <webPr xl2000="1" url="http://kdb-5.liu.se/liu/lith/studiehandboken/action.lasso?&amp;-response=lot_response.lasso&amp;-op=eq&amp;kp_budget_year=2013-op=eq&amp;kp_programkod=I&amp;-op=ct&amp;kp_programprofil=data" htmlTables="1" htmlFormat="all">
      <tables count="1">
        <x v="1"/>
      </tables>
    </webPr>
  </connection>
  <connection id="406" name="Anslutning87" type="4" refreshedVersion="5" background="1" saveData="1">
    <webPr xl2000="1" url="http://kdb-5.liu.se/liu/lith/studiehandboken/action.lasso?&amp;-response=lot_response.lasso&amp;-op=eq&amp;kp_budget_year=2014-op=eq&amp;kp_programkod=I&amp;-op=ct&amp;kp_programprofil=data" htmlTables="1" htmlFormat="all">
      <tables count="1">
        <x v="1"/>
      </tables>
    </webPr>
  </connection>
  <connection id="407" name="Anslutning88" type="4" refreshedVersion="5" background="1" saveData="1">
    <webPr xl2000="1" url="http://kdb-5.liu.se/liu/lith/studiehandboken/action.lasso?&amp;-response=lot_response.lasso&amp;-op=eq&amp;kp_budget_year=2009-op=eq&amp;kp_programkod=I&amp;-op=ct&amp;kp_programprofil=data" htmlTables="1" htmlFormat="all">
      <tables count="1">
        <x v="1"/>
      </tables>
    </webPr>
  </connection>
  <connection id="408" name="Anslutning89" type="4" refreshedVersion="5" background="1" saveData="1">
    <webPr xl2000="1" url="http://kdb-5.liu.se/liu/lith/studiehandboken/action.lasso?&amp;-response=lot_response.lasso&amp;-op=eq&amp;kp_budget_year=2010-op=eq&amp;kp_programkod=I&amp;-op=ct&amp;kp_programprofil=data" htmlTables="1" htmlFormat="all">
      <tables count="1">
        <x v="1"/>
      </tables>
    </webPr>
  </connection>
  <connection id="409" name="Anslutning9" type="4" refreshedVersion="5" background="1" saveData="1">
    <webPr xl2000="1" url="http://kdb-5.liu.se/liu/lith/studiehandboken/action.lasso?&amp;-response=lot_response.lasso&amp;-op=eq&amp;kp_budget_year=2010-op=eq&amp;kp_programkod=I&amp;-op=ct&amp;kp_programprofil=energi" htmlTables="1" htmlFormat="all">
      <tables count="1">
        <x v="1"/>
      </tables>
    </webPr>
  </connection>
  <connection id="410" name="Anslutning90" type="4" refreshedVersion="5" background="1" saveData="1">
    <webPr xl2000="1" url="http://kdb-5.liu.se/liu/lith/studiehandboken/action.lasso?&amp;-response=lot_response.lasso&amp;-op=eq&amp;kp_budget_year=2011-op=eq&amp;kp_programkod=I&amp;-op=ct&amp;kp_programprofil=data" htmlTables="1" htmlFormat="all">
      <tables count="1">
        <x v="1"/>
      </tables>
    </webPr>
  </connection>
  <connection id="411" name="Anslutning91" type="4" refreshedVersion="5" background="1" saveData="1">
    <webPr xl2000="1" url="http://kdb-5.liu.se/liu/lith/studiehandboken/action.lasso?&amp;-response=lot_response.lasso&amp;-op=eq&amp;kp_budget_year=2012-op=eq&amp;kp_programkod=I&amp;-op=ct&amp;kp_programprofil=data" htmlTables="1" htmlFormat="all">
      <tables count="1">
        <x v="1"/>
      </tables>
    </webPr>
  </connection>
  <connection id="412" name="Anslutning92" type="4" refreshedVersion="5" background="1" saveData="1">
    <webPr xl2000="1" url="http://kdb-5.liu.se/liu/lith/studiehandboken/action.lasso?&amp;-response=lot_response.lasso&amp;-op=eq&amp;kp_budget_year=2013-op=eq&amp;kp_programkod=I&amp;-op=ct&amp;kp_programprofil=data" htmlTables="1" htmlFormat="all">
      <tables count="1">
        <x v="1"/>
      </tables>
    </webPr>
  </connection>
  <connection id="413" name="Anslutning93" type="4" refreshedVersion="5" background="1" saveData="1">
    <webPr xl2000="1" url="http://kdb-5.liu.se/liu/lith/studiehandboken/action.lasso?&amp;-response=lot_response.lasso&amp;-op=eq&amp;kp_budget_year=2014-op=eq&amp;kp_programkod=I&amp;-op=ct&amp;kp_programprofil=data" htmlTables="1" htmlFormat="all">
      <tables count="1">
        <x v="1"/>
      </tables>
    </webPr>
  </connection>
  <connection id="414" name="Anslutning94" type="4" refreshedVersion="5" background="1" saveData="1">
    <webPr xl2000="1" url="http://kdb-5.liu.se/liu/lith/studiehandboken/action.lasso?&amp;-response=lot_response.lasso&amp;-op=eq&amp;kp_budget_year=2009-op=eq&amp;kp_programkod=I&amp;-op=ct&amp;kp_programprofil=data" htmlTables="1" htmlFormat="all">
      <tables count="1">
        <x v="1"/>
      </tables>
    </webPr>
  </connection>
  <connection id="415" name="Anslutning95" type="4" refreshedVersion="5" background="1" saveData="1">
    <webPr xl2000="1" url="http://kdb-5.liu.se/liu/lith/studiehandboken/action.lasso?&amp;-response=lot_response.lasso&amp;-op=eq&amp;kp_budget_year=2010-op=eq&amp;kp_programkod=I&amp;-op=ct&amp;kp_programprofil=data" htmlTables="1" htmlFormat="all">
      <tables count="1">
        <x v="1"/>
      </tables>
    </webPr>
  </connection>
  <connection id="416" name="Anslutning96" type="4" refreshedVersion="5" background="1" saveData="1">
    <webPr xl2000="1" url="http://kdb-5.liu.se/liu/lith/studiehandboken/action.lasso?&amp;-response=lot_response.lasso&amp;-op=eq&amp;kp_budget_year=2011-op=eq&amp;kp_programkod=I&amp;-op=ct&amp;kp_programprofil=data" htmlTables="1" htmlFormat="all">
      <tables count="1">
        <x v="1"/>
      </tables>
    </webPr>
  </connection>
  <connection id="417" name="Anslutning97" type="4" refreshedVersion="5" background="1" saveData="1">
    <webPr xl2000="1" url="http://kdb-5.liu.se/liu/lith/studiehandboken/action.lasso?&amp;-response=lot_response.lasso&amp;-op=eq&amp;kp_budget_year=2012-op=eq&amp;kp_programkod=I&amp;-op=ct&amp;kp_programprofil=data" htmlTables="1" htmlFormat="all">
      <tables count="1">
        <x v="1"/>
      </tables>
    </webPr>
  </connection>
  <connection id="418" name="Anslutning98" type="4" refreshedVersion="5" background="1" saveData="1">
    <webPr xl2000="1" url="http://kdb-5.liu.se/liu/lith/studiehandboken/action.lasso?&amp;-response=lot_response.lasso&amp;-op=eq&amp;kp_budget_year=2013-op=eq&amp;kp_programkod=I&amp;-op=ct&amp;kp_programprofil=data" htmlTables="1" htmlFormat="all">
      <tables count="1">
        <x v="1"/>
      </tables>
    </webPr>
  </connection>
  <connection id="419" name="Anslutning99" type="4" refreshedVersion="5" background="1" saveData="1">
    <webPr xl2000="1" url="http://kdb-5.liu.se/liu/lith/studiehandboken/action.lasso?&amp;-response=lot_response.lasso&amp;-op=eq&amp;kp_budget_year=2014-op=eq&amp;kp_programkod=I&amp;-op=ct&amp;kp_programprofil=data" htmlTables="1" htmlFormat="all">
      <tables count="1">
        <x v="1"/>
      </tables>
    </webPr>
  </connection>
  <connection id="420" keepAlive="1" name="ThisWorkbookDataModel" description="Datamodell" type="5" refreshedVersion="5"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421" name="WorksheetConnection_Högskolepoängsspårare.xlsm!ProgramKurser" type="102" refreshedVersion="5" minRefreshableVersion="5">
    <extLst>
      <ext xmlns:x15="http://schemas.microsoft.com/office/spreadsheetml/2010/11/main" uri="{DE250136-89BD-433C-8126-D09CA5730AF9}">
        <x15:connection id="ProgramKurser-63389b59-6696-438a-9aed-29a9ba87c27f">
          <x15:rangePr sourceName="_xlcn.WorksheetConnection_Högskolepoängsspårare.xlsmProgramKurser1"/>
        </x15:connection>
      </ext>
    </extLst>
  </connection>
  <connection id="422" name="WorksheetConnection_Högskolepoängsspårare.xlsm!Programplan" type="102" refreshedVersion="5" minRefreshableVersion="5">
    <extLst>
      <ext xmlns:x15="http://schemas.microsoft.com/office/spreadsheetml/2010/11/main" uri="{DE250136-89BD-433C-8126-D09CA5730AF9}">
        <x15:connection id="Programplan-da6b1a88-ccff-47a9-9a3d-f262ce90417b">
          <x15:rangePr sourceName="_xlcn.WorksheetConnection_Högskolepoängsspårare.xlsmProgramplan1"/>
        </x15:connection>
      </ext>
    </extLst>
  </connection>
</connections>
</file>

<file path=xl/sharedStrings.xml><?xml version="1.0" encoding="utf-8"?>
<sst xmlns="http://schemas.openxmlformats.org/spreadsheetml/2006/main" count="11133" uniqueCount="2085">
  <si>
    <t>Huvudämne</t>
  </si>
  <si>
    <t>KURSPOÄNGSKRAV</t>
  </si>
  <si>
    <t>KVAR ATT TA</t>
  </si>
  <si>
    <t>KURSPOÄNG</t>
  </si>
  <si>
    <t>TERMIN</t>
  </si>
  <si>
    <t>ÖVERGRIPANDE FRAMSTEG</t>
  </si>
  <si>
    <t>Programkurser</t>
  </si>
  <si>
    <t>KURSNAMN</t>
  </si>
  <si>
    <t>KURSKOD</t>
  </si>
  <si>
    <t>NIVÅ</t>
  </si>
  <si>
    <t>Antagningsår</t>
  </si>
  <si>
    <t>Program</t>
  </si>
  <si>
    <t>Lägg till program</t>
  </si>
  <si>
    <t>PROGRAMNAMN</t>
  </si>
  <si>
    <t>HÖGSKOLEPOÄNG</t>
  </si>
  <si>
    <t>ÅR</t>
  </si>
  <si>
    <t>Civilingenjör i Industriell Ekonomi</t>
  </si>
  <si>
    <t>Civilingenjör i Maskinteknik</t>
  </si>
  <si>
    <t>NYTT PROGRAM</t>
  </si>
  <si>
    <t>INRIKTNING</t>
  </si>
  <si>
    <t>PROGRAM</t>
  </si>
  <si>
    <t>Datateknik</t>
  </si>
  <si>
    <t>Mitt informationsblad</t>
  </si>
  <si>
    <t xml:space="preserve">    NY INRIKTNING</t>
  </si>
  <si>
    <t xml:space="preserve">    Välj program: </t>
  </si>
  <si>
    <t>Högskoleingenjör Datateknik</t>
  </si>
  <si>
    <t>Högskoleingenjör Maskinteknik</t>
  </si>
  <si>
    <t>Logistik</t>
  </si>
  <si>
    <t>PERIOD</t>
  </si>
  <si>
    <t>Systemteknik</t>
  </si>
  <si>
    <t>Maskinteknik</t>
  </si>
  <si>
    <t>Energiteknik</t>
  </si>
  <si>
    <t>Bioteknik</t>
  </si>
  <si>
    <t>SearchRank</t>
  </si>
  <si>
    <t>Search</t>
  </si>
  <si>
    <t>NAME</t>
  </si>
  <si>
    <t>Obligatorisk</t>
  </si>
  <si>
    <t>Nivåer</t>
  </si>
  <si>
    <t>Terminer</t>
  </si>
  <si>
    <t>Perioder</t>
  </si>
  <si>
    <t>1 och 2</t>
  </si>
  <si>
    <t>År</t>
  </si>
  <si>
    <t>ÅRSKURS</t>
  </si>
  <si>
    <t>POÄNG</t>
  </si>
  <si>
    <t>BLOCK</t>
  </si>
  <si>
    <t>Frivillig</t>
  </si>
  <si>
    <t>Valbar</t>
  </si>
  <si>
    <t>Reglerteknik</t>
  </si>
  <si>
    <t>Miljöteknik</t>
  </si>
  <si>
    <t>BETYG</t>
  </si>
  <si>
    <t>U</t>
  </si>
  <si>
    <t>G</t>
  </si>
  <si>
    <t>Grundläggande poäng</t>
  </si>
  <si>
    <t>Poäng i din studieplan</t>
  </si>
  <si>
    <t>Totalt antal avslutade poäng:</t>
  </si>
  <si>
    <t>Tagna högskolepoäng</t>
  </si>
  <si>
    <t>Avancerade poäng</t>
  </si>
  <si>
    <t>Termin</t>
  </si>
  <si>
    <t>Poängfördelning i din studieplan</t>
  </si>
  <si>
    <t>Varav avslutade</t>
  </si>
  <si>
    <t>Antal av KURSNAMN</t>
  </si>
  <si>
    <t>Terminssammanfattning</t>
  </si>
  <si>
    <t>Antal kurser</t>
  </si>
  <si>
    <t>Högskolepoäng</t>
  </si>
  <si>
    <t>Summa av POÄNG</t>
  </si>
  <si>
    <t>Finans</t>
  </si>
  <si>
    <t>Finansiell matematik</t>
  </si>
  <si>
    <t>Teknisk mekanik</t>
  </si>
  <si>
    <t>Energisystem och miljöteknik</t>
  </si>
  <si>
    <t>Flygteknik</t>
  </si>
  <si>
    <t>Produktutveckling</t>
  </si>
  <si>
    <t>Industriell produktion (Industriell ekonomi)</t>
  </si>
  <si>
    <t>Industriell produktion (Maskinteknik)</t>
  </si>
  <si>
    <t>Civilingenjör i Teknisk Fysik och elektroteknik</t>
  </si>
  <si>
    <t>Kommunikation</t>
  </si>
  <si>
    <t>Mekatronik</t>
  </si>
  <si>
    <t>Signal- och bildbehandling</t>
  </si>
  <si>
    <t>Styr- och informationssystem</t>
  </si>
  <si>
    <t>Masterprofiler</t>
  </si>
  <si>
    <t>System-on-chip</t>
  </si>
  <si>
    <t>Teknisk matematik</t>
  </si>
  <si>
    <t>Medicinsk teknik</t>
  </si>
  <si>
    <t>Civilingenjör i Design och produktutveckling</t>
  </si>
  <si>
    <t>Produktutveckling och teknisk design</t>
  </si>
  <si>
    <t>Konstruktion</t>
  </si>
  <si>
    <t>Management</t>
  </si>
  <si>
    <t>Energi</t>
  </si>
  <si>
    <t xml:space="preserve">Civilingenjör i Energi - miljö - management </t>
  </si>
  <si>
    <t>Kommentarer</t>
  </si>
  <si>
    <t>Dubbelklicka celler i kolumnen nedan för att inkludera  i eller ta bort från din studieplan</t>
  </si>
  <si>
    <t>Profil 1</t>
  </si>
  <si>
    <t>Profil 2</t>
  </si>
  <si>
    <t>Block _&gt;</t>
  </si>
  <si>
    <t>Period 2</t>
  </si>
  <si>
    <t>Lägg till profiler</t>
  </si>
  <si>
    <t>Profiler</t>
  </si>
  <si>
    <t>Nedan visas de inriktningar som i finns inlagda för respektive program. Använd verktyget till vänster för att lägga till nya inriktningar för ett program.</t>
  </si>
  <si>
    <t>Kurser i din studieplan</t>
  </si>
  <si>
    <t>INGÅR I KURSPLAN</t>
  </si>
  <si>
    <t>Ekonomiska informationssystem</t>
  </si>
  <si>
    <t>Industriell marknadsföring</t>
  </si>
  <si>
    <t>Kvalitets- och verksamhetsutveckling</t>
  </si>
  <si>
    <t>Produktionsledning</t>
  </si>
  <si>
    <t>Projekt, innovation och entreprenörskap</t>
  </si>
  <si>
    <t>Strategi och styrning</t>
  </si>
  <si>
    <t>G1</t>
  </si>
  <si>
    <t>G2</t>
  </si>
  <si>
    <t>Kursnamn</t>
  </si>
  <si>
    <t>Nivå</t>
  </si>
  <si>
    <t>Block</t>
  </si>
  <si>
    <t>A</t>
  </si>
  <si>
    <t>Lägg till kurser till programmet</t>
  </si>
  <si>
    <t>TDDC30</t>
  </si>
  <si>
    <t>Programmering i Java, datastrukturer och algoritmer</t>
  </si>
  <si>
    <t>TATA52</t>
  </si>
  <si>
    <t>Diskret matematik</t>
  </si>
  <si>
    <t>TSEA51</t>
  </si>
  <si>
    <t>Digitalteknik</t>
  </si>
  <si>
    <t>TDDD71</t>
  </si>
  <si>
    <t>Datastrukturer och algoritmer</t>
  </si>
  <si>
    <t>TDTS10</t>
  </si>
  <si>
    <t>Datorarkitektur</t>
  </si>
  <si>
    <t>TDDD83</t>
  </si>
  <si>
    <t>Kandidatprojekt datateknik</t>
  </si>
  <si>
    <t>TDDD81</t>
  </si>
  <si>
    <t>Databasteknik för kandidatprojekt</t>
  </si>
  <si>
    <t>TSTE86</t>
  </si>
  <si>
    <t>Digitala integrerade kretsar</t>
  </si>
  <si>
    <t>TATM79</t>
  </si>
  <si>
    <t>Matematisk grundkurs</t>
  </si>
  <si>
    <t>TATA31</t>
  </si>
  <si>
    <t>Linjär algebra</t>
  </si>
  <si>
    <t>TEIE17</t>
  </si>
  <si>
    <t>Industriell ekonomi</t>
  </si>
  <si>
    <t>TATA41</t>
  </si>
  <si>
    <t>Envariabelanalys 1</t>
  </si>
  <si>
    <t>TATA42</t>
  </si>
  <si>
    <t>Envariabelanalys 2</t>
  </si>
  <si>
    <t>TDDD11</t>
  </si>
  <si>
    <t>Programmering, grundkurs</t>
  </si>
  <si>
    <t>TEIO61</t>
  </si>
  <si>
    <t>Industriell organisation, grundkurs</t>
  </si>
  <si>
    <t>TATA43</t>
  </si>
  <si>
    <t>Flervariabelanalys</t>
  </si>
  <si>
    <t>TSKS08</t>
  </si>
  <si>
    <t>Introduktionskurs i Matlab</t>
  </si>
  <si>
    <t>TAOP14</t>
  </si>
  <si>
    <t>Optimeringslära, grundkurs</t>
  </si>
  <si>
    <t>TMME27</t>
  </si>
  <si>
    <t>Mekanik I</t>
  </si>
  <si>
    <t>TSKS09</t>
  </si>
  <si>
    <t>Linjära system</t>
  </si>
  <si>
    <t>TAMS79</t>
  </si>
  <si>
    <t>Matematisk statistik, grundkurs</t>
  </si>
  <si>
    <t>TFYA14</t>
  </si>
  <si>
    <t>Fysik</t>
  </si>
  <si>
    <t>TPPE98</t>
  </si>
  <si>
    <t>Ekonomisk analys: Ekonomisk teori</t>
  </si>
  <si>
    <t>TAMS65</t>
  </si>
  <si>
    <t>Matematisk statistik I, fortsättningskurs</t>
  </si>
  <si>
    <t>TPPE24</t>
  </si>
  <si>
    <t>Ekonomisk analys: Besluts- och finansiell metodik</t>
  </si>
  <si>
    <t>TEIM02</t>
  </si>
  <si>
    <t>Grundläggande marknadsföring</t>
  </si>
  <si>
    <t>TSRT19</t>
  </si>
  <si>
    <t>TPPE13</t>
  </si>
  <si>
    <t>Produktionsekonomi</t>
  </si>
  <si>
    <t>TEIO04</t>
  </si>
  <si>
    <t>Projektledning</t>
  </si>
  <si>
    <t>TEIE06</t>
  </si>
  <si>
    <t>Integrerad företagsplanering</t>
  </si>
  <si>
    <t xml:space="preserve"> Ingen</t>
  </si>
  <si>
    <t>Oviktat betygsnitt:</t>
  </si>
  <si>
    <t>Automatiserad dataimport</t>
  </si>
  <si>
    <t>Om arbetsboken</t>
  </si>
  <si>
    <t>Examenskrav</t>
  </si>
  <si>
    <t>Data och beräkningar</t>
  </si>
  <si>
    <t>Inriktningar</t>
  </si>
  <si>
    <t>Kopplar ihop inriktningar med utbildningar</t>
  </si>
  <si>
    <t>Pivottabell för att plocka fram data till sammanställning</t>
  </si>
  <si>
    <t>Konstanter</t>
  </si>
  <si>
    <t>Möjliga betyg</t>
  </si>
  <si>
    <t xml:space="preserve"> Obligatorisk</t>
  </si>
  <si>
    <t xml:space="preserve"> Valbar</t>
  </si>
  <si>
    <t xml:space="preserve"> Frivillig</t>
  </si>
  <si>
    <t>Konstant</t>
  </si>
  <si>
    <r>
      <t>När du lägger till ett helt nytt program: Glöm inte att lägga till examenskrav i arbetsbladet e</t>
    </r>
    <r>
      <rPr>
        <i/>
        <sz val="10"/>
        <color theme="1" tint="0.24994659260841701"/>
        <rFont val="Bookman Old Style"/>
        <family val="1"/>
        <scheme val="major"/>
      </rPr>
      <t xml:space="preserve">xamenskrav. </t>
    </r>
    <r>
      <rPr>
        <sz val="10"/>
        <color theme="1" tint="0.24994659260841701"/>
        <rFont val="Bookman Old Style"/>
        <family val="1"/>
        <scheme val="major"/>
      </rPr>
      <t>Utan dessa kommer</t>
    </r>
    <r>
      <rPr>
        <i/>
        <sz val="10"/>
        <color theme="1" tint="0.24994659260841701"/>
        <rFont val="Bookman Old Style"/>
        <family val="1"/>
        <scheme val="major"/>
      </rPr>
      <t xml:space="preserve"> </t>
    </r>
    <r>
      <rPr>
        <sz val="10"/>
        <color theme="1" tint="0.24994659260841701"/>
        <rFont val="Bookman Old Style"/>
        <family val="1"/>
        <scheme val="major"/>
      </rPr>
      <t>Sammanställningen</t>
    </r>
    <r>
      <rPr>
        <i/>
        <sz val="10"/>
        <color theme="1" tint="0.24994659260841701"/>
        <rFont val="Bookman Old Style"/>
        <family val="1"/>
        <scheme val="major"/>
      </rPr>
      <t xml:space="preserve"> </t>
    </r>
    <r>
      <rPr>
        <sz val="10"/>
        <color theme="1" tint="0.24994659260841701"/>
        <rFont val="Bookman Old Style"/>
        <family val="1"/>
        <scheme val="major"/>
      </rPr>
      <t>eventuellt att visa felaktig information.</t>
    </r>
  </si>
  <si>
    <t>Antal poäng</t>
  </si>
  <si>
    <t>Godtyckliga</t>
  </si>
  <si>
    <t>Avancerade</t>
  </si>
  <si>
    <t>Civilingenjör i Datateknik</t>
  </si>
  <si>
    <t>Civilingenjör i Teknisk biologi</t>
  </si>
  <si>
    <t>Industriell bioteknik och produktion</t>
  </si>
  <si>
    <t>Sensorer och material i biomedicin</t>
  </si>
  <si>
    <t>Kemisk biologi</t>
  </si>
  <si>
    <t xml:space="preserve">I detta datablad så finns också några av de större beräkningarna samlade. </t>
  </si>
  <si>
    <t>Material- och nanofysik</t>
  </si>
  <si>
    <t>Teori, modellering och visualisering</t>
  </si>
  <si>
    <t>Elektronik</t>
  </si>
  <si>
    <t>1, 2</t>
  </si>
  <si>
    <t>4, 4</t>
  </si>
  <si>
    <t>o</t>
  </si>
  <si>
    <t>v</t>
  </si>
  <si>
    <t>TEIM09</t>
  </si>
  <si>
    <t>Internationellt företagande</t>
  </si>
  <si>
    <t>6*</t>
  </si>
  <si>
    <t>Transformteori</t>
  </si>
  <si>
    <t>Datorteknik</t>
  </si>
  <si>
    <t>TSDT18</t>
  </si>
  <si>
    <t>Signaler och system</t>
  </si>
  <si>
    <t>TSKS10</t>
  </si>
  <si>
    <t>Signaler, information och kommunikation</t>
  </si>
  <si>
    <t>TBME04</t>
  </si>
  <si>
    <t>Anatomi och fysiologi</t>
  </si>
  <si>
    <t>TSEA81</t>
  </si>
  <si>
    <t>Datorteknik och realtidssystem</t>
  </si>
  <si>
    <t>TSIT02</t>
  </si>
  <si>
    <t>Datasäkerhet</t>
  </si>
  <si>
    <t>TSKS11</t>
  </si>
  <si>
    <t>Nätverk: modeller, algoritmer och tillämpningar</t>
  </si>
  <si>
    <t>TSIT03</t>
  </si>
  <si>
    <t>Kryptoteknik</t>
  </si>
  <si>
    <t>3, 3</t>
  </si>
  <si>
    <t>TMMV03</t>
  </si>
  <si>
    <t>Tillämpad termodynamik och strömningslära</t>
  </si>
  <si>
    <t>TMHL07</t>
  </si>
  <si>
    <t>Hållfasthetslära, grundkurs</t>
  </si>
  <si>
    <t>TMPT04</t>
  </si>
  <si>
    <t>Produktionsteknik</t>
  </si>
  <si>
    <t>TMKM86</t>
  </si>
  <si>
    <t>Konstruktionsmaterial</t>
  </si>
  <si>
    <t>TMKT14</t>
  </si>
  <si>
    <t>CAD och maskinelement</t>
  </si>
  <si>
    <t>TMMS03</t>
  </si>
  <si>
    <t>-</t>
  </si>
  <si>
    <t>TMMV09</t>
  </si>
  <si>
    <t>Energiomvandling - tekniska perspektiv</t>
  </si>
  <si>
    <t>TKMJ24</t>
  </si>
  <si>
    <t>TMES34</t>
  </si>
  <si>
    <t>Energisystem - tillförsel och användning</t>
  </si>
  <si>
    <t>TDDD12</t>
  </si>
  <si>
    <t>Databasteknik</t>
  </si>
  <si>
    <t>TDDC88</t>
  </si>
  <si>
    <t>Programutvecklingsmetodik</t>
  </si>
  <si>
    <t>TDDC17</t>
  </si>
  <si>
    <t>Artificiell intelligens</t>
  </si>
  <si>
    <t>TDDD20</t>
  </si>
  <si>
    <t>Konstruktion och analys av algoritmer</t>
  </si>
  <si>
    <t>TDDD23</t>
  </si>
  <si>
    <t>Design och programmering av datorspel</t>
  </si>
  <si>
    <t>TDDD38</t>
  </si>
  <si>
    <t>Avancerad programmering i C++</t>
  </si>
  <si>
    <t>TDDD55</t>
  </si>
  <si>
    <t>Kompilatorer och interpretatorer</t>
  </si>
  <si>
    <t>TDDD17</t>
  </si>
  <si>
    <t>Informationssäkerhet, fk</t>
  </si>
  <si>
    <t>TDDD24</t>
  </si>
  <si>
    <t>Webbprogrammering och interaktivitet</t>
  </si>
  <si>
    <t>TDDD75</t>
  </si>
  <si>
    <t>Effektdriven utveckling och humancentrerad design av interaktiva system</t>
  </si>
  <si>
    <t>TDTS04</t>
  </si>
  <si>
    <t>Datornät och distribuerade system</t>
  </si>
  <si>
    <t>TDDD14</t>
  </si>
  <si>
    <t>Formella språk och automatateori</t>
  </si>
  <si>
    <t>TDDD26</t>
  </si>
  <si>
    <t>Utveckling av interaktiva system</t>
  </si>
  <si>
    <t>TDDD27</t>
  </si>
  <si>
    <t>Avancerad webbprogrammering</t>
  </si>
  <si>
    <t>TDDB84</t>
  </si>
  <si>
    <t>Designmönster</t>
  </si>
  <si>
    <t>TFKE52</t>
  </si>
  <si>
    <t>Grundläggande kemi</t>
  </si>
  <si>
    <t>NBIA25</t>
  </si>
  <si>
    <t>Cellbiologi</t>
  </si>
  <si>
    <t>NBIA23</t>
  </si>
  <si>
    <t>Mikrobiologi</t>
  </si>
  <si>
    <t>TEIO20</t>
  </si>
  <si>
    <t>Entreprenörskap och start av nya verksamheter</t>
  </si>
  <si>
    <t>TEIE95</t>
  </si>
  <si>
    <t>Affärsrätt I</t>
  </si>
  <si>
    <t>1, 1; 1, 1</t>
  </si>
  <si>
    <t>TGTU35</t>
  </si>
  <si>
    <t>Introduktionskurs för universitetsstudier</t>
  </si>
  <si>
    <t>THEN18</t>
  </si>
  <si>
    <t>Engelska</t>
  </si>
  <si>
    <t>TEIM03</t>
  </si>
  <si>
    <t>Interkulturell kommunikation</t>
  </si>
  <si>
    <t>TPTE06</t>
  </si>
  <si>
    <t>Praktik</t>
  </si>
  <si>
    <t>TEAE05</t>
  </si>
  <si>
    <t>Resursteori</t>
  </si>
  <si>
    <t>TFKE32</t>
  </si>
  <si>
    <t>Bioteknisk biokemi</t>
  </si>
  <si>
    <t>TAOP37</t>
  </si>
  <si>
    <t>Optimeringslära, fortsättningskurs</t>
  </si>
  <si>
    <t>TANA06</t>
  </si>
  <si>
    <t>Numeriska metoder</t>
  </si>
  <si>
    <t>TATA57</t>
  </si>
  <si>
    <t>THFR05</t>
  </si>
  <si>
    <t>Kommunikativ franska</t>
  </si>
  <si>
    <t>THSP05</t>
  </si>
  <si>
    <t>Kommunikativ spanska</t>
  </si>
  <si>
    <t>THTY05</t>
  </si>
  <si>
    <t>Kommunikativ tyska</t>
  </si>
  <si>
    <t>TSEA82</t>
  </si>
  <si>
    <t>TDDC32</t>
  </si>
  <si>
    <t>Design och implementering av programmodul i Java</t>
  </si>
  <si>
    <t>TDDD52</t>
  </si>
  <si>
    <t>Webbprogrammering - grundkurs</t>
  </si>
  <si>
    <t>TSEA28</t>
  </si>
  <si>
    <t>Datorteknik Y</t>
  </si>
  <si>
    <t>TSRT17</t>
  </si>
  <si>
    <t>Systembiologiskt modelleringsprojekt</t>
  </si>
  <si>
    <t>TDDD03</t>
  </si>
  <si>
    <t>Användbarhet i ett ekonomiskt perspektiv</t>
  </si>
  <si>
    <t>studiehandbok@lith</t>
  </si>
  <si>
    <t>Länk till universitetets hemsida</t>
  </si>
  <si>
    <t>Linköpings tekniska högskola</t>
  </si>
  <si>
    <t>*) Kurser som sträcker sig över mer än en läsperiod</t>
  </si>
  <si>
    <t>Kurskod</t>
  </si>
  <si>
    <t>VOF</t>
  </si>
  <si>
    <t>Kurs-hp</t>
  </si>
  <si>
    <t>URL</t>
  </si>
  <si>
    <t>TDDC87</t>
  </si>
  <si>
    <t>Orientering i IT infrastukturer</t>
  </si>
  <si>
    <t>TDDC47</t>
  </si>
  <si>
    <t>Realtids- och processprogrammering</t>
  </si>
  <si>
    <t>TDDC65</t>
  </si>
  <si>
    <t>Artificiell intelligens och LISP</t>
  </si>
  <si>
    <t>TDDD16</t>
  </si>
  <si>
    <t>TDDD06</t>
  </si>
  <si>
    <t>Kravhantering</t>
  </si>
  <si>
    <t>1, 1</t>
  </si>
  <si>
    <t>2, 2</t>
  </si>
  <si>
    <t>3, 3, 3, 3</t>
  </si>
  <si>
    <t>1, 1, 2, 2</t>
  </si>
  <si>
    <r>
      <t xml:space="preserve">År : </t>
    </r>
    <r>
      <rPr>
        <b/>
        <sz val="9"/>
        <color rgb="FF000000"/>
        <rFont val="Arial"/>
        <family val="2"/>
      </rPr>
      <t>2014-opeq</t>
    </r>
  </si>
  <si>
    <t>2, 2, 4, 4</t>
  </si>
  <si>
    <t>2009; 2010</t>
  </si>
  <si>
    <t>2, 2; 2, 2</t>
  </si>
  <si>
    <t>1, 1, 2, 2; 1, 1, 2, 2</t>
  </si>
  <si>
    <t>1, 1, 2, 2; 2, 2</t>
  </si>
  <si>
    <t>4, 4, 4, 4; 4, 4</t>
  </si>
  <si>
    <t>3, 3, 1, 1; 3, 3, 1, 1</t>
  </si>
  <si>
    <t>3, 3; 3, 3</t>
  </si>
  <si>
    <t>1, 1; 1, 1; 1, 1</t>
  </si>
  <si>
    <t>2, 2; 2, 2; 2, 2</t>
  </si>
  <si>
    <t>2009; 2010; 2011; 2012</t>
  </si>
  <si>
    <t>1, 1; 1, 1; 1, 1; 1, 1</t>
  </si>
  <si>
    <t>2, 2; 2, 2; 2, 2; 2, 2</t>
  </si>
  <si>
    <t>4, 4; 4, 4; 4, 4; 4, 4</t>
  </si>
  <si>
    <t>3, 3; 3, 3; 3, 3; 3, 3</t>
  </si>
  <si>
    <t>2009; 2010; 2011; 2012; 2013</t>
  </si>
  <si>
    <t>1, 1; 1, 1; 1, 1; 1, 1; 1, 1</t>
  </si>
  <si>
    <t>2, 2; 2, 2; 2, 2; 2, 2; 2, 2</t>
  </si>
  <si>
    <t>2010; 2011; 2012; 2013</t>
  </si>
  <si>
    <t>2011; 2012; 2013</t>
  </si>
  <si>
    <t>1, 1, 2, 2; 1, 1, 2, 2; 1, 1, 2, 2; 1, 1, 2, 2; 1, 1, 2, 2</t>
  </si>
  <si>
    <t>1, 1, 3, 3; 1, 1, 3, 3; 1, 1, 3, 3; 1, 1, 3, 3; 1, 1, 3, 3</t>
  </si>
  <si>
    <t>4, 4; 4, 4; 4, 4; 4, 4; 4, 4</t>
  </si>
  <si>
    <t>3, 3; 3, 3; 3, 3; 3, 3; 3, 3</t>
  </si>
  <si>
    <t>2013; 2014</t>
  </si>
  <si>
    <t>2009; 2010; 2011; 2012; 2013; 2014</t>
  </si>
  <si>
    <t>2; 2; 2; 2; 2, 2; 2, 2</t>
  </si>
  <si>
    <t>1; 1; 1; 1; 1, 1; 1, 1</t>
  </si>
  <si>
    <t>1, 1; 1, 1; 1, 1; 1, 1; 1, 1; 1, 1</t>
  </si>
  <si>
    <t>2, 2; 2, 2; 2, 2; 2, 2; 2, 2; 2, 2</t>
  </si>
  <si>
    <t>2010; 2011; 2012; 2013; 2014</t>
  </si>
  <si>
    <t>4, 4; 4, 4; 4, 4; 4, 4; 4, 4; 4, 4</t>
  </si>
  <si>
    <t>2011; 2012; 2013; 2014</t>
  </si>
  <si>
    <t>1, 1, 2, 2; 1, 1, 2, 2; 1, 1, 2, 2; 1, 1, 2, 2; 1, 1, 2, 2; 1, 1, 2, 2</t>
  </si>
  <si>
    <t>1, 1, 1, 1; 1, 1, 1, 1; 1, 1, 1, 1; 1, 1, 1, 1; 1, 1, 1, 1; 1, 1, 1, 1</t>
  </si>
  <si>
    <t>2, 2, -, -; 2, 2, -, -; 2, 2, -, -; 2, 2, -, -; 2, 2, -, -; 2, 2, -, -</t>
  </si>
  <si>
    <t>1, 1; 1, 1; 3, 3; 3, 3; 3, 3; 3, 3</t>
  </si>
  <si>
    <t>2009; 2014</t>
  </si>
  <si>
    <t>4, 4, 4, 4; 4, 4, 4, 4; 4, 4, 4, 4; 4, 4, 4, 4; 4, 4, 4, 4; 4, 4, 4, 4</t>
  </si>
  <si>
    <t>3, 3; 3, 3; 3, 3; 3, 3; 3, 3; 3, 3</t>
  </si>
  <si>
    <t>TSDT08</t>
  </si>
  <si>
    <t>Signaler och system, del 1</t>
  </si>
  <si>
    <t>TSDT15</t>
  </si>
  <si>
    <t>Signaler och system, del 2</t>
  </si>
  <si>
    <t>TSRT07</t>
  </si>
  <si>
    <t>Industriell reglerteknik</t>
  </si>
  <si>
    <t>TSDT14</t>
  </si>
  <si>
    <t>Signalteori</t>
  </si>
  <si>
    <t>TBMI19</t>
  </si>
  <si>
    <t>Medicinska informationssystem</t>
  </si>
  <si>
    <t>TSBB08</t>
  </si>
  <si>
    <t>Digital bildbehandling grundkurs</t>
  </si>
  <si>
    <t>TSKS01</t>
  </si>
  <si>
    <t>Digital kommunikation</t>
  </si>
  <si>
    <t>TSRT62</t>
  </si>
  <si>
    <t>Modellbygge och simulering</t>
  </si>
  <si>
    <t>TBMI02</t>
  </si>
  <si>
    <t>Medicinsk bildanalys</t>
  </si>
  <si>
    <t>TBMT01</t>
  </si>
  <si>
    <t>Analys av bioelektriska signaler</t>
  </si>
  <si>
    <t>TSBB06</t>
  </si>
  <si>
    <t>Multidimensionell signalanalys</t>
  </si>
  <si>
    <t>TSBB09</t>
  </si>
  <si>
    <t>Bildsensorer</t>
  </si>
  <si>
    <t>TSKS02</t>
  </si>
  <si>
    <t>Telekommunikation</t>
  </si>
  <si>
    <t>TSRT78</t>
  </si>
  <si>
    <t>Digital signalbehandling</t>
  </si>
  <si>
    <t>TBMI26</t>
  </si>
  <si>
    <t>Neuronnät och lärande system</t>
  </si>
  <si>
    <t>TBMT02</t>
  </si>
  <si>
    <t>Bildgenererande teknik inom medicinen</t>
  </si>
  <si>
    <t>TBMT09</t>
  </si>
  <si>
    <t>Fysiologiska tryck och flöden</t>
  </si>
  <si>
    <t>TSBB12</t>
  </si>
  <si>
    <t>Datorseende teori</t>
  </si>
  <si>
    <t>TSBK07</t>
  </si>
  <si>
    <t>Datorgrafik</t>
  </si>
  <si>
    <t>TSBK08</t>
  </si>
  <si>
    <t>Datakompression</t>
  </si>
  <si>
    <t>TSKS03</t>
  </si>
  <si>
    <t>Trådlösa system</t>
  </si>
  <si>
    <t>TSKS04</t>
  </si>
  <si>
    <t>Digital kommunikation fk</t>
  </si>
  <si>
    <t>TSRT09</t>
  </si>
  <si>
    <t>Reglerteori</t>
  </si>
  <si>
    <t>TSBK02</t>
  </si>
  <si>
    <t>Bild- och ljudkodning</t>
  </si>
  <si>
    <t>TSDT74</t>
  </si>
  <si>
    <t>Radiokommunikation</t>
  </si>
  <si>
    <t>TSEA43</t>
  </si>
  <si>
    <t>Digital konstruktion</t>
  </si>
  <si>
    <t>TSFS06</t>
  </si>
  <si>
    <t>Diagnos och övervakning</t>
  </si>
  <si>
    <t>TSRT14</t>
  </si>
  <si>
    <t>Sensorfusion</t>
  </si>
  <si>
    <t>TSTE06</t>
  </si>
  <si>
    <t>Digitala filter</t>
  </si>
  <si>
    <t>TSDT16</t>
  </si>
  <si>
    <t>Felrättande koder</t>
  </si>
  <si>
    <t>TSIN01</t>
  </si>
  <si>
    <t>Informationsnät</t>
  </si>
  <si>
    <t>TSRT08</t>
  </si>
  <si>
    <t>Optimal styrning</t>
  </si>
  <si>
    <t>TBMT24</t>
  </si>
  <si>
    <t>Intensivvård och terapeutiska system</t>
  </si>
  <si>
    <t>2; 2</t>
  </si>
  <si>
    <t>1; 1</t>
  </si>
  <si>
    <t>2, 2; 2, 2; 2, 2; 2, 2; 2, 2, 2, 2</t>
  </si>
  <si>
    <t>4, 4; 4, 4</t>
  </si>
  <si>
    <t>2, 2; 1, 1, 2, 2</t>
  </si>
  <si>
    <t>3, 3; 2, 2, 3, 3</t>
  </si>
  <si>
    <t>4, 4, 4, 4; 4, 4, 4, 4</t>
  </si>
  <si>
    <t>TMES09</t>
  </si>
  <si>
    <t>Industriella energisystem</t>
  </si>
  <si>
    <t>TMIA12</t>
  </si>
  <si>
    <t>Produktutveckling och ergonomi</t>
  </si>
  <si>
    <t>TMKT43</t>
  </si>
  <si>
    <t>Produktdesign</t>
  </si>
  <si>
    <t>TMPS19</t>
  </si>
  <si>
    <t>TMTS23</t>
  </si>
  <si>
    <t>Träteknik</t>
  </si>
  <si>
    <t>TMES25</t>
  </si>
  <si>
    <t>Energiresurser</t>
  </si>
  <si>
    <t>TMHL03</t>
  </si>
  <si>
    <t>Hållfasthetslära; Lätta konstruktioner</t>
  </si>
  <si>
    <t>TMKM90</t>
  </si>
  <si>
    <t>Konstruktionsmaterial - deformation och brott</t>
  </si>
  <si>
    <t>TMMV54</t>
  </si>
  <si>
    <t>Värmeöverföring</t>
  </si>
  <si>
    <t>TMPS18</t>
  </si>
  <si>
    <t>Konstruktionsmetodik</t>
  </si>
  <si>
    <t>TMPS21</t>
  </si>
  <si>
    <t>Datoriserad produktionsutrustning</t>
  </si>
  <si>
    <t>TEIO11</t>
  </si>
  <si>
    <t>Produktdesign - projekt</t>
  </si>
  <si>
    <t>TMES17</t>
  </si>
  <si>
    <t>Building Energy Systems</t>
  </si>
  <si>
    <t>TMKT48</t>
  </si>
  <si>
    <t>Konstruktionsoptimering</t>
  </si>
  <si>
    <t>TMKT49</t>
  </si>
  <si>
    <t>Formgivning</t>
  </si>
  <si>
    <t>TMMS30</t>
  </si>
  <si>
    <t>Flerkroppsmekanik och robotik</t>
  </si>
  <si>
    <t>TMMV08</t>
  </si>
  <si>
    <t>Beräkningsmetoder i strömningslära</t>
  </si>
  <si>
    <t>TMPS22</t>
  </si>
  <si>
    <t>Monteringsteknik</t>
  </si>
  <si>
    <t>TMTS52</t>
  </si>
  <si>
    <t>Möbeldesign och träteknisk produktutveckling</t>
  </si>
  <si>
    <t>TMKT57</t>
  </si>
  <si>
    <t>Produktmodellering</t>
  </si>
  <si>
    <t>TMME11</t>
  </si>
  <si>
    <t>Markfordonsmekanik</t>
  </si>
  <si>
    <t>TMME19</t>
  </si>
  <si>
    <t>Mekanik fk</t>
  </si>
  <si>
    <t>TMPS23</t>
  </si>
  <si>
    <t>Konstruktionsprojekt</t>
  </si>
  <si>
    <t>TMPS27</t>
  </si>
  <si>
    <t>Produktionssystem</t>
  </si>
  <si>
    <t>TMPM01</t>
  </si>
  <si>
    <t>Projektkurs avancerad - maskinteknik</t>
  </si>
  <si>
    <t>TMPS24</t>
  </si>
  <si>
    <t>Datorstödd produktframställning</t>
  </si>
  <si>
    <t>3, 3, 1, 1</t>
  </si>
  <si>
    <t>-, -</t>
  </si>
  <si>
    <t>TMEL09</t>
  </si>
  <si>
    <t>Elkraftteknik</t>
  </si>
  <si>
    <t>TMTS07</t>
  </si>
  <si>
    <t>Träteknik - material och industriell förädling</t>
  </si>
  <si>
    <t>TMMS09</t>
  </si>
  <si>
    <t>Strömningslära</t>
  </si>
  <si>
    <t>TMMV01</t>
  </si>
  <si>
    <t>Aerodynamik</t>
  </si>
  <si>
    <t>TMMV07</t>
  </si>
  <si>
    <t>Beräkningsmetoder i strömningslära fk</t>
  </si>
  <si>
    <t>TMES22</t>
  </si>
  <si>
    <t>International Energy Markets</t>
  </si>
  <si>
    <t>-, -, -, -; -, -, -, -</t>
  </si>
  <si>
    <t>TMES27</t>
  </si>
  <si>
    <t>Modellering av energisystem</t>
  </si>
  <si>
    <t>TKMJ10</t>
  </si>
  <si>
    <t>Industriell ekologi</t>
  </si>
  <si>
    <t>TKMJ29</t>
  </si>
  <si>
    <t>Resurseffektiva produkter</t>
  </si>
  <si>
    <t>TKMJ31</t>
  </si>
  <si>
    <t>Biofuels for Transportation</t>
  </si>
  <si>
    <t>TKMJ32</t>
  </si>
  <si>
    <t>Integrerad produkt- och tjänsteutveckling</t>
  </si>
  <si>
    <t>2009; 2010; 2011</t>
  </si>
  <si>
    <t>2; 2; 2</t>
  </si>
  <si>
    <t>1; 1; 1</t>
  </si>
  <si>
    <t>3, 3; 3, 3; 3, 3</t>
  </si>
  <si>
    <t>1, 1, 2, 2; 1, 1, 2, 2; 1, 1, 2, 2</t>
  </si>
  <si>
    <t>4, 4; 4, 4; 4, 4</t>
  </si>
  <si>
    <t>2010; 2011</t>
  </si>
  <si>
    <t>2; 2; 2; 2</t>
  </si>
  <si>
    <t>1; 1; 1; 1</t>
  </si>
  <si>
    <t>1, 1, 2, 2; 1, 1, 2, 2; 1, 1, 2, 2; 1, 1, 2, 2</t>
  </si>
  <si>
    <t>3, 3, 1, 1; 3, 3, 1, 1; 3, 3, 1, 1; 3, 3, 1, 1</t>
  </si>
  <si>
    <t>2011; 2012</t>
  </si>
  <si>
    <t>2010; 2011; 2012</t>
  </si>
  <si>
    <t>4, 4, 3, 3; 4, 4, 3, 3; 4, 4, 3, 3; 4, 4, 3, 3</t>
  </si>
  <si>
    <t>TMKT76</t>
  </si>
  <si>
    <t>Industridesign</t>
  </si>
  <si>
    <t>2; 2; 2; 2; 2</t>
  </si>
  <si>
    <t>1; 1; 1; 1; 1</t>
  </si>
  <si>
    <t>2; 2; 2; 2; 2, 2</t>
  </si>
  <si>
    <t>1; 1; 1; 1; 1, 1</t>
  </si>
  <si>
    <t>2012; 2013</t>
  </si>
  <si>
    <t>TMPS32</t>
  </si>
  <si>
    <t>Kandidatprojekt maskinteknik</t>
  </si>
  <si>
    <t>TMKT80</t>
  </si>
  <si>
    <t>Träteknik - Material</t>
  </si>
  <si>
    <t>TMKT71</t>
  </si>
  <si>
    <t>Affektiv produktutveckling</t>
  </si>
  <si>
    <t>TMKT81</t>
  </si>
  <si>
    <t>Träteknik - Produktframtagning</t>
  </si>
  <si>
    <t>TANA18</t>
  </si>
  <si>
    <t>Beräkningsmatematik</t>
  </si>
  <si>
    <t>TMHL62</t>
  </si>
  <si>
    <t>Finita Elementmetoden FEM, fortsättningskurs</t>
  </si>
  <si>
    <t>TMKM02</t>
  </si>
  <si>
    <t>Konstruktionsmaterial - materialoptimering</t>
  </si>
  <si>
    <t>TMME40</t>
  </si>
  <si>
    <t>Strukturdynamik</t>
  </si>
  <si>
    <t>TMMS11</t>
  </si>
  <si>
    <t>Mekanikmodeller</t>
  </si>
  <si>
    <t>TMHL61</t>
  </si>
  <si>
    <t>Materialmekanik - Skademekanik och livslängdsanalys</t>
  </si>
  <si>
    <t>TMMS20</t>
  </si>
  <si>
    <t>Strukturoptimering</t>
  </si>
  <si>
    <t>3, 3, 1, 1; 3, 3, 1, 1; 3, 3, 1, 1; 3, 3, 1, 1; 3, 3, 1, 1; 3, 3, 1, 1</t>
  </si>
  <si>
    <t>2, 2; 2, 2; 2, 2; 2, 2; 2, 2; 1, 1</t>
  </si>
  <si>
    <t>2, 2; 2, 2; 1, 1; 1, 1; 1, 1; 1, 1</t>
  </si>
  <si>
    <t>3, 3; 3, 3; 1, 1; 1, 1; 1, 1; 1, 1</t>
  </si>
  <si>
    <t>-, -, -, -; -, -, -, -; -, -, -, -; -, -, -, -; -, -, -, -; -, -, -, -</t>
  </si>
  <si>
    <t>TKMJ39</t>
  </si>
  <si>
    <t>Resurseffektiva produkter och produktion</t>
  </si>
  <si>
    <t>TMMV16</t>
  </si>
  <si>
    <t>Kandidatprojekt energiteknik</t>
  </si>
  <si>
    <t>TATA51</t>
  </si>
  <si>
    <t>Matematiska modeller i bioteknik</t>
  </si>
  <si>
    <t>TFKE16</t>
  </si>
  <si>
    <t>Kemi</t>
  </si>
  <si>
    <t>TVMB20</t>
  </si>
  <si>
    <t>Tillämpad cellbiologi</t>
  </si>
  <si>
    <t>TVMB24</t>
  </si>
  <si>
    <t>Teknisk mikrobiologi och immunologi</t>
  </si>
  <si>
    <t>TVMB18</t>
  </si>
  <si>
    <t>Molekylär virologi</t>
  </si>
  <si>
    <t>TAMS12</t>
  </si>
  <si>
    <t>Biostatistik</t>
  </si>
  <si>
    <t>TFTB29</t>
  </si>
  <si>
    <t>Bioinformatik - översikt och praktiska tillämpningar</t>
  </si>
  <si>
    <t>TMMS07</t>
  </si>
  <si>
    <t>Biomekanik</t>
  </si>
  <si>
    <t>TVCB02</t>
  </si>
  <si>
    <t>Genteknik och molekylärgenetik</t>
  </si>
  <si>
    <t>TVCB07</t>
  </si>
  <si>
    <t>Celltillväxt och celldifferentiering</t>
  </si>
  <si>
    <t>TFYA45</t>
  </si>
  <si>
    <t>Projektkurs i bioteknik</t>
  </si>
  <si>
    <t>TFTB34</t>
  </si>
  <si>
    <t>Biosensorteknik</t>
  </si>
  <si>
    <t>TVCB09</t>
  </si>
  <si>
    <t>Cellbiologisk metodik</t>
  </si>
  <si>
    <t>TVMB23</t>
  </si>
  <si>
    <t>Bioteknisk metodik</t>
  </si>
  <si>
    <t>TFTB37</t>
  </si>
  <si>
    <t>Material i medicin</t>
  </si>
  <si>
    <t>TVMB19</t>
  </si>
  <si>
    <t>Tillämpad genteknik</t>
  </si>
  <si>
    <t>2+3, 2+3</t>
  </si>
  <si>
    <t>TFTB40</t>
  </si>
  <si>
    <t>Biomedicinska material</t>
  </si>
  <si>
    <t>TVMB25</t>
  </si>
  <si>
    <t>Tillämpad bioteknik i samhället</t>
  </si>
  <si>
    <t>3+4, 3+4; 3+4, 3+4</t>
  </si>
  <si>
    <t>TBMT32</t>
  </si>
  <si>
    <t>Medicintekniska utblickar</t>
  </si>
  <si>
    <t>TVMB17</t>
  </si>
  <si>
    <t>Immunbiologi och immunologiska tekniker</t>
  </si>
  <si>
    <t>TATM38</t>
  </si>
  <si>
    <t>Matematiska modeller i biologi</t>
  </si>
  <si>
    <t>1,2, 1,2; 1+2, 1+2; 1+2, 1+2</t>
  </si>
  <si>
    <t>TAMS38</t>
  </si>
  <si>
    <t>Försöksplanering och biostatistik</t>
  </si>
  <si>
    <t>TFTB44</t>
  </si>
  <si>
    <t>Bioinformatik</t>
  </si>
  <si>
    <t>TVCB11</t>
  </si>
  <si>
    <t>2, 2, 3, 3; 2, 2, 3, 3; 2, 2, 3, 3</t>
  </si>
  <si>
    <t>TFBI11</t>
  </si>
  <si>
    <t>Genetik och evolution</t>
  </si>
  <si>
    <t>TFBI22</t>
  </si>
  <si>
    <t>Cellbiologi och mikrobiella processer</t>
  </si>
  <si>
    <t>NBIB45</t>
  </si>
  <si>
    <t>Fysiologiska principer och etik</t>
  </si>
  <si>
    <t>TBMT34</t>
  </si>
  <si>
    <t>Kandidatprojekt bioteknik</t>
  </si>
  <si>
    <t>TBMT19</t>
  </si>
  <si>
    <t>Systembiologisk modellering</t>
  </si>
  <si>
    <t>TFYA62</t>
  </si>
  <si>
    <t>Introduktion till biosensorteknik</t>
  </si>
  <si>
    <t>2+1, 2+1</t>
  </si>
  <si>
    <t>3+2, 3+2; 3+2, 3+2; 3+2, 3+2; 3+2, 3+2</t>
  </si>
  <si>
    <t>2+4, 2+4; 2+4, 2+4; 2+4, 2+4; 2+4, 2+4</t>
  </si>
  <si>
    <t>2, 2, 2+3+4, 2+3+4</t>
  </si>
  <si>
    <t>1+2, 1+2; 1+2, 1+2; 1+2, 1+2; 1+2, 1+2</t>
  </si>
  <si>
    <t>1+3, 1+3; 1+3, 1+3; 1+3, 1+3; 1+3, 1+3; 1+4, 1+4; 1+4, 1+4</t>
  </si>
  <si>
    <t>1+3, 1+3; 1+4, 1+4</t>
  </si>
  <si>
    <t>2+3, 2+3; 2+3, 2+3; 2+3, 2+3; 3, 3; 3, 3</t>
  </si>
  <si>
    <t>3, 3; 3, 3; 3, 3; 3, 3; 3, 3, 3, 3</t>
  </si>
  <si>
    <t>1, 1; 1, 1; 1, 1; 1, 1; 1, 1; 1, 1, 1, 1</t>
  </si>
  <si>
    <t>2, 2; 2, 2; 2, 2; 2, 2, 2, 2</t>
  </si>
  <si>
    <t>3, 3; 3, 3; 3, 3; 3, 3, 3, 3</t>
  </si>
  <si>
    <t>1, 1; 1, 1; 1, 1; 1, 1, 1, 1</t>
  </si>
  <si>
    <t>4, 4; 4, 4; 4, 4; 4, 4, 4, 4</t>
  </si>
  <si>
    <t>2, 2, 2, 2</t>
  </si>
  <si>
    <t>4, 4, 4, 4; 4, 4, 4, 4; 4, 4, 4, 4</t>
  </si>
  <si>
    <t>Energiteknik; Systemteknik</t>
  </si>
  <si>
    <t>Bioteknik; Energiteknik; Systemteknik</t>
  </si>
  <si>
    <t>Bioteknik; Systemteknik</t>
  </si>
  <si>
    <t>2014; 2009; 2010; 2011; 2012; 2013</t>
  </si>
  <si>
    <t>2014; 2011; 2012; 2013</t>
  </si>
  <si>
    <t>2014; 2010; 2011; 2012; 2013</t>
  </si>
  <si>
    <t>2014; 2013</t>
  </si>
  <si>
    <t>4, 4; 4, 4; 4, 4; 4, 4; 4, 4, 4, 4</t>
  </si>
  <si>
    <t>TDEI09</t>
  </si>
  <si>
    <t>Strategiska IT-tillämpningar: e-business och knowledge management</t>
  </si>
  <si>
    <t>TDEI19</t>
  </si>
  <si>
    <t>Ekonomisk styrning</t>
  </si>
  <si>
    <t>TDEI13</t>
  </si>
  <si>
    <t>Affärssystem: process och implementering</t>
  </si>
  <si>
    <t>TDEI21</t>
  </si>
  <si>
    <t>Strategisk organisatorisk IT-användning – workflow och knowledge management</t>
  </si>
  <si>
    <t>TDEI35</t>
  </si>
  <si>
    <t>Strategisk ekonomistyrning: Modeller för en stärkt konkurrenskraft</t>
  </si>
  <si>
    <t>TDEI38</t>
  </si>
  <si>
    <t>Ekonomiska perspektiv på IT-användning - för individ, organisation och samhälle</t>
  </si>
  <si>
    <t>TDDC34</t>
  </si>
  <si>
    <t>Teknisk, ekonomisk och samhällelig utvärdering av IT-produkter</t>
  </si>
  <si>
    <t>2012; 2013; 2014</t>
  </si>
  <si>
    <t>2, 2; 1, 1; 1, 1</t>
  </si>
  <si>
    <t>1, 1; 2, 2; 2, 2</t>
  </si>
  <si>
    <t>TPPE29</t>
  </si>
  <si>
    <t>Finansiella marknader och instrument</t>
  </si>
  <si>
    <t>TPPE32</t>
  </si>
  <si>
    <t>Finansiell riskhantering</t>
  </si>
  <si>
    <t>TPPE53</t>
  </si>
  <si>
    <t>Finansiell värderingsmetodik</t>
  </si>
  <si>
    <t>TPPE33</t>
  </si>
  <si>
    <t>Portföljförvaltning</t>
  </si>
  <si>
    <t>TPPE61</t>
  </si>
  <si>
    <t>Finansiell optimering</t>
  </si>
  <si>
    <t>TPPE66</t>
  </si>
  <si>
    <t>Företagsvärdering</t>
  </si>
  <si>
    <t>TEIE72</t>
  </si>
  <si>
    <t>Affärsstrategier</t>
  </si>
  <si>
    <t>TEIE42</t>
  </si>
  <si>
    <t>Industriell försäljning</t>
  </si>
  <si>
    <t>TEIM10</t>
  </si>
  <si>
    <t>Industriell tjänsteutveckling</t>
  </si>
  <si>
    <t>TEIM07</t>
  </si>
  <si>
    <t>Industriell marknadsanalys</t>
  </si>
  <si>
    <t>TEIM04</t>
  </si>
  <si>
    <t>Industriella marknads- och teknikstrategier</t>
  </si>
  <si>
    <t>4, 4, 4, 4; 2, 2, 2, 2; 2, 2, 2, 2</t>
  </si>
  <si>
    <t>TMQU12</t>
  </si>
  <si>
    <t>Lean Production</t>
  </si>
  <si>
    <t>TMQU04</t>
  </si>
  <si>
    <t>Six Sigma Quality</t>
  </si>
  <si>
    <t>TMQU06</t>
  </si>
  <si>
    <t>Kvalitets- och processutveckling</t>
  </si>
  <si>
    <t>TMPI01</t>
  </si>
  <si>
    <t>Projektkurs avancerad - industriell ekonomi</t>
  </si>
  <si>
    <t>TMQU27</t>
  </si>
  <si>
    <t>Kvalitetsutveckling - projektkurs</t>
  </si>
  <si>
    <t>TMQU13</t>
  </si>
  <si>
    <t>Kundfokuserad produkt- och tjänsteutveckling</t>
  </si>
  <si>
    <t>TMQU31</t>
  </si>
  <si>
    <t>Statistisk kvalitetsstyrning</t>
  </si>
  <si>
    <t>TETS56</t>
  </si>
  <si>
    <t>Logistik och kvalitet inom vården</t>
  </si>
  <si>
    <t xml:space="preserve">, , , ; , , , ; , , , </t>
  </si>
  <si>
    <t>4, 4, 4, 4; 4, 4, 4, 4; 2, 2, 4, 4</t>
  </si>
  <si>
    <t>TETS23</t>
  </si>
  <si>
    <t>Inköp</t>
  </si>
  <si>
    <t>TETS27</t>
  </si>
  <si>
    <t>Supply Chain Logistics</t>
  </si>
  <si>
    <t>TETS36</t>
  </si>
  <si>
    <t>Hållbara logistiksystem</t>
  </si>
  <si>
    <t>TETS32</t>
  </si>
  <si>
    <t>Logistikanalys - verktyg och modeller</t>
  </si>
  <si>
    <t>TETS38</t>
  </si>
  <si>
    <t>Logistikprojekt</t>
  </si>
  <si>
    <t>TETS31</t>
  </si>
  <si>
    <t>Logistikstrategier</t>
  </si>
  <si>
    <t>Kvalitets- och verksamhetsutveckling; Logistik</t>
  </si>
  <si>
    <t>2, 2; 2, 2; 2, 2, 2, 2</t>
  </si>
  <si>
    <t>4, 4; 4, 4; 4, 4, 4, 4</t>
  </si>
  <si>
    <t>4, 4, 2, 2; 4, 4, 2, 2; 4, 4, 2, 2</t>
  </si>
  <si>
    <t>TPPE16</t>
  </si>
  <si>
    <t>Produktionsstrategier</t>
  </si>
  <si>
    <t>TPPE21</t>
  </si>
  <si>
    <t>Produktionslogistik</t>
  </si>
  <si>
    <t>TPPE54</t>
  </si>
  <si>
    <t>Avancerad planeringsteknik</t>
  </si>
  <si>
    <t>TPPE19</t>
  </si>
  <si>
    <t>Analys och utveckling av produktionsverksamhet</t>
  </si>
  <si>
    <t>TPPE73</t>
  </si>
  <si>
    <t>Produktionsledningsprojekt</t>
  </si>
  <si>
    <t>4, 4; 4, 4; 1, 1</t>
  </si>
  <si>
    <t>TEIO02</t>
  </si>
  <si>
    <t>Produktutveckling och innovationsledning</t>
  </si>
  <si>
    <t>TEIO07</t>
  </si>
  <si>
    <t>Avancerad projektverksamhet</t>
  </si>
  <si>
    <t>TEIO13</t>
  </si>
  <si>
    <t>Ledarskap och industriellt förändringsarbete</t>
  </si>
  <si>
    <t>TEIO06</t>
  </si>
  <si>
    <t>Innovativt entreprenörskap</t>
  </si>
  <si>
    <t>TEIO90</t>
  </si>
  <si>
    <t>Innovationsledning</t>
  </si>
  <si>
    <t>TEIO89</t>
  </si>
  <si>
    <t>Innovation och entreprenörskap - projektkurs</t>
  </si>
  <si>
    <t>Industriell marknadsföring; Strategi och styrning</t>
  </si>
  <si>
    <t>Ekonomiska informationssystem; Strategi och styrning</t>
  </si>
  <si>
    <t>TEAE10</t>
  </si>
  <si>
    <t>Avancerad strategiutveckling</t>
  </si>
  <si>
    <t>Projekt, innovation och entreprenörskap; Strategi och styrning</t>
  </si>
  <si>
    <t>Produktionsledning; Strategi och styrning</t>
  </si>
  <si>
    <t>1, 1; 2, 2; 2, 2; 2, 2, 2, 2</t>
  </si>
  <si>
    <t>3, 3; 3, 3; 2, 2; 3, 3, 2, 2</t>
  </si>
  <si>
    <t>TAMS26</t>
  </si>
  <si>
    <t>Multivariat analys</t>
  </si>
  <si>
    <t>TAMS32</t>
  </si>
  <si>
    <t>Stokastiska processer</t>
  </si>
  <si>
    <t>TATA34</t>
  </si>
  <si>
    <t>Analys, överkurs</t>
  </si>
  <si>
    <t>TATA44</t>
  </si>
  <si>
    <t>Vektoranalys</t>
  </si>
  <si>
    <t>TDEI12</t>
  </si>
  <si>
    <t>TETS28</t>
  </si>
  <si>
    <t>Grundläggande logistik</t>
  </si>
  <si>
    <t>TETS29</t>
  </si>
  <si>
    <t>TMQU03</t>
  </si>
  <si>
    <t>Offensiv kvalitetsutveckling, gk</t>
  </si>
  <si>
    <t>TPPE17</t>
  </si>
  <si>
    <t>Corporate Finance</t>
  </si>
  <si>
    <t>TSTE13</t>
  </si>
  <si>
    <t>Analog konstruktion</t>
  </si>
  <si>
    <t>NMAC22</t>
  </si>
  <si>
    <t>Köteori</t>
  </si>
  <si>
    <t>TAMS33</t>
  </si>
  <si>
    <t>Planering och statistisk analys av experimentella försök</t>
  </si>
  <si>
    <t>TAMS46</t>
  </si>
  <si>
    <t>Sannolikhetslära, fortsättningskurs</t>
  </si>
  <si>
    <t>TAOP04</t>
  </si>
  <si>
    <t>Matematisk optimering</t>
  </si>
  <si>
    <t>TATA60</t>
  </si>
  <si>
    <t>Komplex analys</t>
  </si>
  <si>
    <t>TDEI14</t>
  </si>
  <si>
    <t>Internrevision och Corporate Governance: Principer för kontroll, revisionskoncept och revisionsprocesser</t>
  </si>
  <si>
    <t>TEIE87</t>
  </si>
  <si>
    <t>Industriell tjänstutveckling</t>
  </si>
  <si>
    <t>TGTU36</t>
  </si>
  <si>
    <t>Teknikens utveckling i samhällsperspektiv</t>
  </si>
  <si>
    <t>TAMS29</t>
  </si>
  <si>
    <t>Stokastiska processer för finansmarknadsmodeller</t>
  </si>
  <si>
    <t>TANA08</t>
  </si>
  <si>
    <t>Numeriska metoder II</t>
  </si>
  <si>
    <t>TATA53</t>
  </si>
  <si>
    <t>Linjär algebra, överkurs</t>
  </si>
  <si>
    <t>TEIE88</t>
  </si>
  <si>
    <t>Datajuridisk översiktskurs</t>
  </si>
  <si>
    <t>TEIO16</t>
  </si>
  <si>
    <t>Innovativt entreprenörskap och affärsplanering</t>
  </si>
  <si>
    <t>TGTU01</t>
  </si>
  <si>
    <t>Teknik och etik</t>
  </si>
  <si>
    <t>TGTU02</t>
  </si>
  <si>
    <t>Språklig kommunikation</t>
  </si>
  <si>
    <t>TKMJ15</t>
  </si>
  <si>
    <t>Miljömanagement</t>
  </si>
  <si>
    <t>TMES16</t>
  </si>
  <si>
    <t>Energisystem - projektkurs</t>
  </si>
  <si>
    <t>TMQU07</t>
  </si>
  <si>
    <t>Strategisk kvalitetsledning</t>
  </si>
  <si>
    <t>TSTE08</t>
  </si>
  <si>
    <t>Analoga och tidsdiskreta integrerade kretsar</t>
  </si>
  <si>
    <t>TGTU76</t>
  </si>
  <si>
    <t>Vetenskapsteori</t>
  </si>
  <si>
    <t>TMQU05</t>
  </si>
  <si>
    <t>Kundcentrerad produktutveckling</t>
  </si>
  <si>
    <t>TSTE17</t>
  </si>
  <si>
    <t>Systemkonstruktion CDIO</t>
  </si>
  <si>
    <t>TAOP18</t>
  </si>
  <si>
    <t>Optimering av försörjningskedjor</t>
  </si>
  <si>
    <t>TAOP34</t>
  </si>
  <si>
    <t>Optimering av stora system</t>
  </si>
  <si>
    <t>TETS34</t>
  </si>
  <si>
    <t>1; 4</t>
  </si>
  <si>
    <t>2012; 2013; 2014; 2009; 2010</t>
  </si>
  <si>
    <t>4; 4</t>
  </si>
  <si>
    <t>2011; 2012; 2013; 2014; 2009; 2010</t>
  </si>
  <si>
    <t>3; 3</t>
  </si>
  <si>
    <t>1, 2; 1, 2</t>
  </si>
  <si>
    <t>2014; 2011; 2012; 2013; 2009; 2010</t>
  </si>
  <si>
    <t>TATA45</t>
  </si>
  <si>
    <t>TGTU91</t>
  </si>
  <si>
    <t>Retorik i teori och praktik</t>
  </si>
  <si>
    <t>2012; 2013; 2014; 2010; 2011</t>
  </si>
  <si>
    <t>2012; 2013; 2014; 2009; 2010; 2011</t>
  </si>
  <si>
    <t>2012; 2009; 2010; 2011</t>
  </si>
  <si>
    <t>4; 4; 4</t>
  </si>
  <si>
    <t>1, 2; 1, 2; 1, 2</t>
  </si>
  <si>
    <t>2012; 2013; 2009; 2010; 2011</t>
  </si>
  <si>
    <t>4, 2; 4, 2; 4, 2</t>
  </si>
  <si>
    <t>3; 3; 3</t>
  </si>
  <si>
    <t>2012; 2013; 2014; 2009; 2011</t>
  </si>
  <si>
    <t>2012; 2013; 2014; 2011</t>
  </si>
  <si>
    <t>TETS37</t>
  </si>
  <si>
    <t>TETS41</t>
  </si>
  <si>
    <t>Vårdlogistik</t>
  </si>
  <si>
    <t>4; 4; 4; 4</t>
  </si>
  <si>
    <t>1, 2; 1, 2; 1, 2; 1, 2</t>
  </si>
  <si>
    <t>2; 1, 2; 1, 2; 1, 2</t>
  </si>
  <si>
    <t>3; 3; 3; 3</t>
  </si>
  <si>
    <t>1, 2; 1, 2; 1, 2; 1, 2; 1, 2</t>
  </si>
  <si>
    <t>3; 3; 3; 3; 3</t>
  </si>
  <si>
    <t>2009; 2010; 2012; 2013</t>
  </si>
  <si>
    <t>1; 4; 4; 4</t>
  </si>
  <si>
    <t>1; 1; 1; 1; 1; 1</t>
  </si>
  <si>
    <t>4; 1; 1; 1; 1; 1</t>
  </si>
  <si>
    <t>2009; 2011; 2012; 2014</t>
  </si>
  <si>
    <t>2; 1; 1; 1</t>
  </si>
  <si>
    <t>2; 1; 3; 3</t>
  </si>
  <si>
    <t>2; 2; 2; 2; 2; 2</t>
  </si>
  <si>
    <t>4; 4; 4; 4; 4; 4</t>
  </si>
  <si>
    <t>2009; 2010; 2012; 2014</t>
  </si>
  <si>
    <t>1, 2; 1, 2; 1, 2; 1, 2; 1, 2; 1, 2</t>
  </si>
  <si>
    <t>3, 4; 4, 3; 4, 3; 4, 3; 4, 4; 4, 4</t>
  </si>
  <si>
    <t>1; 1; 1; 1; 1, 2; 1, 2</t>
  </si>
  <si>
    <t>2; 2; 2; 2; 2, 3; 2, 3</t>
  </si>
  <si>
    <t>4, 4; 3, 4; 4, 4</t>
  </si>
  <si>
    <t>2; 1, 2; 1, 2; 1, 2; 1, 2; 1, 2</t>
  </si>
  <si>
    <t>3; 2, 3; 2, 3; 2, 3; 2, 3; 2, 3</t>
  </si>
  <si>
    <t>3; 3; 3; 3; 3; 3</t>
  </si>
  <si>
    <t>4; 4; 4; 4; 4; 1</t>
  </si>
  <si>
    <t>1; 1; 3; 3; 3; 3</t>
  </si>
  <si>
    <t>, ; , ; , ; -, -; -, -; -, -</t>
  </si>
  <si>
    <t>-, -; -, -; -, -; -, -; -, -; -, -</t>
  </si>
  <si>
    <t>4, 1; 4, 1; 4, 1; 4, 1; 4, 1; 4, 1</t>
  </si>
  <si>
    <t>3, 2; 3, 2; 3, 2</t>
  </si>
  <si>
    <t>2009; 2010; 2011; 2012; 2014</t>
  </si>
  <si>
    <t>TEIE76</t>
  </si>
  <si>
    <t>Nationalekonomi</t>
  </si>
  <si>
    <t>TATA63</t>
  </si>
  <si>
    <t>Matematisk fördjupning</t>
  </si>
  <si>
    <t>TSDT04</t>
  </si>
  <si>
    <t>Linjära system och Matlab</t>
  </si>
  <si>
    <t>TMME18</t>
  </si>
  <si>
    <t>TAMS15</t>
  </si>
  <si>
    <t>Matematisk statistik I, grundkurs</t>
  </si>
  <si>
    <t>TPPE58</t>
  </si>
  <si>
    <t>Reglerteknik I</t>
  </si>
  <si>
    <t>TEIO09</t>
  </si>
  <si>
    <t>3, 1</t>
  </si>
  <si>
    <t>3, 4; 3, 4</t>
  </si>
  <si>
    <t>3, 4; 3, 4; 3, 4</t>
  </si>
  <si>
    <t>3; 4; 4</t>
  </si>
  <si>
    <t>3, 1; 3, 1; 3, 1</t>
  </si>
  <si>
    <t>2013; 2014; 2011; 2012</t>
  </si>
  <si>
    <t>3, 4; 3, 4; 3, 4; 3, 4; 3, 4</t>
  </si>
  <si>
    <t>1, 3; 1, 3; 1, 3; 1, 3; 1, 3</t>
  </si>
  <si>
    <t>TMEL53</t>
  </si>
  <si>
    <t>Digitalteknik M</t>
  </si>
  <si>
    <t>TATA80</t>
  </si>
  <si>
    <t>TSEA57</t>
  </si>
  <si>
    <t>TSEA56</t>
  </si>
  <si>
    <t>Elektronik kandidatprojekt</t>
  </si>
  <si>
    <t>0, 1; 0, 1; 0, 1; 0, 1; 0, 1; 0, 1</t>
  </si>
  <si>
    <t>, 2; , 2; , 2; , 2; , 2; , 2</t>
  </si>
  <si>
    <t>2, 1; 2, 1; 2, 1; 2, 1; 2, 1; 2, 1</t>
  </si>
  <si>
    <t>1, 2+4; 1, 2+4; 1, 2+4; 1, 2+4; 1, 2+4; 1, 2+4</t>
  </si>
  <si>
    <t>3, 3; 3, 3; 3, 3; 3, 4</t>
  </si>
  <si>
    <t>4; 4; 4; 3</t>
  </si>
  <si>
    <t>4, 4; 4, 4; 4, 3; 4, 4; 4, 4; 4, 4</t>
  </si>
  <si>
    <t xml:space="preserve">; ; </t>
  </si>
  <si>
    <t>1; 1; 1; 1; 2; 2</t>
  </si>
  <si>
    <t>4; 4; 3; 3; 3; 3</t>
  </si>
  <si>
    <t>2; 2; 2; 2; 2; 4</t>
  </si>
  <si>
    <t>1; 2</t>
  </si>
  <si>
    <t>a</t>
  </si>
  <si>
    <t>Block 1</t>
  </si>
  <si>
    <t>Block 2</t>
  </si>
  <si>
    <t>Block 3</t>
  </si>
  <si>
    <t>Block 4</t>
  </si>
  <si>
    <t>Period</t>
  </si>
  <si>
    <t>Antal kurser per block</t>
  </si>
  <si>
    <t>Kurser under varje termin</t>
  </si>
  <si>
    <t>Sammanställning av högskolepoäng</t>
  </si>
  <si>
    <t>1, 2; 1</t>
  </si>
  <si>
    <t>-, -; -, -; -, -</t>
  </si>
  <si>
    <t>-, -; -, -; -, -; -, -</t>
  </si>
  <si>
    <t>TMAL51</t>
  </si>
  <si>
    <t>Flygplansprojektering</t>
  </si>
  <si>
    <t>TMAL58</t>
  </si>
  <si>
    <t>Flygplanskonstruktion</t>
  </si>
  <si>
    <t>TMKT66</t>
  </si>
  <si>
    <t>Prototyputvärdering</t>
  </si>
  <si>
    <t>TMMV56</t>
  </si>
  <si>
    <t>Aerodynamik fk</t>
  </si>
  <si>
    <t>TMME50</t>
  </si>
  <si>
    <t>Flygmekanik</t>
  </si>
  <si>
    <t>TMAL02</t>
  </si>
  <si>
    <t>Flyglära</t>
  </si>
  <si>
    <t>TMMS04</t>
  </si>
  <si>
    <t>TMKT47</t>
  </si>
  <si>
    <t>Konstruktionsmetodik och analys</t>
  </si>
  <si>
    <t>TMAL06</t>
  </si>
  <si>
    <t>Aircraft Conceptual Design - Project Course</t>
  </si>
  <si>
    <t>TMAL07</t>
  </si>
  <si>
    <t>Prototype Realization - Project Course</t>
  </si>
  <si>
    <t>TMMV12</t>
  </si>
  <si>
    <t>Gasturbinteknik</t>
  </si>
  <si>
    <t>Materialmekanik - Deformationer och brott</t>
  </si>
  <si>
    <t>TMAL08</t>
  </si>
  <si>
    <t>Aircraft Systems Engineering - Project Course</t>
  </si>
  <si>
    <t>TMMV17</t>
  </si>
  <si>
    <t>Aircraft Aerodynamics - Project Course</t>
  </si>
  <si>
    <t>1; 2; 2</t>
  </si>
  <si>
    <t>4; 4; 2</t>
  </si>
  <si>
    <t>-, -; -, -; -, -; -, -; -, -; 4, 4</t>
  </si>
  <si>
    <t>TMKT44</t>
  </si>
  <si>
    <t>CAD i designprocessen</t>
  </si>
  <si>
    <t>TMHP51</t>
  </si>
  <si>
    <t>Hydrauliska servosystem</t>
  </si>
  <si>
    <t>TMMS10</t>
  </si>
  <si>
    <t>Fluida system och transmissioner</t>
  </si>
  <si>
    <t>Flygteknik; Produktutveckling</t>
  </si>
  <si>
    <t>TMKT69</t>
  </si>
  <si>
    <t>Konceptuell konstruktion - projektkurs</t>
  </si>
  <si>
    <t>4, 4; 4</t>
  </si>
  <si>
    <t>1, 3; 1, 3</t>
  </si>
  <si>
    <t>1, 3; 1, 3; 1, 3; 1, 3</t>
  </si>
  <si>
    <t>4; 4; 2; 2; 2</t>
  </si>
  <si>
    <t>1; 1; 1; 1; 1; 1, 1</t>
  </si>
  <si>
    <t>4; 4; 2; 2; 2; 2</t>
  </si>
  <si>
    <t>2; 2; 2; 2; 2; 2, 2</t>
  </si>
  <si>
    <t>1; 4; 4; 4; 3; 1, 1</t>
  </si>
  <si>
    <t>3; 3; 3; 3; 3; 3, 3</t>
  </si>
  <si>
    <t>-; -; -; -; -</t>
  </si>
  <si>
    <t>TMHL41</t>
  </si>
  <si>
    <t>Kontinuumsmekanik</t>
  </si>
  <si>
    <t>TMKM40</t>
  </si>
  <si>
    <t>KM - Nya material</t>
  </si>
  <si>
    <t>TMKM09</t>
  </si>
  <si>
    <t>Lättkonstruktion - Lätta konstruktionsmaterial</t>
  </si>
  <si>
    <t>Flygteknik; Teknisk mekanik</t>
  </si>
  <si>
    <t>TMHL55</t>
  </si>
  <si>
    <t>Materialmekanik</t>
  </si>
  <si>
    <t>TMHL17</t>
  </si>
  <si>
    <t>Materialmekanik - Provnings- och beräkningsteknik</t>
  </si>
  <si>
    <t>2; 2; 1; 1</t>
  </si>
  <si>
    <t>TMHL19</t>
  </si>
  <si>
    <t>Avancerad material- och beräkningsmekanik</t>
  </si>
  <si>
    <t>4; 4; 4; 4; 4</t>
  </si>
  <si>
    <t>2; 2; 1; 1; 1; 1</t>
  </si>
  <si>
    <t>3; 3; 1; 1; 1; 1</t>
  </si>
  <si>
    <t>2; 1; 1; 2; 2; 2</t>
  </si>
  <si>
    <t>2009; 2010; 2013; 2014</t>
  </si>
  <si>
    <t>TPPE30</t>
  </si>
  <si>
    <t>Produktionssimulering</t>
  </si>
  <si>
    <t>TMPS31</t>
  </si>
  <si>
    <t>Hållbar produktion</t>
  </si>
  <si>
    <t>TMPT03</t>
  </si>
  <si>
    <t>Produktionsteknik fk</t>
  </si>
  <si>
    <t>Industriell produktion (Maskinteknik); Industriell produktion (Industriell ekonomi)</t>
  </si>
  <si>
    <t>Produktutveckling; Industriell produktion (Maskinteknik); Industriell produktion (Industriell ekonomi)</t>
  </si>
  <si>
    <t>Energisystem och miljöteknik; Produktutveckling; Teknisk mekanik; Industriell produktion (Maskinteknik); Industriell produktion (Industriell ekonomi)</t>
  </si>
  <si>
    <t>1; 1; 1, 1</t>
  </si>
  <si>
    <t>4; 4; 4, 4</t>
  </si>
  <si>
    <t>2; 2; 2, 2</t>
  </si>
  <si>
    <t>1; 1; 1; 1, 1, 1</t>
  </si>
  <si>
    <t>2; 2; 2; 2, 2, 2</t>
  </si>
  <si>
    <t>2; 2; 2; 2; 2, 2, 2, 2</t>
  </si>
  <si>
    <t>1; 1; 1; 1; 1; 1; 1, 1, 1, 1, 1</t>
  </si>
  <si>
    <t>1; 1; 1; 1; 1, 1, 1, 1</t>
  </si>
  <si>
    <t>1; 1; 1; 1; 1; 1; 1, 1, 1, 1, 1, 1</t>
  </si>
  <si>
    <t>4; 4; 4; 4; 4; 4; 4, 4, 4, 4, 4, 4</t>
  </si>
  <si>
    <t>2; 2; 2; 2; 2; 2, 2, 2, 2, 2</t>
  </si>
  <si>
    <t>3; 3; 1; 1; 1; 3, 3, 1, 1, 1</t>
  </si>
  <si>
    <t>4; 4; 4; 4; 4; 1; 4, 4, 4, 4, 4, 1</t>
  </si>
  <si>
    <t>2; 2; 2; 2; 2; 2; 2, 2, 2, 2, 2, 2</t>
  </si>
  <si>
    <t>3; 3; 3; 3; 3; 3; 3, 3, 3, 3, 3, 3</t>
  </si>
  <si>
    <t>4; 4; 4; 4; 4, 4, 4, 4</t>
  </si>
  <si>
    <t>1, 2; 1, 2; 1, 2; 1, 2; 1, 2; 1, 2, 1, 2, 1, 2, 1, 2, 1, 2</t>
  </si>
  <si>
    <t>-, -; -, -; -, -; -, -; -, -; -, -, -, -, -, -, -, -, -, -</t>
  </si>
  <si>
    <t>1, 2; 1, 2; 1, 2; 1, 2; 1, 2; 1, 2; 1, 2, 1, 2, 1, 2, 1, 2, 1, 2, 1, 2; 1, 2, 1, 2, 1, 2, 1, 2, 1, 2, 1, 2; 1, 2, 1, 2, 1, 2, 1, 2, 1, 2, 1, 2; 1, 2, 1, 2, 1, 2, 1, 2, 1, 2, 1, 2</t>
  </si>
  <si>
    <t>-, -; -, -; -, -; -, -; -, -; -, -; -, -, -, -, -, -, -, -, -, -, -, -; -, -, -, -, -, -, -, -, -, -, -, -; -, -, -, -, -, -, -, -, -, -, -, -; -, -, -, -, -, -, -, -, -, -, -, -</t>
  </si>
  <si>
    <t>Industriell produktion (Maskinteknik); Industriell produktion (Industriell ekonomi); Logistik</t>
  </si>
  <si>
    <t>2; 2; 2; 2; 2; 2; 2, 2, 2, 2, 2, 2; 2, 2, 2, 2, 2, 2</t>
  </si>
  <si>
    <t>4; 4; 4; 4; 4; 4; 4, 4, 4, 4, 4, 4; 4, 4, 4, 4, 4, 4</t>
  </si>
  <si>
    <t>TSFS02</t>
  </si>
  <si>
    <t>Fordonsdynamik med reglering</t>
  </si>
  <si>
    <t>TSFS05</t>
  </si>
  <si>
    <t>Fordonssystem</t>
  </si>
  <si>
    <t>TSRT06</t>
  </si>
  <si>
    <t>Reglerteknik fk</t>
  </si>
  <si>
    <t>TSRT10</t>
  </si>
  <si>
    <t>Reglerteknisk projektkurs , CDIO</t>
  </si>
  <si>
    <t>TSFS03</t>
  </si>
  <si>
    <t>Fordonsframdrivningssystem</t>
  </si>
  <si>
    <t>2; 1, 2</t>
  </si>
  <si>
    <t>2; 1, 2; 1, 2</t>
  </si>
  <si>
    <t>1; 4, 1; 4, 1</t>
  </si>
  <si>
    <t>TSFS09</t>
  </si>
  <si>
    <t>Modellering och reglering av motorer och drivlinor</t>
  </si>
  <si>
    <t>4, 1</t>
  </si>
  <si>
    <t>4, 1; 4, 1; 4, 1</t>
  </si>
  <si>
    <t>1; 2; 2; 2; 2; 2</t>
  </si>
  <si>
    <t>TAOP23</t>
  </si>
  <si>
    <t>Optimeringslära</t>
  </si>
  <si>
    <t>TMKM98</t>
  </si>
  <si>
    <t>Konstruktionsmaterial fortsättningskurs</t>
  </si>
  <si>
    <t>TMME14</t>
  </si>
  <si>
    <t>Maskinelement, fk</t>
  </si>
  <si>
    <t>TAMS11</t>
  </si>
  <si>
    <t>Sannolikhetslära och statistik, grundkurs</t>
  </si>
  <si>
    <t>TGTU04</t>
  </si>
  <si>
    <t>Ledarskap</t>
  </si>
  <si>
    <t>TGTU45</t>
  </si>
  <si>
    <t>Teknikhistoria</t>
  </si>
  <si>
    <t>TEIE77</t>
  </si>
  <si>
    <t>Affärsrätt</t>
  </si>
  <si>
    <t>2010; 2011; 2012; 2013; 2014; 2009</t>
  </si>
  <si>
    <t>TDDC97</t>
  </si>
  <si>
    <t>Programmering</t>
  </si>
  <si>
    <t>1, 2; 2</t>
  </si>
  <si>
    <t>2011; 2010</t>
  </si>
  <si>
    <t>TGTU49</t>
  </si>
  <si>
    <t>TAMM01</t>
  </si>
  <si>
    <t>Statistisk analys</t>
  </si>
  <si>
    <t>TSFS04</t>
  </si>
  <si>
    <t>Elektriska drivsystem</t>
  </si>
  <si>
    <t>TSTE19</t>
  </si>
  <si>
    <t>Effektelektronik</t>
  </si>
  <si>
    <t>TMPP02</t>
  </si>
  <si>
    <t>Tävlingsfordonsprojekt</t>
  </si>
  <si>
    <t>TFMT08</t>
  </si>
  <si>
    <t>Mätteknik M</t>
  </si>
  <si>
    <t>TMKT74</t>
  </si>
  <si>
    <t>Avancerad CAD</t>
  </si>
  <si>
    <t>2; 4; 4; 4</t>
  </si>
  <si>
    <t>TMKT59</t>
  </si>
  <si>
    <t>Datorn som designverktyg</t>
  </si>
  <si>
    <t>TMKM13</t>
  </si>
  <si>
    <t>Experimentell materialteknik</t>
  </si>
  <si>
    <t>1; 1; 1; 2; 2</t>
  </si>
  <si>
    <t>TAOP88</t>
  </si>
  <si>
    <t>Optimering för ingenjörer</t>
  </si>
  <si>
    <t>TMMI68</t>
  </si>
  <si>
    <t>Cad och ritteknik fk</t>
  </si>
  <si>
    <t>TATA71</t>
  </si>
  <si>
    <t>Ordinära differentialekvationer och dynamiska system</t>
  </si>
  <si>
    <t>TSIU02</t>
  </si>
  <si>
    <t>TSIU51</t>
  </si>
  <si>
    <t>Mikrodatorprojekt</t>
  </si>
  <si>
    <t>TPPE08</t>
  </si>
  <si>
    <t>TSFS11</t>
  </si>
  <si>
    <t>Energitekniska system</t>
  </si>
  <si>
    <t>TMKT79</t>
  </si>
  <si>
    <t>Kollaborativ multidisciplinär designoptimering</t>
  </si>
  <si>
    <t>2010; 2011; 2013; 2014</t>
  </si>
  <si>
    <t>2012; 2014</t>
  </si>
  <si>
    <t>2; 4; 4; 4; 4; 4</t>
  </si>
  <si>
    <t>1; 1; 1; 2; 2; 2</t>
  </si>
  <si>
    <t>4; 4; 4; 2; 2; 2</t>
  </si>
  <si>
    <t>2, 4</t>
  </si>
  <si>
    <t>3, -</t>
  </si>
  <si>
    <t>2; 3; 3; 3</t>
  </si>
  <si>
    <t>TATA19</t>
  </si>
  <si>
    <t>Linjär algebra med geometri</t>
  </si>
  <si>
    <t>TDDC59</t>
  </si>
  <si>
    <t>Programmering med tekniska tillämpningar</t>
  </si>
  <si>
    <t>TMKT18</t>
  </si>
  <si>
    <t>Maskinkonstruktion</t>
  </si>
  <si>
    <t>TMMV04</t>
  </si>
  <si>
    <t>Termodynamik</t>
  </si>
  <si>
    <t>TMME07</t>
  </si>
  <si>
    <t>Mekanik - statik</t>
  </si>
  <si>
    <t>TMPT33</t>
  </si>
  <si>
    <t>Produktionssystemets teknik</t>
  </si>
  <si>
    <t>TMME08</t>
  </si>
  <si>
    <t>Mekanik - partikeldynamik</t>
  </si>
  <si>
    <t>TEAE01</t>
  </si>
  <si>
    <t>Industriell ekonomi, grundkurs</t>
  </si>
  <si>
    <t>TMME09</t>
  </si>
  <si>
    <t>Mekanik - stelkroppsdynamik</t>
  </si>
  <si>
    <t>TMKT36</t>
  </si>
  <si>
    <t>CAD</t>
  </si>
  <si>
    <t>TFYA02</t>
  </si>
  <si>
    <t>Elektromagnetism och experimentell problemlösning</t>
  </si>
  <si>
    <t>TATA28</t>
  </si>
  <si>
    <t>TFYA06</t>
  </si>
  <si>
    <t>Vågfysik och modern fysik</t>
  </si>
  <si>
    <t>TMHL02</t>
  </si>
  <si>
    <t>Hållfasthetslära - Enkla bärverk</t>
  </si>
  <si>
    <t>TMHL09</t>
  </si>
  <si>
    <t>Hållfasthetslära - Dimensioneringsmetoder</t>
  </si>
  <si>
    <t>TMMV25</t>
  </si>
  <si>
    <t>Mekanisk värmeteori och strömningslära gk</t>
  </si>
  <si>
    <t>TATA23</t>
  </si>
  <si>
    <t>TMEL08</t>
  </si>
  <si>
    <t>Eltekniska system</t>
  </si>
  <si>
    <t>TMKM04</t>
  </si>
  <si>
    <t>Konstruktionsmaterial, grk</t>
  </si>
  <si>
    <t>NMAC26</t>
  </si>
  <si>
    <t>Ordinära differentialekvationer</t>
  </si>
  <si>
    <t>TMKT39</t>
  </si>
  <si>
    <t>Maskinelement</t>
  </si>
  <si>
    <t>TSRT15</t>
  </si>
  <si>
    <t>Reglerteknik M</t>
  </si>
  <si>
    <t>TMHP02</t>
  </si>
  <si>
    <t>Fluidmekanisk systemteknik</t>
  </si>
  <si>
    <t>TMHL08</t>
  </si>
  <si>
    <t>Hållfasthetslära; Finita Elementmetoden</t>
  </si>
  <si>
    <t>TSIU50</t>
  </si>
  <si>
    <t>TMEL03</t>
  </si>
  <si>
    <t>TMIA11</t>
  </si>
  <si>
    <t>Arbetsvetenskaplig grundkurs</t>
  </si>
  <si>
    <t>3, 4</t>
  </si>
  <si>
    <t>TATA67</t>
  </si>
  <si>
    <t>TDDD44</t>
  </si>
  <si>
    <t>Problemlösning och programmering</t>
  </si>
  <si>
    <t>TKMJ33</t>
  </si>
  <si>
    <t>Introduktion till produktutveckling</t>
  </si>
  <si>
    <t>TMKT94</t>
  </si>
  <si>
    <t>Ingenjören och CAD-verktyget</t>
  </si>
  <si>
    <t>TATA69</t>
  </si>
  <si>
    <t>TMKT95</t>
  </si>
  <si>
    <t>TMHL63</t>
  </si>
  <si>
    <t>Introduktion till beräkningsmekanik</t>
  </si>
  <si>
    <t>2, 3</t>
  </si>
  <si>
    <t>2, 2; 2</t>
  </si>
  <si>
    <t>TEAE04</t>
  </si>
  <si>
    <t>Industriell ekonomi och organisation</t>
  </si>
  <si>
    <t>TMME63</t>
  </si>
  <si>
    <t>TFYA58</t>
  </si>
  <si>
    <t>TMME26</t>
  </si>
  <si>
    <t>TMHL64</t>
  </si>
  <si>
    <t>Hållfasthetslära</t>
  </si>
  <si>
    <t>2, 3; 2, 3</t>
  </si>
  <si>
    <t>1, 4; 1, 4; 1, 4</t>
  </si>
  <si>
    <t>4, 3; 4, 3; 4, 3</t>
  </si>
  <si>
    <t>TANA14</t>
  </si>
  <si>
    <t>Beräkningsvetenskap</t>
  </si>
  <si>
    <t>TMKM12</t>
  </si>
  <si>
    <t>TMMV11</t>
  </si>
  <si>
    <t>Strömningslära och värmeöverföring</t>
  </si>
  <si>
    <t>1; 1; 2; 2</t>
  </si>
  <si>
    <t>3, 1; 3, 1; 3, 1; 3, 1</t>
  </si>
  <si>
    <t>4, 3; 4, 3; 4, 3; 4, 3</t>
  </si>
  <si>
    <t>TANA17</t>
  </si>
  <si>
    <t>Matematiska beräkningar med MATLAB</t>
  </si>
  <si>
    <t>TFYA72</t>
  </si>
  <si>
    <t>TMHL22</t>
  </si>
  <si>
    <t>TMME28</t>
  </si>
  <si>
    <t>Mekanik - dynamik</t>
  </si>
  <si>
    <t>TGTU54</t>
  </si>
  <si>
    <t>Kommunikation och presentation</t>
  </si>
  <si>
    <t>TMMT06</t>
  </si>
  <si>
    <t>Maskinteknik - projektkurs</t>
  </si>
  <si>
    <t>1, 1; 1, 1; 1</t>
  </si>
  <si>
    <t>1, 2; 1, 2; 2</t>
  </si>
  <si>
    <t>2, 3; 2, 3; 3</t>
  </si>
  <si>
    <t>1; 1; 1; 1; 2</t>
  </si>
  <si>
    <t>1; 1; 1; 4; 4</t>
  </si>
  <si>
    <t>1; 1; 1; 1, 2</t>
  </si>
  <si>
    <t>3; 3; 3; 3, -</t>
  </si>
  <si>
    <t>TMKT89</t>
  </si>
  <si>
    <t>Konstruktionsmetodik och produktutveckling</t>
  </si>
  <si>
    <t>TMHL24</t>
  </si>
  <si>
    <t>TMKM14</t>
  </si>
  <si>
    <t>Industriella materialval</t>
  </si>
  <si>
    <t>, 3; , 3; , 3; , 3; , 3; , 3</t>
  </si>
  <si>
    <t>2009; 2012; 2013; 2014</t>
  </si>
  <si>
    <t>, ; , ; -, -; -, -; -, -; -, -</t>
  </si>
  <si>
    <t>1, 2; 1; 1; 1; 1</t>
  </si>
  <si>
    <t>4, 1; 4; 4; 4; 4</t>
  </si>
  <si>
    <t>3; 3; 2; 2</t>
  </si>
  <si>
    <t>2009; 2010; 2011; 2014</t>
  </si>
  <si>
    <t>2; 2; 2; 1, 2</t>
  </si>
  <si>
    <t xml:space="preserve"> Valbar;  Obligatorisk</t>
  </si>
  <si>
    <t>-; -, -</t>
  </si>
  <si>
    <t>TKMJ34</t>
  </si>
  <si>
    <t>Produktutvecklingsmetodik</t>
  </si>
  <si>
    <t>TDDD51</t>
  </si>
  <si>
    <t>Tjänstedesign och tjänsteinnovation</t>
  </si>
  <si>
    <t>TMKT72</t>
  </si>
  <si>
    <t>Avancerad brukarcentrerad design</t>
  </si>
  <si>
    <t>TMPP01</t>
  </si>
  <si>
    <t>Projektkurs avancerad- design och produktutveckling</t>
  </si>
  <si>
    <t>TKMJ46</t>
  </si>
  <si>
    <t>Avancerad miljödriven produktutveckling</t>
  </si>
  <si>
    <t>TMKT96</t>
  </si>
  <si>
    <t>Produktvisualisering</t>
  </si>
  <si>
    <t>TDDD54</t>
  </si>
  <si>
    <t>Designforskningsmetodik</t>
  </si>
  <si>
    <t>TDDD61</t>
  </si>
  <si>
    <t>Design - strategi och management</t>
  </si>
  <si>
    <t>Produktutveckling och teknisk design; Konstruktion</t>
  </si>
  <si>
    <t>1, 2; 1, 2; 1, 2; 1, 2; 1, 2, 1, 2, 1, 2, 1, 2</t>
  </si>
  <si>
    <t>1, 1; 2, 3; 2, 3; 2, 3; 1, 1, 2, 3, 2, 3, 2, 3</t>
  </si>
  <si>
    <t>-, -; -, -; -, -; -, -; -, -, -, -, -, -, -, -</t>
  </si>
  <si>
    <t>, ; -, -; -, -; -, -</t>
  </si>
  <si>
    <t>TDDD45</t>
  </si>
  <si>
    <t>Interaktionsdesign</t>
  </si>
  <si>
    <t>TEIO19</t>
  </si>
  <si>
    <t>Industriell organisation</t>
  </si>
  <si>
    <t>2011; 2012; 2013; 2014; 2010</t>
  </si>
  <si>
    <t>TDDD53</t>
  </si>
  <si>
    <t>Avancerad interaktionsdesign</t>
  </si>
  <si>
    <t>TNGD11</t>
  </si>
  <si>
    <t>Informationsdesign</t>
  </si>
  <si>
    <t>2014; 2012; 2013</t>
  </si>
  <si>
    <t>1; 1; 2; 2; 2</t>
  </si>
  <si>
    <t>2; 2; 2; 2; 4</t>
  </si>
  <si>
    <t>4; 4; 4; 1</t>
  </si>
  <si>
    <t>4, 4; 4, 4; 2, 2; 2, 2</t>
  </si>
  <si>
    <t>TKMJ45</t>
  </si>
  <si>
    <t>Introduktion till produktutveckling (CDIO)</t>
  </si>
  <si>
    <t>TMKT46</t>
  </si>
  <si>
    <t>Produktgestaltning, CDIO</t>
  </si>
  <si>
    <t>TDDD32</t>
  </si>
  <si>
    <t>Användardriven produktutveckling</t>
  </si>
  <si>
    <t>TMME13</t>
  </si>
  <si>
    <t>Mekanik - Dynamik</t>
  </si>
  <si>
    <t>TMHL14</t>
  </si>
  <si>
    <t>TMKT58</t>
  </si>
  <si>
    <t>Formgivning och formseende</t>
  </si>
  <si>
    <t>TEIO17</t>
  </si>
  <si>
    <t>Produktergonomi</t>
  </si>
  <si>
    <t>TMKM11</t>
  </si>
  <si>
    <t>Material för design</t>
  </si>
  <si>
    <t>TEIO12</t>
  </si>
  <si>
    <t>Industriell projektledning</t>
  </si>
  <si>
    <t>TMKT67</t>
  </si>
  <si>
    <t>Integrerad produktutveckling - teorikurs</t>
  </si>
  <si>
    <t>TMKT68</t>
  </si>
  <si>
    <t>Integrerad produktutveckling - projektkurs</t>
  </si>
  <si>
    <t>TMKT97</t>
  </si>
  <si>
    <t>TEIO23</t>
  </si>
  <si>
    <t>1, 1; 3, 3; 4, 3</t>
  </si>
  <si>
    <t>TMKT98</t>
  </si>
  <si>
    <t>Introduktion till design och produktutveckling</t>
  </si>
  <si>
    <t>TMPT06</t>
  </si>
  <si>
    <t>Produktionsteknik för design och produktutveckling</t>
  </si>
  <si>
    <t>TMKT99</t>
  </si>
  <si>
    <t>2010; 2012; 2013</t>
  </si>
  <si>
    <t>1+2, 2+3; 1+2, 2+3; 1+2, 2+3</t>
  </si>
  <si>
    <t>2; 2; 4; 4; 2; 2</t>
  </si>
  <si>
    <t>1; 1; 2; 2; 2; 3</t>
  </si>
  <si>
    <t>3, 3; 1, 1; 3, 2; 3, 2; 3, 2; 3, 2</t>
  </si>
  <si>
    <t>Hur funkar det?</t>
  </si>
  <si>
    <r>
      <t xml:space="preserve">Fördelning av kurser och poäng över terminerna. 
Datakälla för alla diagram är </t>
    </r>
    <r>
      <rPr>
        <i/>
        <sz val="12"/>
        <color theme="1" tint="0.24994659260841701"/>
        <rFont val="Bookman Old Style"/>
        <family val="1"/>
        <scheme val="major"/>
      </rPr>
      <t xml:space="preserve">Ditt informationsblad. </t>
    </r>
    <r>
      <rPr>
        <sz val="12"/>
        <color theme="1" tint="0.24994659260841701"/>
        <rFont val="Bookman Old Style"/>
        <family val="1"/>
        <scheme val="major"/>
      </rPr>
      <t>Gör ändringar där om något inte stämmer för din studieplan.</t>
    </r>
  </si>
  <si>
    <r>
      <t xml:space="preserve">Kommentarsfältet uppmärksammar dig på om några kurser ligger i samma block och om du inte uppfyller CSNs krav på heltidsstudier. 
Det är dock möjligt att kurser byter block eller att du väljer att läsa dem en annan termin, så kontrollera att informationen i </t>
    </r>
    <r>
      <rPr>
        <i/>
        <sz val="12"/>
        <color theme="1" tint="0.24994659260841701"/>
        <rFont val="Bookman Old Style"/>
        <family val="1"/>
        <scheme val="major"/>
      </rPr>
      <t>Ditt informationsblad</t>
    </r>
    <r>
      <rPr>
        <sz val="12"/>
        <color theme="1" tint="0.24994659260841701"/>
        <rFont val="Bookman Old Style"/>
        <family val="1"/>
        <scheme val="major"/>
      </rPr>
      <t xml:space="preserve"> verkligen stämmer.</t>
    </r>
  </si>
  <si>
    <t>TBME03</t>
  </si>
  <si>
    <t>Biokemi och cellbiologi</t>
  </si>
  <si>
    <t>TBME08</t>
  </si>
  <si>
    <t>Biomedicinsk modellering och simulering</t>
  </si>
  <si>
    <t>TBMT14</t>
  </si>
  <si>
    <t>Projektkurs i medicinsk teknik, CDIO</t>
  </si>
  <si>
    <t>TBMT36</t>
  </si>
  <si>
    <t>Biomedicinsk optik</t>
  </si>
  <si>
    <t>3; 1; 1; 1; 1; 1</t>
  </si>
  <si>
    <t>TATA55</t>
  </si>
  <si>
    <t>Abstrakt algebra</t>
  </si>
  <si>
    <t>TFYA40</t>
  </si>
  <si>
    <t>Analytisk mekanik</t>
  </si>
  <si>
    <t>TATM85</t>
  </si>
  <si>
    <t>Funktionalanalys</t>
  </si>
  <si>
    <t>TATA27</t>
  </si>
  <si>
    <t>Partiella differentialekvationer</t>
  </si>
  <si>
    <t>TAOP24</t>
  </si>
  <si>
    <t>Optimeringslära fortsättningskurs</t>
  </si>
  <si>
    <t>TATA62</t>
  </si>
  <si>
    <t>Projektkurs i tillämpad matematik, CDIO</t>
  </si>
  <si>
    <t>o/v</t>
  </si>
  <si>
    <t>TFYA57</t>
  </si>
  <si>
    <t>Relativistisk kvantmekanik</t>
  </si>
  <si>
    <t>TFYY57</t>
  </si>
  <si>
    <t>Relativitetsteori</t>
  </si>
  <si>
    <t>TANA15</t>
  </si>
  <si>
    <t>Numerisk linjär algebra</t>
  </si>
  <si>
    <t>TATA66</t>
  </si>
  <si>
    <t>Fourier- och waveletanalys</t>
  </si>
  <si>
    <t>TFYA18</t>
  </si>
  <si>
    <t>Fysikens matematiska metoder</t>
  </si>
  <si>
    <t>TATA75</t>
  </si>
  <si>
    <t>2009; 2010; 2011; 2013</t>
  </si>
  <si>
    <t>2009; 2013</t>
  </si>
  <si>
    <t>2009; 2010; 2012; 2013; 2014</t>
  </si>
  <si>
    <t>3; 3; 4; 4; 4; 4</t>
  </si>
  <si>
    <t>1, 2; 1, 2; 2; 2</t>
  </si>
  <si>
    <t>2, 3; 2, 3; 3; 3</t>
  </si>
  <si>
    <t>1, 1; 4, 2</t>
  </si>
  <si>
    <t>TDDC78</t>
  </si>
  <si>
    <t>Programmering av parallelldatorer - metoder och verktyg</t>
  </si>
  <si>
    <t>TDTS06</t>
  </si>
  <si>
    <t>Datornät</t>
  </si>
  <si>
    <t>1; 1; 1; 1; 1; 1; 1, 1, 1</t>
  </si>
  <si>
    <t>3; 3; 3; 3; 3; 3; 3, 3, 3</t>
  </si>
  <si>
    <t>1, 2; 1, 2; 1, 2; 1, 2; 1, 2; 1, 2; 1, 2, 1, 2, 1, 2, 1, 2, 1, 2, 1, 2</t>
  </si>
  <si>
    <t>4, 4; 4, 4; 4, 4; 4, 4; 4, 4; 4, 4; 4, 4, 4, 4, 4, 4, 4, 4, 4, 4, 4, 4</t>
  </si>
  <si>
    <t>TSTE12</t>
  </si>
  <si>
    <t>Konstruktion av digitala system</t>
  </si>
  <si>
    <t>TDTS08</t>
  </si>
  <si>
    <t>TDDB44</t>
  </si>
  <si>
    <t>Kompilatorkonstruktion</t>
  </si>
  <si>
    <t>TDDD07</t>
  </si>
  <si>
    <t>Realtidssystem</t>
  </si>
  <si>
    <t>TFYA39</t>
  </si>
  <si>
    <t>Halvledarteknik</t>
  </si>
  <si>
    <t>TSEK02</t>
  </si>
  <si>
    <t>Radioelektronik</t>
  </si>
  <si>
    <t>TSEK36</t>
  </si>
  <si>
    <t>Avancerad VLSI-konstruktion</t>
  </si>
  <si>
    <t>TDTS07</t>
  </si>
  <si>
    <t>Systemkonstruktion och metodik</t>
  </si>
  <si>
    <t>TDTS01</t>
  </si>
  <si>
    <t>Datorstödd elektronikkonstruktion</t>
  </si>
  <si>
    <t>TSEK03</t>
  </si>
  <si>
    <t>Integrerade radiofrekvenskretsar</t>
  </si>
  <si>
    <t>TSTE14</t>
  </si>
  <si>
    <t>Analoga filter</t>
  </si>
  <si>
    <t>TSEK06</t>
  </si>
  <si>
    <t>VLSI-konstruktion, CDIO</t>
  </si>
  <si>
    <t>TEIE44</t>
  </si>
  <si>
    <t>Intellectual property rights</t>
  </si>
  <si>
    <t>TSTE87</t>
  </si>
  <si>
    <t>Applikationsspecifika integrerade kretsar</t>
  </si>
  <si>
    <t>TDDC33</t>
  </si>
  <si>
    <t>Design av digitala testbara system</t>
  </si>
  <si>
    <t>TSEA26</t>
  </si>
  <si>
    <t>Konstruktion av inbyggda DSP-processorer</t>
  </si>
  <si>
    <t>TSEK11</t>
  </si>
  <si>
    <t>Utvärdering av IC-krets</t>
  </si>
  <si>
    <t>TSTE16</t>
  </si>
  <si>
    <t>Blandade analoga och digitala signalbehandlade system, projektkurs CDIO</t>
  </si>
  <si>
    <t>TSEA44</t>
  </si>
  <si>
    <t>Datorteknik - ett datorsystem på ett chip</t>
  </si>
  <si>
    <t>TSTE09</t>
  </si>
  <si>
    <t>Asynkrona kretsar och system</t>
  </si>
  <si>
    <t>TSTE85</t>
  </si>
  <si>
    <t>Lågeffektselektronik</t>
  </si>
  <si>
    <t>TSEK37</t>
  </si>
  <si>
    <t>Analoga CMOS integrerade kretsar</t>
  </si>
  <si>
    <t>TSTE18</t>
  </si>
  <si>
    <t>Digital aritmetik</t>
  </si>
  <si>
    <t>1; 1; 2</t>
  </si>
  <si>
    <t>TSBB13</t>
  </si>
  <si>
    <t>Datorseende system</t>
  </si>
  <si>
    <t>TSBB11</t>
  </si>
  <si>
    <t>Bilder och grafik, projektkurs, CDIO</t>
  </si>
  <si>
    <t>TNM086</t>
  </si>
  <si>
    <t>VR-teknik</t>
  </si>
  <si>
    <t>TSBK03</t>
  </si>
  <si>
    <t>Teknik för avancerade datorspel</t>
  </si>
  <si>
    <t>TNM067</t>
  </si>
  <si>
    <t>Vetenskaplig visualisering</t>
  </si>
  <si>
    <t>Medicinsk teknik; System-on-chip</t>
  </si>
  <si>
    <t>3; 2</t>
  </si>
  <si>
    <t>2; 2; 2; 2; 2; 2; 2, 2, 2</t>
  </si>
  <si>
    <t>TSBB15</t>
  </si>
  <si>
    <t>Datorseende</t>
  </si>
  <si>
    <t>TDDD56</t>
  </si>
  <si>
    <t>Multicore- och GPU-Programmering</t>
  </si>
  <si>
    <t>2; 1, 2; 1, 2; 1, 2; 1, 2</t>
  </si>
  <si>
    <t>3; 2, 3; 2, 3; 2, 3; 2, 3</t>
  </si>
  <si>
    <t>1; 1; 1; 1; 1; 1; 1, 1, 1, 1, 1, 1; 1, 1, 1, 1, 1, 1</t>
  </si>
  <si>
    <t>2; 2; 2; 2; 1; 1</t>
  </si>
  <si>
    <t>2; 2; 2; 2; 3; 3</t>
  </si>
  <si>
    <t>1; 3; 3; 3; 2; 2</t>
  </si>
  <si>
    <t>TMME55</t>
  </si>
  <si>
    <t>Flygmekanik Y</t>
  </si>
  <si>
    <t>Styr- och informationssystem; Mekatronik</t>
  </si>
  <si>
    <t>Styr- och informationssystem; System-on-chip; Mekatronik</t>
  </si>
  <si>
    <t>Teknisk matematik; Styr- och informationssystem; Mekatronik</t>
  </si>
  <si>
    <t>1, 2; 2; 1, 2, 2</t>
  </si>
  <si>
    <t>4, 4; 4; 4, 4, 4</t>
  </si>
  <si>
    <t>2; 1, 2; 1, 2; 2, 1, 2, 1, 2</t>
  </si>
  <si>
    <t>1; 4, 1; 4, 1; 1, 4, 1, 4, 1</t>
  </si>
  <si>
    <t>2009; 2010; 2012</t>
  </si>
  <si>
    <t>2; 2; 2; 2; 2, 2; 2, 2, 2, 2</t>
  </si>
  <si>
    <t>4; 4; 4; 4; 4, 4; 4, 4, 4, 4</t>
  </si>
  <si>
    <t>1, 2; 1, 2; 1, 2; 1, 2, 1, 2, 1, 2</t>
  </si>
  <si>
    <t>4, 1; 4, 1; 4, 1; 4, 1, 4, 1, 4, 1</t>
  </si>
  <si>
    <t>3; 3; 3; 3; 3; 3; 3, 3, 3, 3, 3, 3; 3, 3, 3, 3, 3, 3</t>
  </si>
  <si>
    <t>2; 2; 2; 2; 2; 2; 2, 2, 2; 2, 2, 2, 2, 2, 2</t>
  </si>
  <si>
    <t>1, 2; 1, 2; 1, 2; 1, 2; 1, 2; 1, 2; 1, 2, 1, 2, 1, 2, 1, 2, 1, 2, 1, 2; 1, 2, 1, 2, 1, 2, 1, 2, 1, 2, 1, 2</t>
  </si>
  <si>
    <t>4, 4; 4, 4; 4, 4; 4, 4; 4, 4; 4, 4; 4, 4, 4, 4, 4, 4, 4, 4, 4, 4, 4, 4; 4, 4, 4, 4, 4, 4, 4, 4, 4, 4, 4, 4</t>
  </si>
  <si>
    <t>TSIN02</t>
  </si>
  <si>
    <t>Internetteknik</t>
  </si>
  <si>
    <t>Medicinsk teknik; Styr- och informationssystem; System-on-chip; Kommunikation</t>
  </si>
  <si>
    <t>System-on-chip; Kommunikation</t>
  </si>
  <si>
    <t>Styr- och informationssystem; System-on-chip; Mekatronik; Kommunikation</t>
  </si>
  <si>
    <t>3, 2</t>
  </si>
  <si>
    <t>TSKS05</t>
  </si>
  <si>
    <t>Kommunikationssystem CDIO</t>
  </si>
  <si>
    <t>2009; 2011; 2012; 2013; 2014; 2010</t>
  </si>
  <si>
    <t>3, 2; 3, 2; 3, 2; 3, 2; 3, 2</t>
  </si>
  <si>
    <t>1; 1; 1; 1; 1; 1; 1, 1, 1, 1, 1, 1; 1, 1, 1, 1, 1, 1; 1, 1, 1, 1, 1, 1</t>
  </si>
  <si>
    <t>Styr- och informationssystem; Kommunikation</t>
  </si>
  <si>
    <t>2; 2; 2; 2; 2; 2; 2, 2, 2, 2, 2, 2; 2, 2, 2, 2, 2, 2; 2, 2, 2, 2, 2, 2</t>
  </si>
  <si>
    <t>3, 2; 3, 2; 3, 2; 3, 2; 3, 2; 3, 2</t>
  </si>
  <si>
    <t>System-on-chip; Elektronik</t>
  </si>
  <si>
    <t>System-on-chip; Kommunikation; Elektronik</t>
  </si>
  <si>
    <t>TSEK04</t>
  </si>
  <si>
    <t>Konstruktion av radiotranceivers</t>
  </si>
  <si>
    <t>TSTE93</t>
  </si>
  <si>
    <t>TSEK38</t>
  </si>
  <si>
    <t>2; 2; 2; 2; 2; 2, 2, 2</t>
  </si>
  <si>
    <t>2; 3; 3</t>
  </si>
  <si>
    <t>4, 4; 4, 4; 4, 4; 4, 4; 4, 4; 4, 4, 4, 4, 4, 4, 4, 4, 4, 4</t>
  </si>
  <si>
    <t>1; 1; 1; 1; 1; 1, 1, 1, 1, 1</t>
  </si>
  <si>
    <t>1, 2; 1, 2; 1, 2; 1, 2; 1, 2; 1, 2; 1, 2, 1, 2, 1, 2, 1, 2, 1, 2; 1, 2, 1, 2, 1, 2, 1, 2, 1, 2, 1, 2</t>
  </si>
  <si>
    <t>4, 4; 4, 4; 4, 4; 4, 4; 4, 4; 4, 4; 4, 4, 4, 4, 4, 4, 4, 4, 4, 4; 4, 4, 4, 4, 4, 4, 4, 4, 4, 4, 4, 4</t>
  </si>
  <si>
    <t>1; 1; 3; 3; 3; 3; 1, 1, 3, 3, 3, 3</t>
  </si>
  <si>
    <t>1; 1; 2; 2; 2; 2; 1, 1, 2, 2, 2, 2</t>
  </si>
  <si>
    <t>1; 1; 1; 1, 2; 1, 1, 1, 1, 2</t>
  </si>
  <si>
    <t>3; 3; 3; 3, 3; 3, 3, 3, 3, 3</t>
  </si>
  <si>
    <t>3; 3; 3; 2; 2; 2; 3, 3, 3, 2, 2, 2</t>
  </si>
  <si>
    <t>1, 2; 1, 2; 1, 2; 1, 2; 1, 2; 1, 2; 1, 2, 1, 2; 1, 2, 1, 2, 1, 2, 1, 2, 1, 2, 1, 2</t>
  </si>
  <si>
    <t>4, 4; 4, 4; 4, 4; 4, 4; 4, 4; 4, 4; 4, 4, 4, 4; 4, 4, 4, 4, 4, 4, 4, 4, 4, 4, 4, 4</t>
  </si>
  <si>
    <t>TFFM08</t>
  </si>
  <si>
    <t>Experimentell fysik</t>
  </si>
  <si>
    <t>TFFY54</t>
  </si>
  <si>
    <t>Kvantmekanik</t>
  </si>
  <si>
    <t>TFYA43</t>
  </si>
  <si>
    <t>Nanoteknologi</t>
  </si>
  <si>
    <t>TFFY70</t>
  </si>
  <si>
    <t>Materiefysik 1</t>
  </si>
  <si>
    <t>TFYA03</t>
  </si>
  <si>
    <t>Tillämpad optik</t>
  </si>
  <si>
    <t>TFYA20</t>
  </si>
  <si>
    <t>Ytfysik</t>
  </si>
  <si>
    <t>TFFM40</t>
  </si>
  <si>
    <t>Materialtekniska analysmetoder</t>
  </si>
  <si>
    <t>TFYA21</t>
  </si>
  <si>
    <t>Materialvetenskap</t>
  </si>
  <si>
    <t>TFYA25</t>
  </si>
  <si>
    <t>Materiefysik 2</t>
  </si>
  <si>
    <t>TFYA38</t>
  </si>
  <si>
    <t>Optoelektronik</t>
  </si>
  <si>
    <t>TFYA41</t>
  </si>
  <si>
    <t>Tunnfilmsfysik</t>
  </si>
  <si>
    <t>TFYA50</t>
  </si>
  <si>
    <t>Projektkurs i fysik, beräkningsfysik, CDIO</t>
  </si>
  <si>
    <t>TFYA51</t>
  </si>
  <si>
    <t>Projektkurs i fysik, design, tillverkning och test av sensor-chip, CDIO</t>
  </si>
  <si>
    <t>TFYY47</t>
  </si>
  <si>
    <t>Halvledarfysik</t>
  </si>
  <si>
    <t>TFYY54</t>
  </si>
  <si>
    <t>Nanofysik</t>
  </si>
  <si>
    <t>System-on-chip; Material- och nanofysik</t>
  </si>
  <si>
    <t>TFYA04</t>
  </si>
  <si>
    <t>Materialoptik</t>
  </si>
  <si>
    <t>TFMT18</t>
  </si>
  <si>
    <t>Moderna sensorsystem</t>
  </si>
  <si>
    <t>TFYA17</t>
  </si>
  <si>
    <t>Projektlaborationer i fysik</t>
  </si>
  <si>
    <t>-, -; -, -</t>
  </si>
  <si>
    <t>TFYA28</t>
  </si>
  <si>
    <t>Kvantdynamik</t>
  </si>
  <si>
    <t>TFYY67</t>
  </si>
  <si>
    <t>Elektromagnetisk fältteori och vågutbredning</t>
  </si>
  <si>
    <t>TFYA19</t>
  </si>
  <si>
    <t>Kvantdatorer</t>
  </si>
  <si>
    <t>TFYA36</t>
  </si>
  <si>
    <t>Kaos och icke-linjära fenomen</t>
  </si>
  <si>
    <t>TNM079</t>
  </si>
  <si>
    <t>Modellering och animering</t>
  </si>
  <si>
    <t>Material- och nanofysik; Teori, modellering och visualisering</t>
  </si>
  <si>
    <t>Teknisk matematik; Material- och nanofysik; Teori, modellering och visualisering</t>
  </si>
  <si>
    <t>System-on-chip; Teori, modellering och visualisering</t>
  </si>
  <si>
    <t>TFYA27</t>
  </si>
  <si>
    <t>Elementarpartikelfysik</t>
  </si>
  <si>
    <t>TATA46</t>
  </si>
  <si>
    <t>Kosmologi</t>
  </si>
  <si>
    <t>2; 2; 2; 2; 1; 1; 2, 2, 2</t>
  </si>
  <si>
    <t>2; 2; 2; 2; 3; 3; 2, 2, 2</t>
  </si>
  <si>
    <t>Teknisk matematik; Teori, modellering och visualisering</t>
  </si>
  <si>
    <t>TFYA71</t>
  </si>
  <si>
    <t>2, 1; 2, 3; 2, 3; 2, 4; 2, 4</t>
  </si>
  <si>
    <t>3; 3; 4; 4; 4; 4; 3, 3, 4, 4, 4, 4; 3, 3, 4, 4, 4, 4</t>
  </si>
  <si>
    <t>4; 4; 3; 3; 3; 3; 4, 4, 3, 3, 3, 3</t>
  </si>
  <si>
    <t>2009; 2012; 2014</t>
  </si>
  <si>
    <t>3; 1, 2; 1, 2</t>
  </si>
  <si>
    <t>4, 1; 4, 1; 4, 1; 4, 1; 4, 1; 4, 1; 4, 1, 4, 1, 4, 1, 4, 1, 4, 1, 4, 1</t>
  </si>
  <si>
    <t>-, -; -, -; -, -; -, -, -, -, -, -</t>
  </si>
  <si>
    <t>TAOP38</t>
  </si>
  <si>
    <t>Introduktionskurs i finansiell matematik</t>
  </si>
  <si>
    <t>Teknisk matematik; System-on-chip; Finansiell matematik</t>
  </si>
  <si>
    <t>Teknisk matematik; Finansiell matematik</t>
  </si>
  <si>
    <t>Teknisk matematik; Styr- och informationssystem; Finansiell matematik</t>
  </si>
  <si>
    <t>2; 2; 1</t>
  </si>
  <si>
    <t>1; 1; 1; 1; 1; 1; 1; 1, 1, 1, 1, 1, 1</t>
  </si>
  <si>
    <t>4; 1; 1; 1; 1; 1; 4; 4, 1, 1, 1, 1, 1</t>
  </si>
  <si>
    <t>2; 1; 1; 1; 2, 1, 1, 1</t>
  </si>
  <si>
    <t>2; 1; 3; 3; 2, 1, 3, 3</t>
  </si>
  <si>
    <t>2; 2; 2; 1, 2; 1, 2; 1, 2; 2, 2, 2, 1, 2, 1, 2, 1, 2</t>
  </si>
  <si>
    <t>1; 1; 1; 2, 1; 2, 1; 2, 1; 1, 1, 1, 2, 1, 2, 1, 2, 1</t>
  </si>
  <si>
    <t>2; 2; 1; 1; 1</t>
  </si>
  <si>
    <t>1; 2; 2; 2; 2; 2; 1, 2, 2, 2, 2, 2</t>
  </si>
  <si>
    <t>2; 2; 4; 4; 3; 3; 4, 3, 3</t>
  </si>
  <si>
    <t>6Vt1</t>
  </si>
  <si>
    <t>TGTU55</t>
  </si>
  <si>
    <t>Forskning vid LiTH</t>
  </si>
  <si>
    <t>f</t>
  </si>
  <si>
    <t>TAMS22</t>
  </si>
  <si>
    <t>Sannolikhetsteori och bayesianska nätverk</t>
  </si>
  <si>
    <t>TDDB68</t>
  </si>
  <si>
    <t>Processprogrammering och operativsystem</t>
  </si>
  <si>
    <t>TDDC93</t>
  </si>
  <si>
    <t>Programutvecklingsmetodik teori</t>
  </si>
  <si>
    <t>TDDD37</t>
  </si>
  <si>
    <t>mts</t>
  </si>
  <si>
    <t>TANA07</t>
  </si>
  <si>
    <t>Datautvinning med matrismetoder</t>
  </si>
  <si>
    <t>TATA54</t>
  </si>
  <si>
    <t>Talteori</t>
  </si>
  <si>
    <t>TDDA69</t>
  </si>
  <si>
    <t>Data- och programstrukturer</t>
  </si>
  <si>
    <t>TDDD09</t>
  </si>
  <si>
    <t>Programutvecklingsprojekt i ett helhetsperspektiv</t>
  </si>
  <si>
    <t>8*</t>
  </si>
  <si>
    <t>TFYA52</t>
  </si>
  <si>
    <t>Organisk elektronik</t>
  </si>
  <si>
    <t>TGTU60</t>
  </si>
  <si>
    <t>Informationssökning</t>
  </si>
  <si>
    <t>TDDC72</t>
  </si>
  <si>
    <t>Kognitiv psykologi</t>
  </si>
  <si>
    <t>TAMS17</t>
  </si>
  <si>
    <t>Statistisk teori, fortsättningskurs</t>
  </si>
  <si>
    <t>TANA77</t>
  </si>
  <si>
    <t>Programmering av parallelldatorer, tekniska beräkningar</t>
  </si>
  <si>
    <t>TFMT17</t>
  </si>
  <si>
    <t>Miljöövervakning- kontrollsystem och sensorer</t>
  </si>
  <si>
    <t>1,5</t>
  </si>
  <si>
    <t>2010; 2009</t>
  </si>
  <si>
    <t>NFYB06</t>
  </si>
  <si>
    <t>Astronomi och geofysik</t>
  </si>
  <si>
    <t>TFYA60</t>
  </si>
  <si>
    <t>2012; 2014; 2010</t>
  </si>
  <si>
    <t>3, 1; 3, 1</t>
  </si>
  <si>
    <t>TFTB33</t>
  </si>
  <si>
    <t>Mikrosystem och nanobiologi</t>
  </si>
  <si>
    <t>3; 3; 1</t>
  </si>
  <si>
    <t>2009; 2012; 2013; 2014; 2011</t>
  </si>
  <si>
    <t>TFYA64</t>
  </si>
  <si>
    <t>Teknik för förnybara energikällor - från princip till tillämpning</t>
  </si>
  <si>
    <t>2, 3; 2, 3; 2, 3; 2, 3</t>
  </si>
  <si>
    <t>TATA32</t>
  </si>
  <si>
    <t>TATA78</t>
  </si>
  <si>
    <t>Komplex analys fk</t>
  </si>
  <si>
    <t>TDDD49</t>
  </si>
  <si>
    <t>Programmering i C# och .NET Framework</t>
  </si>
  <si>
    <t>2, 3; 2, 3; 2, 3; 2, 3; 2, 3</t>
  </si>
  <si>
    <t>TDDD76</t>
  </si>
  <si>
    <t>2, -; 2, -</t>
  </si>
  <si>
    <t>2010; 2012; 2013; 2014</t>
  </si>
  <si>
    <t>3Ht1</t>
  </si>
  <si>
    <t>3Ht2</t>
  </si>
  <si>
    <t>4Vt1</t>
  </si>
  <si>
    <t>4Vt2</t>
  </si>
  <si>
    <t>4, 3; 4, 4; 4, 4</t>
  </si>
  <si>
    <t>1Ht0</t>
  </si>
  <si>
    <t>1Ht1</t>
  </si>
  <si>
    <t>TATA40</t>
  </si>
  <si>
    <t>Matematiska utblickar</t>
  </si>
  <si>
    <t>TATA24</t>
  </si>
  <si>
    <t>TFYY51</t>
  </si>
  <si>
    <t>Ingenjörsprojekt</t>
  </si>
  <si>
    <t>1Ht2</t>
  </si>
  <si>
    <t>2Vt1</t>
  </si>
  <si>
    <t>2*</t>
  </si>
  <si>
    <t>TGTU50</t>
  </si>
  <si>
    <t>Industrikunskap</t>
  </si>
  <si>
    <t>TDDC74</t>
  </si>
  <si>
    <t>Programmering - abstraktion och modellering</t>
  </si>
  <si>
    <t>TFYA10</t>
  </si>
  <si>
    <t>Vågfysik</t>
  </si>
  <si>
    <t>TATA14</t>
  </si>
  <si>
    <t>Matematisk kommunikation</t>
  </si>
  <si>
    <t>TFFM12</t>
  </si>
  <si>
    <t>Fysikaliska utblickar</t>
  </si>
  <si>
    <t>2Vt2</t>
  </si>
  <si>
    <t>TANA02</t>
  </si>
  <si>
    <t>Tekniska beräkningar</t>
  </si>
  <si>
    <t>TSRT04</t>
  </si>
  <si>
    <t>TSTE05</t>
  </si>
  <si>
    <t>Elektronik och mätteknik</t>
  </si>
  <si>
    <t>TMME12</t>
  </si>
  <si>
    <t>Mekanik del 1</t>
  </si>
  <si>
    <t>TAOP07</t>
  </si>
  <si>
    <t>Optimeringslära grundkurs</t>
  </si>
  <si>
    <t>TMME04</t>
  </si>
  <si>
    <t>Mekanik del 2</t>
  </si>
  <si>
    <t>TAMS14</t>
  </si>
  <si>
    <t>Sannolikhetslära</t>
  </si>
  <si>
    <t>TFYA13</t>
  </si>
  <si>
    <t>Elektromagnetism</t>
  </si>
  <si>
    <t>5Ht1</t>
  </si>
  <si>
    <t>TAMS24</t>
  </si>
  <si>
    <t>Statistisk teori, grk</t>
  </si>
  <si>
    <t>TATA26</t>
  </si>
  <si>
    <t>Fourieranalys</t>
  </si>
  <si>
    <t>TDDC76</t>
  </si>
  <si>
    <t>Programmering och datastrukturer</t>
  </si>
  <si>
    <t>5Ht2</t>
  </si>
  <si>
    <t>TFYA11</t>
  </si>
  <si>
    <t>Modern fysik</t>
  </si>
  <si>
    <t>TSEA27</t>
  </si>
  <si>
    <t>Elektronikprojekt</t>
  </si>
  <si>
    <t>TSRT12</t>
  </si>
  <si>
    <t>6Vt2</t>
  </si>
  <si>
    <t>TFYA12</t>
  </si>
  <si>
    <t>Termodynamik och statistisk mekanik</t>
  </si>
  <si>
    <t>0, 1</t>
  </si>
  <si>
    <t>1, 3; 1, 3; 1, 3</t>
  </si>
  <si>
    <t>2, 1; 2, 1; 2, 1</t>
  </si>
  <si>
    <t>3, 4; 3, 4; 3, 4; 3, 4</t>
  </si>
  <si>
    <t>TATA77</t>
  </si>
  <si>
    <t>0, 1; 0, 1; 0, 1; 0, 1; 0, 1</t>
  </si>
  <si>
    <t>, 4; , 4; , 4; , 4; , 4</t>
  </si>
  <si>
    <t>1, 4; 1, 4; 1, 4; 1, 4; 1, 4</t>
  </si>
  <si>
    <t>2, 1; 2, 1; 2, 1; 2, 1; 2, 1</t>
  </si>
  <si>
    <t>TANA21</t>
  </si>
  <si>
    <t>TFYA73</t>
  </si>
  <si>
    <t>Modern fysik I</t>
  </si>
  <si>
    <t>TFYA75</t>
  </si>
  <si>
    <t>Fysik kandidatprojekt</t>
  </si>
  <si>
    <t>16*</t>
  </si>
  <si>
    <t>TFYA74</t>
  </si>
  <si>
    <t>Modern fysik II</t>
  </si>
  <si>
    <t>, 4; , 4; , 4; , 4; , 4; , 4</t>
  </si>
  <si>
    <t>1, 4; 1, 4; 1, 4; 1, 4; 1, 4; 1, 4</t>
  </si>
  <si>
    <t>3, 3; 4, 3; 4, 3; 4, 3; 4, 3; 4, 3</t>
  </si>
  <si>
    <t>-; -; -; 1; -; -</t>
  </si>
  <si>
    <t>2, 3; 2, 3; 2, 3; 2, 3; 2, 3; 2, 3</t>
  </si>
  <si>
    <t>1, 3; 1, 3; 1, 3; 1, 3; 1, 3; 1, 3</t>
  </si>
  <si>
    <t xml:space="preserve"> Obligatorisk; o/v</t>
  </si>
  <si>
    <t>TFYA31</t>
  </si>
  <si>
    <t>Materials and Nanotechnology</t>
  </si>
  <si>
    <t>TFYA47</t>
  </si>
  <si>
    <t>Ytor och gränsskikt</t>
  </si>
  <si>
    <t>TFYA30</t>
  </si>
  <si>
    <t>Supramolekylär kemi</t>
  </si>
  <si>
    <t>TFTB35</t>
  </si>
  <si>
    <t>Ytvetenskap</t>
  </si>
  <si>
    <t>TFTB36</t>
  </si>
  <si>
    <t>Material i medicin, (CDIO-projekt)</t>
  </si>
  <si>
    <t>TFKE50</t>
  </si>
  <si>
    <t>Material för hållbar energiproduktion</t>
  </si>
  <si>
    <t>TFTB38</t>
  </si>
  <si>
    <t>Imaging and ubiquitous biosensing</t>
  </si>
  <si>
    <t>4, 2</t>
  </si>
  <si>
    <t>Material i medicin (CDIO-projekt)</t>
  </si>
  <si>
    <t>TFKE30</t>
  </si>
  <si>
    <t>Analytisk kemi</t>
  </si>
  <si>
    <t>TFTB43</t>
  </si>
  <si>
    <t>4, 2; 4, 2; 4, 2; 4, 2; 4, 2; 4, 2</t>
  </si>
  <si>
    <t>TVCB10</t>
  </si>
  <si>
    <t>Genome Analysis</t>
  </si>
  <si>
    <t>TFYA32</t>
  </si>
  <si>
    <t>Industriell bioteknik</t>
  </si>
  <si>
    <t>TFTB32</t>
  </si>
  <si>
    <t>Projektkurs i design av biotekniska process- och produktionssystem (CDIO)</t>
  </si>
  <si>
    <t>TMMT03</t>
  </si>
  <si>
    <t>Biotekniska produktionssystem</t>
  </si>
  <si>
    <t>TFTB39</t>
  </si>
  <si>
    <t>Bioteknisk tillverkningsteknik</t>
  </si>
  <si>
    <t>TVFA01</t>
  </si>
  <si>
    <t>Bioteknik och läkemedel</t>
  </si>
  <si>
    <t>2+3</t>
  </si>
  <si>
    <t>Sensorer och material i biomedicin; Industriell bioteknik och produktion</t>
  </si>
  <si>
    <t>1, 2; 1, 2; 1, 2, 1, 2</t>
  </si>
  <si>
    <t>TRTE14</t>
  </si>
  <si>
    <t>Biogasprocessen</t>
  </si>
  <si>
    <t>7,5</t>
  </si>
  <si>
    <t>1,2; 1+2; 1+2</t>
  </si>
  <si>
    <t>3; 3; 3; 3; 3, 3, 3, 3</t>
  </si>
  <si>
    <t>TAOP61</t>
  </si>
  <si>
    <t>Optimering av realistiska, sammansatta system</t>
  </si>
  <si>
    <t>TVCB12</t>
  </si>
  <si>
    <t>3; 3; 3, 3</t>
  </si>
  <si>
    <t>4, 4; 4, 4; 4, 4; 2, 4; 2, 4; 2, 4</t>
  </si>
  <si>
    <t>1; 1; 1; 1; 1+3; 1+3</t>
  </si>
  <si>
    <t>3; 1; 1; 1; 1; 1; 3, 1, 1, 1, 1, 1</t>
  </si>
  <si>
    <t>4, 4; 4, 4; 4, 4; 4, 4; 4, 4, 4, 4, 4, 4, 4, 4</t>
  </si>
  <si>
    <t>2+3; 2+3; 2+3; 3; 3</t>
  </si>
  <si>
    <t>2, 2; 2, 2; 2, 2; 2, 2; 2, 2; 2, 2; 2, 2, 2, 2, 2, 2, 2, 2, 2, 2, 2, 2</t>
  </si>
  <si>
    <t>NKEA02</t>
  </si>
  <si>
    <t>Allmän kemi 1</t>
  </si>
  <si>
    <t>TATA16</t>
  </si>
  <si>
    <t>NKEA04</t>
  </si>
  <si>
    <t>Allmän kemi 2</t>
  </si>
  <si>
    <t>NKEA07</t>
  </si>
  <si>
    <t>Organisk kemi grundkurs</t>
  </si>
  <si>
    <t>NKEA08</t>
  </si>
  <si>
    <t>Biokemi 1</t>
  </si>
  <si>
    <t>2+4</t>
  </si>
  <si>
    <t>NBIA21</t>
  </si>
  <si>
    <t>TFYA46</t>
  </si>
  <si>
    <t>TSTE04</t>
  </si>
  <si>
    <t>Elektriska kretsar</t>
  </si>
  <si>
    <t>TDDB18</t>
  </si>
  <si>
    <t>Programmering i Ada, grundkurs</t>
  </si>
  <si>
    <t>TFKE06</t>
  </si>
  <si>
    <t>Organisk kemi 2</t>
  </si>
  <si>
    <t>3+1</t>
  </si>
  <si>
    <t>NBIB29</t>
  </si>
  <si>
    <t>Fysiologiska principer</t>
  </si>
  <si>
    <t>TATA09</t>
  </si>
  <si>
    <t>Analys B, flera variabler</t>
  </si>
  <si>
    <t>TFYA16</t>
  </si>
  <si>
    <t>Mekanik</t>
  </si>
  <si>
    <t>TAMS28</t>
  </si>
  <si>
    <t>Matematisk statistik</t>
  </si>
  <si>
    <t>TFYY55</t>
  </si>
  <si>
    <t>Fysik TB</t>
  </si>
  <si>
    <t>NBIA07</t>
  </si>
  <si>
    <t>TANA05</t>
  </si>
  <si>
    <t>Numeriska metoder med Matlab</t>
  </si>
  <si>
    <t>TFKE36</t>
  </si>
  <si>
    <t>Biokemi 2</t>
  </si>
  <si>
    <t>TDDB77</t>
  </si>
  <si>
    <t>Databaser och bioinformatik</t>
  </si>
  <si>
    <t>TFMT14</t>
  </si>
  <si>
    <t>Mätteknik</t>
  </si>
  <si>
    <t>TFYA35</t>
  </si>
  <si>
    <t>Molekylfysik</t>
  </si>
  <si>
    <t>TSBB14</t>
  </si>
  <si>
    <t>TSRT03</t>
  </si>
  <si>
    <t>b</t>
  </si>
  <si>
    <t>0, a, b</t>
  </si>
  <si>
    <t>, 4, 4</t>
  </si>
  <si>
    <t>a, b, 2</t>
  </si>
  <si>
    <t>3, 3, 3</t>
  </si>
  <si>
    <t>TATA68</t>
  </si>
  <si>
    <t>NKEA06</t>
  </si>
  <si>
    <t>Organisk kemi 1</t>
  </si>
  <si>
    <t>TFKE51</t>
  </si>
  <si>
    <t>TSTE92</t>
  </si>
  <si>
    <t>2+4; 2+4</t>
  </si>
  <si>
    <t>3; 4</t>
  </si>
  <si>
    <t>2+1</t>
  </si>
  <si>
    <t>a, b; 1; 1</t>
  </si>
  <si>
    <t>1, 1; 1; 1</t>
  </si>
  <si>
    <t>2; 2; 4</t>
  </si>
  <si>
    <t>2; 4; 2; 2</t>
  </si>
  <si>
    <t>2; 2+3; 2+1; 2+1; 2+1</t>
  </si>
  <si>
    <t>1, 2; 2; 2; 2; 2</t>
  </si>
  <si>
    <t>2, 2; 2; 2; 2; 2</t>
  </si>
  <si>
    <t>TDDD87</t>
  </si>
  <si>
    <t>Programmering och problemlösning</t>
  </si>
  <si>
    <t>TDDD74</t>
  </si>
  <si>
    <t>Databaser för bioinformatik</t>
  </si>
  <si>
    <t>TBMT33</t>
  </si>
  <si>
    <t>Systembiologisk modellering, kandidatprojekt</t>
  </si>
  <si>
    <t>a; a; a; a; a; a</t>
  </si>
  <si>
    <t>1+2; 1+2; 1+2; 1+2; 1+2; 1+2</t>
  </si>
  <si>
    <t>b; b; b; b; b; b</t>
  </si>
  <si>
    <t>0, a, b; 0, a, b; 0, a, b; 0, a, b; 0, a, b</t>
  </si>
  <si>
    <t>, 4, 4; , 3, 3; , 3, 3; , 3, 3; , 3, 3</t>
  </si>
  <si>
    <t>1+3; 1+3; 1+3; 1+3; 1+3</t>
  </si>
  <si>
    <t>2+4; 2+4; 2+4; 2+4; 2+4; 2+4</t>
  </si>
  <si>
    <t>3+2; 3+2; 3+2; 3+2; 3+2</t>
  </si>
  <si>
    <t>a, b; 1; 1; 1; 1; 1</t>
  </si>
  <si>
    <t>3, 3; 4; 4; 4; 4; 4</t>
  </si>
  <si>
    <t>2+3; 2+3; 2+3; 2+3</t>
  </si>
  <si>
    <t>3; 4; 4; 4; 4; 4</t>
  </si>
  <si>
    <t>a, b, 2; 1, 2; 1, 2; 1, 2; 1, 2; 1, 2</t>
  </si>
  <si>
    <t>1, 1, 4; 1, 1; 1, 1; 1, 1; 1, 1; 1, 1</t>
  </si>
  <si>
    <t>-, -, -; -, -; -, -; -, -; -, -; -, -</t>
  </si>
  <si>
    <t>2+3; 1; 1; 1; 1</t>
  </si>
  <si>
    <t>1+4; 1+4; 1+4; 1+2; 1+2; 1+2</t>
  </si>
  <si>
    <t>3, 3, 3; 3, 3; 2, 3; 2, 3; 2, 3; 2, 3</t>
  </si>
  <si>
    <t>2; 2; 2; 1; 1; 1</t>
  </si>
  <si>
    <t>2; 2; 2; 4; 4; 4</t>
  </si>
  <si>
    <t>1+3; 1+3; 1+3; 1+3; 1+4; 1+4</t>
  </si>
  <si>
    <t>1+3; 1+4</t>
  </si>
  <si>
    <t>2, 2+3+4</t>
  </si>
  <si>
    <t>Civilingenjör i Elektronikdesign</t>
  </si>
  <si>
    <t>Solceller och effektelektronik</t>
  </si>
  <si>
    <t>TNE064</t>
  </si>
  <si>
    <t>Digital kommunikationselektronik</t>
  </si>
  <si>
    <t>TNE060</t>
  </si>
  <si>
    <t>RF-elektronik</t>
  </si>
  <si>
    <t>TNE062</t>
  </si>
  <si>
    <t>RF Systemutveckling</t>
  </si>
  <si>
    <t>TNK087</t>
  </si>
  <si>
    <t>Datakommunikation och Internet</t>
  </si>
  <si>
    <t>TNK080</t>
  </si>
  <si>
    <t>Trådlösa kommunikationssystem</t>
  </si>
  <si>
    <t>TNE071</t>
  </si>
  <si>
    <t>Mikrovågsteknik</t>
  </si>
  <si>
    <t>TNE083</t>
  </si>
  <si>
    <t>Antennteori</t>
  </si>
  <si>
    <t>TNE084</t>
  </si>
  <si>
    <t>Mönsterkortdesign och elektromagnetisk kompatibilitet (EMC)</t>
  </si>
  <si>
    <t>TNE058</t>
  </si>
  <si>
    <t>Halvledarteknik och tillverkning</t>
  </si>
  <si>
    <t>TNE089</t>
  </si>
  <si>
    <t>Elektromagnetisk kompatibilitet och mönsterkortdesign</t>
  </si>
  <si>
    <t>TNE090</t>
  </si>
  <si>
    <t>Trådlösa sensornätverk</t>
  </si>
  <si>
    <t>2, 1; 2, 1; 4, 4; 4, 4; 4, 4</t>
  </si>
  <si>
    <t>2, 4; 2, 4; 2, 4; 2, 4; 2, 4</t>
  </si>
  <si>
    <t>Trådlösa system; Solceller och effektelektronik</t>
  </si>
  <si>
    <t>TNE024</t>
  </si>
  <si>
    <t>Molekylär fysik</t>
  </si>
  <si>
    <t>TNE091</t>
  </si>
  <si>
    <t>Effektelektronik I</t>
  </si>
  <si>
    <t>TNE092</t>
  </si>
  <si>
    <t>Effektelektronik II</t>
  </si>
  <si>
    <t>TNE093</t>
  </si>
  <si>
    <t>Solcellsteknik</t>
  </si>
  <si>
    <t>TNE096</t>
  </si>
  <si>
    <t>TNE098</t>
  </si>
  <si>
    <t>Tillämpad effektelektronik I</t>
  </si>
  <si>
    <t>TNE099</t>
  </si>
  <si>
    <t>Tillämpad effektelektronik II</t>
  </si>
  <si>
    <t>TEIO52</t>
  </si>
  <si>
    <t>Avancerad projektledning</t>
  </si>
  <si>
    <t>THEN09</t>
  </si>
  <si>
    <t>Advanced English</t>
  </si>
  <si>
    <t>TMPT69</t>
  </si>
  <si>
    <t>Avancerade produktionssystem</t>
  </si>
  <si>
    <t>TEIE54</t>
  </si>
  <si>
    <t>Immaterialrätt</t>
  </si>
  <si>
    <t>TMKT93</t>
  </si>
  <si>
    <t>Design och användaranpassning</t>
  </si>
  <si>
    <t>TNE030</t>
  </si>
  <si>
    <t>Statistisk analys och planering av försök</t>
  </si>
  <si>
    <t>TNKA05</t>
  </si>
  <si>
    <t>Retorik</t>
  </si>
  <si>
    <t>2010; 2011; 2009</t>
  </si>
  <si>
    <t>2010; 2011; 2012; 2009</t>
  </si>
  <si>
    <t>TEIO87</t>
  </si>
  <si>
    <t>TEIO05</t>
  </si>
  <si>
    <t>Grundläggande entreprenörskap och idékvalificering</t>
  </si>
  <si>
    <t>TNK067</t>
  </si>
  <si>
    <t>Människa-system-interaktion</t>
  </si>
  <si>
    <t>TNE085</t>
  </si>
  <si>
    <t>Projektkurs , CDIO</t>
  </si>
  <si>
    <t>Trådlösa system; Solceller och effektelektronik;  Obligatorisk</t>
  </si>
  <si>
    <t>TNE088</t>
  </si>
  <si>
    <t>TNKA08</t>
  </si>
  <si>
    <t>TNE026</t>
  </si>
  <si>
    <t>Analog/digital systemkonstruktion</t>
  </si>
  <si>
    <t>2011; 2012; 2013; 2010; 2009; 2014</t>
  </si>
  <si>
    <t>1, 2; 1, 2; 1, 2; 1, 2, 1, 2, 1, 2, 1, 2; 1, 2, 1, 2, 1, 2; 1, 2</t>
  </si>
  <si>
    <t>3, 2; 3, 2; 3, 2; 3, 3, 3, 2, 3, 2, 3, 2; 3, 2, 3, 2, 3, 2; 3, 2</t>
  </si>
  <si>
    <t>-; -; -; -; -; -</t>
  </si>
  <si>
    <t xml:space="preserve">, ; , </t>
  </si>
  <si>
    <t>TNA001</t>
  </si>
  <si>
    <t>TNG050</t>
  </si>
  <si>
    <t>Introduktionskurs inför universitetsstudier</t>
  </si>
  <si>
    <t>TND011</t>
  </si>
  <si>
    <t>Programmering 1</t>
  </si>
  <si>
    <t>TNGE11</t>
  </si>
  <si>
    <t>TNA002</t>
  </si>
  <si>
    <t>TNGE15</t>
  </si>
  <si>
    <t>TNA003</t>
  </si>
  <si>
    <t>Analys I</t>
  </si>
  <si>
    <t>TNA005</t>
  </si>
  <si>
    <t>Tillämpad matematik i teknik och naturvetenskap</t>
  </si>
  <si>
    <t>TNGE37</t>
  </si>
  <si>
    <t>Kretsteori</t>
  </si>
  <si>
    <t>TNA004</t>
  </si>
  <si>
    <t>Analys II</t>
  </si>
  <si>
    <t>TNGE20</t>
  </si>
  <si>
    <t>Analog elektronik 1</t>
  </si>
  <si>
    <t>TNA006</t>
  </si>
  <si>
    <t>Analys III</t>
  </si>
  <si>
    <t>TND005</t>
  </si>
  <si>
    <t>Programmering fk</t>
  </si>
  <si>
    <t>TNGE25</t>
  </si>
  <si>
    <t>Analog elektronik 2</t>
  </si>
  <si>
    <t>TNA007</t>
  </si>
  <si>
    <t>TNE043</t>
  </si>
  <si>
    <t>Mekanik och vågfysik</t>
  </si>
  <si>
    <t>TND002</t>
  </si>
  <si>
    <t>Objektorienterad programmering</t>
  </si>
  <si>
    <t>TNE056</t>
  </si>
  <si>
    <t>Ellära och elektromagnetism</t>
  </si>
  <si>
    <t>TNG032</t>
  </si>
  <si>
    <t>Tillämpad transformteori</t>
  </si>
  <si>
    <t>TNE057</t>
  </si>
  <si>
    <t>Mikrodatorsystem</t>
  </si>
  <si>
    <t>TNG015</t>
  </si>
  <si>
    <t>TNE040</t>
  </si>
  <si>
    <t>Projekt autonoma robotar samt projektledning</t>
  </si>
  <si>
    <t>TNG006</t>
  </si>
  <si>
    <t>TNG028</t>
  </si>
  <si>
    <t>TNG022</t>
  </si>
  <si>
    <t>TNGE38</t>
  </si>
  <si>
    <t>Kretsteori f.k.</t>
  </si>
  <si>
    <t>TNK049</t>
  </si>
  <si>
    <t>TNE041</t>
  </si>
  <si>
    <t>TNE042</t>
  </si>
  <si>
    <t>Digitala signalprocessorer - DSP</t>
  </si>
  <si>
    <t>TNG016</t>
  </si>
  <si>
    <t>Systemtekniska tillämpningar i Matlab</t>
  </si>
  <si>
    <t>TNG033</t>
  </si>
  <si>
    <t>Programmering i C++</t>
  </si>
  <si>
    <t>TPPE09</t>
  </si>
  <si>
    <t>-, 3</t>
  </si>
  <si>
    <t>TND012</t>
  </si>
  <si>
    <t>Programmering grk</t>
  </si>
  <si>
    <t>TNE045</t>
  </si>
  <si>
    <t>Metoder och processer vid elektronikproduktion</t>
  </si>
  <si>
    <t>TNE087</t>
  </si>
  <si>
    <t>TEIE53</t>
  </si>
  <si>
    <t>4, 2; 4, -; 4, -</t>
  </si>
  <si>
    <t>TNE094</t>
  </si>
  <si>
    <t>Digitalteknik och konstruktion</t>
  </si>
  <si>
    <t>TNE097</t>
  </si>
  <si>
    <t>TNE095</t>
  </si>
  <si>
    <t>Projektkurs - Elektronikdesign med projektledning</t>
  </si>
  <si>
    <t>TNG041</t>
  </si>
  <si>
    <t>Vetenskaplig metodik, källkritik och rapportskrivning</t>
  </si>
  <si>
    <t>TND004</t>
  </si>
  <si>
    <t>Datastrukturer</t>
  </si>
  <si>
    <t>3, 3; 1</t>
  </si>
  <si>
    <t>TNE100</t>
  </si>
  <si>
    <t>TNE101</t>
  </si>
  <si>
    <t>-, 1; -, 1; -, 1; -, 1; -, -; -, 1</t>
  </si>
  <si>
    <t>1, 2; 1, 2; 2; 1; 1</t>
  </si>
  <si>
    <t>4, 2; 4, 2; 2; -; 4</t>
  </si>
  <si>
    <t>4; 4; 4; 4; -; 4</t>
  </si>
  <si>
    <t>3, 3; -, -; 3, 3</t>
  </si>
  <si>
    <t>3, 2; 3, 2; 3, 2; 3, 1; 3, 2; 3, 2</t>
  </si>
  <si>
    <t>4; 4, 4; 4, 4</t>
  </si>
  <si>
    <t>3; 2; 2; 2; 2; 2</t>
  </si>
  <si>
    <t>; 4</t>
  </si>
  <si>
    <t>, ; 3, 1</t>
  </si>
  <si>
    <t>; 2</t>
  </si>
  <si>
    <t>Civilingenjör i Medicinsk teknik</t>
  </si>
  <si>
    <t>Bildanalys och visualisering</t>
  </si>
  <si>
    <t>Medicintekniska material</t>
  </si>
  <si>
    <t>Medicintekniska modeller</t>
  </si>
  <si>
    <r>
      <t xml:space="preserve">Utbildningsprogram : </t>
    </r>
    <r>
      <rPr>
        <b/>
        <sz val="9"/>
        <color rgb="FF000000"/>
        <rFont val="Arial"/>
        <family val="2"/>
      </rPr>
      <t>MED</t>
    </r>
  </si>
  <si>
    <t>TFYA37</t>
  </si>
  <si>
    <t>Mjuka material</t>
  </si>
  <si>
    <t>Bildanalys och visualisering; Medicintekniska modeller</t>
  </si>
  <si>
    <t>Bildanalys och visualisering; Medicintekniska material; Medicintekniska modeller</t>
  </si>
  <si>
    <t>Medicintekniska material; Medicintekniska modeller</t>
  </si>
  <si>
    <t>1; 1; 1, 1; 1, 1</t>
  </si>
  <si>
    <t>3; 3; 3, 3; 3, 3</t>
  </si>
  <si>
    <r>
      <t xml:space="preserve">Profil/inriktning : </t>
    </r>
    <r>
      <rPr>
        <b/>
        <sz val="9"/>
        <color rgb="FF000000"/>
        <rFont val="Arial"/>
        <family val="2"/>
      </rPr>
      <t>MED</t>
    </r>
  </si>
  <si>
    <t>http://kdb-5.liu.se/liu/lith/studiehandboken/action.lasso?&amp;-response=lot_response.lasso&amp;-op=eq&amp;kp_budget_year=2014&amp;-op=eq&amp;kp_programkod=MED&amp;-op=eq&amp;kp_programprofil=MED&amp;-op=lt&amp;kp_termin=7</t>
  </si>
  <si>
    <t>TBMT17</t>
  </si>
  <si>
    <t>Introduktion till medicinsk teknik</t>
  </si>
  <si>
    <t>TBME11</t>
  </si>
  <si>
    <t>TFYA59</t>
  </si>
  <si>
    <t>TBME12</t>
  </si>
  <si>
    <t>TBMT18</t>
  </si>
  <si>
    <t>TFYA49</t>
  </si>
  <si>
    <t>Elektromagnetism - teori och tillämpning</t>
  </si>
  <si>
    <t>TFYA63</t>
  </si>
  <si>
    <t>Material för medicinsk teknik; från nano- till makronivå</t>
  </si>
  <si>
    <t>TSBB31</t>
  </si>
  <si>
    <t>Medicinska bilder</t>
  </si>
  <si>
    <t>TFYA70</t>
  </si>
  <si>
    <t>TFYA67</t>
  </si>
  <si>
    <t>TBMT41</t>
  </si>
  <si>
    <t>Projekt i medicinsk teknik</t>
  </si>
  <si>
    <t>TVFA02</t>
  </si>
  <si>
    <t>Medicinsk strålningsfysik</t>
  </si>
  <si>
    <t>TFYA76</t>
  </si>
  <si>
    <t>4, 3; 4, 3; 4, 3; 4, 3; 4, 3</t>
  </si>
  <si>
    <t>-, -; -, -; -, -; 3, 3</t>
  </si>
  <si>
    <t>KRAV</t>
  </si>
  <si>
    <t>Kända fel och framtida funktionalitet</t>
  </si>
  <si>
    <t>Program för kursen</t>
  </si>
  <si>
    <t>Steg 1. URL till studiehandbokens kurser</t>
  </si>
  <si>
    <t>Steg 2. Välj program och inrikting</t>
  </si>
  <si>
    <t>Ska kurserna läggas under vald inriktning eller inte?</t>
  </si>
  <si>
    <t>Inriktning</t>
  </si>
  <si>
    <t>Steg 3. Välj importinställningar och importera</t>
  </si>
  <si>
    <r>
      <t xml:space="preserve">Den här tabellen är datakällan för pivotdiagram och grafik på arbetsbladet </t>
    </r>
    <r>
      <rPr>
        <i/>
        <sz val="12"/>
        <color theme="0"/>
        <rFont val="Century"/>
        <family val="1"/>
      </rPr>
      <t>Sammanställning.</t>
    </r>
  </si>
  <si>
    <t>Profilnamn</t>
  </si>
  <si>
    <t>2009;2010;2011</t>
  </si>
  <si>
    <t>AVANCERADE</t>
  </si>
  <si>
    <t>GODTYCKLIGA</t>
  </si>
  <si>
    <r>
      <t xml:space="preserve">Avsluta kurser genom att lägga till ett betyg i 
</t>
    </r>
    <r>
      <rPr>
        <i/>
        <sz val="10"/>
        <color theme="1" tint="0.24994659260841701"/>
        <rFont val="Bookman Old Style"/>
        <family val="1"/>
        <scheme val="major"/>
      </rPr>
      <t>Ditt informationsblad</t>
    </r>
  </si>
  <si>
    <t>GRUNDLÄGGANDE</t>
  </si>
  <si>
    <t>AVANCERADE KVAR</t>
  </si>
  <si>
    <t>VERSION AV STUDIEHANDBOKEN</t>
  </si>
  <si>
    <t>X</t>
  </si>
  <si>
    <t>GRADES</t>
  </si>
  <si>
    <t>Civilingenjör I Industriell Ekonomi</t>
  </si>
  <si>
    <t xml:space="preserve"> 1, 2</t>
  </si>
  <si>
    <t xml:space="preserve"> 2, 1</t>
  </si>
  <si>
    <t xml:space="preserve"> 1, 2+4</t>
  </si>
  <si>
    <t xml:space="preserve"> 1, 1</t>
  </si>
  <si>
    <t xml:space="preserve"> 3, 1</t>
  </si>
  <si>
    <r>
      <t xml:space="preserve">
Den här arbetsboken är tänkt för studenter vid LITH som vill samla de kurser de läst på ett ställe, planera vilka kurser de vill läsa och stämma av med sitt programs examenskrav. I denna arbetsbok finns alla kurser vid LITH, för alla program, deras inriktingar och deras examenskrav samlade. Förhoppningen är att detta ska göra det enkelt att strukturera upp sin studieplan och få kursval att gå ihop.
För att komma igång behöver du bara göra två saker:
1. Välj antagningsår och program på arbetsbladet </t>
    </r>
    <r>
      <rPr>
        <i/>
        <sz val="13"/>
        <color theme="1" tint="0.24994659260841701"/>
        <rFont val="Bookman Old Style"/>
        <family val="1"/>
        <scheme val="major"/>
      </rPr>
      <t>"Ditt informationsblad".</t>
    </r>
    <r>
      <rPr>
        <sz val="13"/>
        <color theme="1" tint="0.24994659260841701"/>
        <rFont val="Bookman Old Style"/>
        <family val="1"/>
        <scheme val="major"/>
      </rPr>
      <t>På så sätt läggs alla obligatoriska kurser inom ditt program givet ditt antagningsår till i din studieplan och redovisas i tabellen på "</t>
    </r>
    <r>
      <rPr>
        <i/>
        <sz val="13"/>
        <color theme="1" tint="0.24994659260841701"/>
        <rFont val="Bookman Old Style"/>
        <family val="1"/>
        <scheme val="major"/>
      </rPr>
      <t>Ditt informationsblad</t>
    </r>
    <r>
      <rPr>
        <sz val="13"/>
        <color theme="1" tint="0.24994659260841701"/>
        <rFont val="Bookman Old Style"/>
        <family val="1"/>
        <scheme val="major"/>
      </rPr>
      <t xml:space="preserve">".
2. Lägg sedan till kurser till din studieplan genom att leta upp dem i arbetsbladet </t>
    </r>
    <r>
      <rPr>
        <i/>
        <sz val="13"/>
        <color theme="1" tint="0.24994659260841701"/>
        <rFont val="Bookman Old Style"/>
        <family val="1"/>
        <scheme val="major"/>
      </rPr>
      <t>"Programkurser"</t>
    </r>
    <r>
      <rPr>
        <sz val="13"/>
        <color theme="1" tint="0.24994659260841701"/>
        <rFont val="Bookman Old Style"/>
        <family val="1"/>
        <scheme val="major"/>
      </rPr>
      <t xml:space="preserve"> och dubbelklicka i kolumn två för de kurser du har tänkt att läsa.
Efter detta har du skapat en bra översikt över dina kurser. I arbetsbladet </t>
    </r>
    <r>
      <rPr>
        <i/>
        <sz val="13"/>
        <color theme="1" tint="0.24994659260841701"/>
        <rFont val="Bookman Old Style"/>
        <family val="1"/>
        <scheme val="major"/>
      </rPr>
      <t>"Sammanställning"</t>
    </r>
    <r>
      <rPr>
        <sz val="13"/>
        <color theme="1" tint="0.24994659260841701"/>
        <rFont val="Bookman Old Style"/>
        <family val="1"/>
        <scheme val="major"/>
      </rPr>
      <t xml:space="preserve"> hittar du information om dina valda kurser. Du kan se hur många grundläggande, tekniska och avancerade poäng du har i din studieplan, du kan se vilka kurser du ska läsa under kommande terminer och se om dessa ligger i samma block och på så sätt kan resultera i schemakrockar. Genom att lägga till betyg på dina kurser uppdateras sammanställningen och du kan se hur du närmar dig examenskraven.</t>
    </r>
  </si>
  <si>
    <t>Utlandsstudier</t>
  </si>
  <si>
    <t>Computer Networks</t>
  </si>
  <si>
    <t>Advanced Algorithms</t>
  </si>
  <si>
    <t>REGISTRERAD</t>
  </si>
  <si>
    <t>JA</t>
  </si>
  <si>
    <t>Data Analytics and Mining</t>
  </si>
  <si>
    <t>Computer Security</t>
  </si>
  <si>
    <t>APPROVED</t>
  </si>
  <si>
    <t>CE3005</t>
  </si>
  <si>
    <t>CSC401</t>
  </si>
  <si>
    <t>CZ4032</t>
  </si>
  <si>
    <t>EE4758</t>
  </si>
  <si>
    <t>CREDITS</t>
  </si>
  <si>
    <t>Artificial Intelligence</t>
  </si>
  <si>
    <t xml:space="preserve">CZ3005 </t>
  </si>
  <si>
    <t>SUMMA HP</t>
  </si>
  <si>
    <t>NEJ</t>
  </si>
  <si>
    <t>g</t>
  </si>
  <si>
    <t>Omräkningsfaktor för högskolepoäng</t>
  </si>
  <si>
    <t>Dina kurser utomlands måste läggas till manuellt i tabellen nedan</t>
  </si>
  <si>
    <t xml:space="preserve">MA4850 </t>
  </si>
  <si>
    <t>Supply Chain and Logistics Management</t>
  </si>
  <si>
    <t>Management of Product Management</t>
  </si>
  <si>
    <t>MA4843</t>
  </si>
  <si>
    <t>Industry Seminars</t>
  </si>
  <si>
    <t>CSC701</t>
  </si>
  <si>
    <t>MT4001</t>
  </si>
  <si>
    <t>MT4101</t>
  </si>
  <si>
    <t>FULL</t>
  </si>
  <si>
    <t xml:space="preserve">
Använd arbetsbladet Programkurser för att importera kurser eller ta bort kurser ur din studieplan. Använda tabellens  i arbetsbladet Programkurser filter för att hitta de kurser du ska läsa och dubbelklicka sedan i kolumn två för att lägga till I din studieplan. 
När du lagt till de kurser du ska läsa så kan du göra mindre förändringar, t.ex. ändra vilken termin du vill läsa kursen under. Datan i din studieplan används sedan för att sammanställa en översikt och detaljerad terminssammanfattning.</t>
  </si>
  <si>
    <r>
      <t xml:space="preserve">
Arbetsboken är skriven av Tobias Genborg under 2014. Det hela började med att jag ville planera mina kursval för kommande terminer samtidigt som jag ville lära mig Excel och VBA som ett sommarprojekt.
Just nu finns kursdata för 2009-2015 importerat i arbetsboken. Jag kan inte garantera att det kommer ske uppdateringar för kommande läsår, men det finns möjlighet att importera data själv om det skulle behövas. Se arbetsbladet </t>
    </r>
    <r>
      <rPr>
        <i/>
        <sz val="12"/>
        <color theme="1" tint="0.24994659260841701"/>
        <rFont val="Bookman Old Style"/>
        <family val="1"/>
        <scheme val="major"/>
      </rPr>
      <t>'Automatiserad import'</t>
    </r>
    <r>
      <rPr>
        <sz val="12"/>
        <color theme="1" tint="0.24994659260841701"/>
        <rFont val="Bookman Old Style"/>
        <family val="1"/>
        <scheme val="major"/>
      </rPr>
      <t xml:space="preserve">
Om någon är intresserad av att bygga vidare på arbetsboken så finns den tillgänglig på följande GitHub repository: https://github.com/TobiasGenborg/Credit-tracker . Kolla speciellt TODO.txt för föreslagna förbättringsåtgärder.</t>
    </r>
  </si>
  <si>
    <r>
      <t xml:space="preserve">För att lägga till enstaka, nya kurser: Specificera kursdata I fälten ovan, välj program och tryck sedan på </t>
    </r>
    <r>
      <rPr>
        <i/>
        <sz val="10"/>
        <color theme="1" tint="0.24994659260841701"/>
        <rFont val="Bookman Old Style"/>
        <family val="1"/>
        <scheme val="major"/>
      </rPr>
      <t>'Lägg till kurs'</t>
    </r>
    <r>
      <rPr>
        <sz val="10"/>
        <color theme="1" tint="0.24994659260841701"/>
        <rFont val="Bookman Old Style"/>
        <family val="1"/>
        <scheme val="major"/>
      </rPr>
      <t xml:space="preserve"> till vänster</t>
    </r>
    <r>
      <rPr>
        <i/>
        <sz val="10"/>
        <color theme="1" tint="0.24994659260841701"/>
        <rFont val="Bookman Old Style"/>
        <family val="1"/>
        <scheme val="major"/>
      </rPr>
      <t>.</t>
    </r>
    <r>
      <rPr>
        <sz val="10"/>
        <color theme="1" tint="0.24994659260841701"/>
        <rFont val="Bookman Old Style"/>
        <family val="1"/>
        <scheme val="major"/>
      </rPr>
      <t xml:space="preserve"> </t>
    </r>
  </si>
  <si>
    <t xml:space="preserve">Att göra till nästa version
</t>
  </si>
  <si>
    <t>Klart</t>
  </si>
  <si>
    <t>Rensa arbetsboken från personlig data</t>
  </si>
  <si>
    <t>Lägg till profiler för fler program (Datateknik, EMM, HögIng Data, HögIng Maskin)</t>
  </si>
  <si>
    <t>Importera data för nya program för program ovan</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</si>
</sst>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64" x14ac:knownFonts="1">
    <font>
      <sz val="10"/>
      <color theme="1" tint="0.24994659260841701"/>
      <name val="Bookman Old Style"/>
      <family val="1"/>
      <scheme val="major"/>
    </font>
    <font>
      <sz val="11"/>
      <color theme="1"/>
      <name val="Franklin Gothic Medium"/>
      <family val="2"/>
      <scheme val="minor"/>
    </font>
    <font>
      <b/>
      <sz val="11"/>
      <color theme="3"/>
      <name val="Franklin Gothic Medium"/>
      <family val="2"/>
      <scheme val="minor"/>
    </font>
    <font>
      <b/>
      <sz val="14"/>
      <color theme="3"/>
      <name val="Franklin Gothic Medium"/>
      <family val="2"/>
      <scheme val="minor"/>
    </font>
    <font>
      <sz val="8"/>
      <color theme="1"/>
      <name val="Franklin Gothic Medium"/>
      <family val="2"/>
      <scheme val="minor"/>
    </font>
    <font>
      <sz val="10"/>
      <color theme="1" tint="0.24994659260841701"/>
      <name val="Bookman Old Style"/>
      <family val="1"/>
      <scheme val="major"/>
    </font>
    <font>
      <sz val="26"/>
      <color theme="0"/>
      <name val="Century"/>
      <family val="1"/>
    </font>
    <font>
      <sz val="14"/>
      <color theme="0"/>
      <name val="Century"/>
      <family val="1"/>
    </font>
    <font>
      <sz val="12"/>
      <color theme="1" tint="0.249977111117893"/>
      <name val="Franklin Gothic Medium"/>
      <family val="2"/>
      <scheme val="minor"/>
    </font>
    <font>
      <sz val="11"/>
      <color theme="1" tint="0.24994659260841701"/>
      <name val="Franklin Gothic Medium"/>
      <family val="2"/>
      <scheme val="minor"/>
    </font>
    <font>
      <sz val="10"/>
      <color theme="0"/>
      <name val="Bookman Old Style"/>
      <family val="1"/>
      <scheme val="major"/>
    </font>
    <font>
      <sz val="10"/>
      <color theme="1"/>
      <name val="Bookman Old Style"/>
      <family val="1"/>
      <scheme val="major"/>
    </font>
    <font>
      <b/>
      <sz val="10"/>
      <color theme="0"/>
      <name val="Bookman Old Style"/>
      <family val="1"/>
      <scheme val="major"/>
    </font>
    <font>
      <sz val="11"/>
      <color theme="1" tint="0.24994659260841701"/>
      <name val="Century"/>
      <family val="1"/>
    </font>
    <font>
      <sz val="10"/>
      <color theme="1" tint="0.24994659260841701"/>
      <name val="Century"/>
      <family val="1"/>
    </font>
    <font>
      <sz val="11"/>
      <color theme="1" tint="0.24994659260841701"/>
      <name val="Century"/>
      <family val="1"/>
    </font>
    <font>
      <sz val="11"/>
      <color theme="3"/>
      <name val="Century"/>
      <family val="1"/>
    </font>
    <font>
      <sz val="8"/>
      <color theme="0"/>
      <name val="Century"/>
      <family val="1"/>
    </font>
    <font>
      <b/>
      <sz val="14"/>
      <color theme="3"/>
      <name val="Century"/>
      <family val="1"/>
    </font>
    <font>
      <sz val="10"/>
      <color theme="0"/>
      <name val="Century"/>
      <family val="1"/>
    </font>
    <font>
      <b/>
      <sz val="10"/>
      <color theme="0"/>
      <name val="Century"/>
      <family val="1"/>
    </font>
    <font>
      <sz val="12"/>
      <color theme="1" tint="0.24994659260841701"/>
      <name val="Century"/>
      <family val="1"/>
    </font>
    <font>
      <sz val="10"/>
      <color theme="1" tint="0.24994659260841701"/>
      <name val="Century"/>
      <family val="1"/>
    </font>
    <font>
      <b/>
      <sz val="10"/>
      <color theme="1" tint="0.24994659260841701"/>
      <name val="Bookman Old Style"/>
      <family val="1"/>
      <scheme val="major"/>
    </font>
    <font>
      <b/>
      <sz val="10"/>
      <color theme="1"/>
      <name val="Bookman Old Style"/>
      <family val="1"/>
      <scheme val="major"/>
    </font>
    <font>
      <sz val="10"/>
      <name val="Century"/>
      <family val="1"/>
    </font>
    <font>
      <sz val="10"/>
      <color theme="1"/>
      <name val="Century"/>
      <family val="1"/>
    </font>
    <font>
      <sz val="18"/>
      <color theme="1" tint="0.24994659260841701"/>
      <name val="Bookman Old Style"/>
      <family val="1"/>
      <scheme val="major"/>
    </font>
    <font>
      <i/>
      <sz val="10"/>
      <color theme="1" tint="0.24994659260841701"/>
      <name val="Bookman Old Style"/>
      <family val="1"/>
      <scheme val="major"/>
    </font>
    <font>
      <b/>
      <sz val="10"/>
      <name val="Bookman Old Style"/>
      <family val="1"/>
      <scheme val="major"/>
    </font>
    <font>
      <sz val="10"/>
      <name val="Bookman Old Style"/>
      <family val="1"/>
      <scheme val="major"/>
    </font>
    <font>
      <sz val="12"/>
      <color theme="0"/>
      <name val="Bookman Old Style"/>
      <family val="1"/>
      <scheme val="major"/>
    </font>
    <font>
      <b/>
      <sz val="12"/>
      <color theme="0"/>
      <name val="Bookman Old Style"/>
      <family val="1"/>
      <scheme val="major"/>
    </font>
    <font>
      <sz val="8"/>
      <color rgb="FF000000"/>
      <name val="Segoe UI"/>
      <family val="2"/>
    </font>
    <font>
      <sz val="10"/>
      <color theme="1" tint="0.24994659260841701"/>
      <name val="Marlett"/>
      <charset val="2"/>
    </font>
    <font>
      <sz val="26"/>
      <color theme="1" tint="0.24994659260841701"/>
      <name val="Century"/>
      <family val="1"/>
    </font>
    <font>
      <sz val="16"/>
      <color theme="1" tint="0.24994659260841701"/>
      <name val="Bookman Old Style"/>
      <family val="1"/>
      <scheme val="major"/>
    </font>
    <font>
      <sz val="20"/>
      <color theme="0"/>
      <name val="Century"/>
      <family val="1"/>
    </font>
    <font>
      <sz val="11"/>
      <color theme="0"/>
      <name val="Franklin Gothic Medium"/>
      <family val="2"/>
      <scheme val="minor"/>
    </font>
    <font>
      <sz val="18"/>
      <color theme="1" tint="0.24994659260841701"/>
      <name val="Century"/>
      <family val="1"/>
    </font>
    <font>
      <sz val="20"/>
      <color theme="1" tint="0.24994659260841701"/>
      <name val="Century"/>
      <family val="1"/>
    </font>
    <font>
      <b/>
      <sz val="9"/>
      <color rgb="FF000000"/>
      <name val="Times New Roman"/>
      <family val="1"/>
    </font>
    <font>
      <sz val="9"/>
      <color rgb="FF000000"/>
      <name val="Times New Roman"/>
      <family val="1"/>
    </font>
    <font>
      <u/>
      <sz val="10"/>
      <color theme="10"/>
      <name val="Bookman Old Style"/>
      <family val="1"/>
      <scheme val="major"/>
    </font>
    <font>
      <b/>
      <sz val="24"/>
      <color rgb="FFFFCC66"/>
      <name val="Arial"/>
      <family val="2"/>
    </font>
    <font>
      <sz val="9"/>
      <color rgb="FF000000"/>
      <name val="Arial"/>
      <family val="2"/>
    </font>
    <font>
      <b/>
      <sz val="9"/>
      <color rgb="FF000000"/>
      <name val="Arial"/>
      <family val="2"/>
    </font>
    <font>
      <sz val="14"/>
      <color theme="1" tint="0.24994659260841701"/>
      <name val="Century"/>
      <family val="1"/>
    </font>
    <font>
      <sz val="24"/>
      <color theme="1" tint="0.24994659260841701"/>
      <name val="Century"/>
      <family val="1"/>
    </font>
    <font>
      <sz val="16"/>
      <color theme="1" tint="0.24994659260841701"/>
      <name val="Century"/>
      <family val="1"/>
    </font>
    <font>
      <sz val="11"/>
      <color theme="0"/>
      <name val="Century"/>
      <family val="1"/>
    </font>
    <font>
      <sz val="12"/>
      <color theme="1" tint="0.24994659260841701"/>
      <name val="Bookman Old Style"/>
      <family val="1"/>
      <scheme val="major"/>
    </font>
    <font>
      <i/>
      <sz val="12"/>
      <color theme="1" tint="0.24994659260841701"/>
      <name val="Bookman Old Style"/>
      <family val="1"/>
      <scheme val="major"/>
    </font>
    <font>
      <sz val="13"/>
      <color theme="1" tint="0.24994659260841701"/>
      <name val="Bookman Old Style"/>
      <family val="1"/>
      <scheme val="major"/>
    </font>
    <font>
      <i/>
      <sz val="13"/>
      <color theme="1" tint="0.24994659260841701"/>
      <name val="Bookman Old Style"/>
      <family val="1"/>
      <scheme val="major"/>
    </font>
    <font>
      <sz val="12"/>
      <color theme="1" tint="0.24994659260841701"/>
      <name val="Franklin Gothic Medium"/>
      <family val="2"/>
      <scheme val="minor"/>
    </font>
    <font>
      <sz val="12"/>
      <color theme="0"/>
      <name val="Century"/>
      <family val="1"/>
    </font>
    <font>
      <i/>
      <sz val="12"/>
      <color theme="0"/>
      <name val="Century"/>
      <family val="1"/>
    </font>
    <font>
      <sz val="10"/>
      <color theme="1" tint="0.24994659260841701"/>
      <name val="Century"/>
      <family val="1"/>
    </font>
    <font>
      <sz val="10"/>
      <name val="Century"/>
      <family val="1"/>
    </font>
    <font>
      <sz val="10"/>
      <color theme="4" tint="0.79998168889431442"/>
      <name val="Century"/>
      <family val="1"/>
    </font>
    <font>
      <sz val="8"/>
      <color theme="4" tint="0.79998168889431442"/>
      <name val="Century"/>
      <family val="1"/>
    </font>
    <font>
      <sz val="10"/>
      <color theme="4" tint="0.79998168889431442"/>
      <name val="Bookman Old Style"/>
      <family val="1"/>
      <scheme val="major"/>
    </font>
    <font>
      <sz val="10"/>
      <color rgb="FF404040"/>
      <name val="Bookman Old Style"/>
      <family val="1"/>
    </font>
  </fonts>
  <fills count="15">
    <fill>
      <patternFill patternType="none"/>
    </fill>
    <fill>
      <patternFill patternType="gray125"/>
    </fill>
    <fill>
      <patternFill patternType="solid">
        <fgColor theme="6"/>
        <bgColor indexed="64"/>
      </patternFill>
    </fill>
    <fill>
      <patternFill patternType="solid">
        <fgColor theme="6" tint="-0.499984740745262"/>
        <bgColor indexed="64"/>
      </patternFill>
    </fill>
    <fill>
      <patternFill patternType="solid">
        <fgColor theme="6" tint="-0.499984740745262"/>
        <bgColor theme="6"/>
      </patternFill>
    </fill>
    <fill>
      <patternFill patternType="solid">
        <fgColor theme="0"/>
        <bgColor indexed="64"/>
      </patternFill>
    </fill>
    <fill>
      <patternFill patternType="solid">
        <fgColor theme="0"/>
        <bgColor theme="6"/>
      </patternFill>
    </fill>
    <fill>
      <patternFill patternType="solid">
        <fgColor rgb="FFFFFFFF"/>
        <bgColor indexed="64"/>
      </patternFill>
    </fill>
    <fill>
      <patternFill patternType="solid">
        <fgColor rgb="FFFFC000"/>
        <bgColor indexed="64"/>
      </patternFill>
    </fill>
    <fill>
      <patternFill patternType="solid">
        <fgColor theme="8" tint="-0.249977111117893"/>
        <bgColor indexed="64"/>
      </patternFill>
    </fill>
    <fill>
      <patternFill patternType="solid">
        <fgColor theme="6"/>
      </patternFill>
    </fill>
    <fill>
      <patternFill patternType="solid">
        <fgColor rgb="FFFFCC66"/>
        <bgColor indexed="64"/>
      </patternFill>
    </fill>
    <fill>
      <patternFill patternType="solid">
        <fgColor rgb="FFDDDDDD"/>
        <bgColor indexed="64"/>
      </patternFill>
    </fill>
    <fill>
      <patternFill patternType="solid">
        <fgColor theme="6" tint="-0.249977111117893"/>
        <bgColor indexed="64"/>
      </patternFill>
    </fill>
    <fill>
      <patternFill patternType="solid">
        <fgColor theme="4" tint="0.79998168889431442"/>
        <bgColor indexed="64"/>
      </patternFill>
    </fill>
  </fills>
  <borders count="17">
    <border>
      <left/>
      <right/>
      <top/>
      <bottom/>
      <diagonal/>
    </border>
    <border>
      <left/>
      <right style="thick">
        <color theme="6" tint="-0.499984740745262"/>
      </right>
      <top/>
      <bottom/>
      <diagonal/>
    </border>
    <border>
      <left style="thick">
        <color theme="6" tint="-0.499984740745262"/>
      </left>
      <right/>
      <top/>
      <bottom/>
      <diagonal/>
    </border>
    <border>
      <left/>
      <right/>
      <top style="thin">
        <color theme="8" tint="0.39997558519241921"/>
      </top>
      <bottom/>
      <diagonal/>
    </border>
    <border>
      <left/>
      <right/>
      <top/>
      <bottom style="thin">
        <color indexed="64"/>
      </bottom>
      <diagonal/>
    </border>
    <border>
      <left style="thin">
        <color theme="8" tint="0.39997558519241921"/>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indexed="64"/>
      </top>
      <bottom style="double">
        <color indexed="64"/>
      </bottom>
      <diagonal/>
    </border>
    <border>
      <left/>
      <right/>
      <top/>
      <bottom style="double">
        <color indexed="64"/>
      </bottom>
      <diagonal/>
    </border>
    <border>
      <left style="thin">
        <color theme="8" tint="0.39997558519241921"/>
      </left>
      <right/>
      <top style="thin">
        <color theme="8" tint="0.39997558519241921"/>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top style="medium">
        <color indexed="64"/>
      </top>
      <bottom/>
      <diagonal/>
    </border>
    <border>
      <left/>
      <right/>
      <top/>
      <bottom style="medium">
        <color indexed="64"/>
      </bottom>
      <diagonal/>
    </border>
    <border>
      <left/>
      <right/>
      <top style="thin">
        <color indexed="64"/>
      </top>
      <bottom style="thin">
        <color indexed="64"/>
      </bottom>
      <diagonal/>
    </border>
  </borders>
  <cellStyleXfs count="6">
    <xf numFmtId="0" fontId="0" fillId="0" borderId="0">
      <alignment vertical="center"/>
    </xf>
    <xf numFmtId="0" fontId="6" fillId="2" borderId="0" applyNumberFormat="0" applyBorder="0" applyAlignment="0" applyProtection="0"/>
    <xf numFmtId="0" fontId="2" fillId="0" borderId="0" applyNumberFormat="0" applyFill="0" applyBorder="0" applyAlignment="0" applyProtection="0"/>
    <xf numFmtId="0" fontId="7" fillId="2" borderId="0" applyNumberFormat="0" applyBorder="0" applyAlignment="0" applyProtection="0"/>
    <xf numFmtId="0" fontId="38" fillId="10" borderId="0" applyNumberFormat="0" applyBorder="0" applyAlignment="0" applyProtection="0"/>
    <xf numFmtId="0" fontId="43" fillId="0" borderId="0" applyNumberFormat="0" applyFill="0" applyBorder="0" applyAlignment="0" applyProtection="0">
      <alignment vertical="center"/>
    </xf>
  </cellStyleXfs>
  <cellXfs count="324">
    <xf numFmtId="0" fontId="0" fillId="0" borderId="0" xfId="0">
      <alignment vertical="center"/>
    </xf>
    <xf numFmtId="0" fontId="6" fillId="2" borderId="0" xfId="1" applyAlignment="1">
      <alignment vertical="center"/>
    </xf>
    <xf numFmtId="0" fontId="0" fillId="0" borderId="0" xfId="0" applyAlignment="1">
      <alignment vertical="center"/>
    </xf>
    <xf numFmtId="0" fontId="0" fillId="0" borderId="0" xfId="0" applyAlignment="1">
      <alignment horizontal="center" vertical="center"/>
    </xf>
    <xf numFmtId="0" fontId="7" fillId="2" borderId="0" xfId="3" applyAlignment="1">
      <alignment vertical="center"/>
    </xf>
    <xf numFmtId="0" fontId="6" fillId="2" borderId="0" xfId="1" applyAlignment="1">
      <alignment horizontal="right" vertical="top"/>
    </xf>
    <xf numFmtId="0" fontId="6" fillId="2" borderId="1" xfId="1" applyBorder="1" applyAlignment="1">
      <alignment vertical="center"/>
    </xf>
    <xf numFmtId="0" fontId="0" fillId="0" borderId="0" xfId="0" applyAlignment="1">
      <alignment horizontal="left" vertical="center" indent="1"/>
    </xf>
    <xf numFmtId="0" fontId="0" fillId="2" borderId="0" xfId="0" applyFill="1">
      <alignment vertical="center"/>
    </xf>
    <xf numFmtId="0" fontId="0" fillId="3" borderId="0" xfId="0" applyFill="1" applyAlignment="1">
      <alignment vertical="center"/>
    </xf>
    <xf numFmtId="0" fontId="6" fillId="2" borderId="0" xfId="1" applyAlignment="1">
      <alignment horizontal="left" vertical="center" indent="2"/>
    </xf>
    <xf numFmtId="0" fontId="0" fillId="0" borderId="0" xfId="0" applyFill="1">
      <alignment vertical="center"/>
    </xf>
    <xf numFmtId="0" fontId="0" fillId="0" borderId="0" xfId="0" applyFont="1" applyFill="1" applyAlignment="1">
      <alignment vertical="center"/>
    </xf>
    <xf numFmtId="0" fontId="5" fillId="0" borderId="0" xfId="0" applyFont="1" applyFill="1">
      <alignment vertical="center"/>
    </xf>
    <xf numFmtId="0" fontId="5" fillId="0" borderId="0" xfId="0" applyFont="1" applyFill="1" applyAlignment="1">
      <alignment horizontal="center" vertical="center"/>
    </xf>
    <xf numFmtId="0" fontId="5" fillId="0" borderId="0" xfId="0" applyNumberFormat="1" applyFont="1" applyFill="1" applyAlignment="1">
      <alignment horizontal="center" vertical="center"/>
    </xf>
    <xf numFmtId="0" fontId="0" fillId="0" borderId="0" xfId="0" applyFill="1" applyAlignment="1">
      <alignment horizontal="center"/>
    </xf>
    <xf numFmtId="0" fontId="4" fillId="0" borderId="0" xfId="0" applyFont="1" applyFill="1" applyAlignment="1">
      <alignment horizontal="left"/>
    </xf>
    <xf numFmtId="0" fontId="0" fillId="0" borderId="0" xfId="0" applyFill="1" applyAlignment="1">
      <alignment horizontal="center" vertical="center"/>
    </xf>
    <xf numFmtId="0" fontId="10" fillId="4" borderId="0" xfId="0" applyFont="1" applyFill="1" applyBorder="1" applyAlignment="1">
      <alignment horizontal="center" vertical="center"/>
    </xf>
    <xf numFmtId="0" fontId="10" fillId="4" borderId="0" xfId="0" applyFont="1" applyFill="1" applyBorder="1" applyAlignment="1">
      <alignment vertical="center"/>
    </xf>
    <xf numFmtId="0" fontId="6" fillId="5" borderId="0" xfId="1" applyFill="1" applyAlignment="1">
      <alignment vertical="center"/>
    </xf>
    <xf numFmtId="0" fontId="0" fillId="5" borderId="0" xfId="0" applyFill="1">
      <alignment vertical="center"/>
    </xf>
    <xf numFmtId="0" fontId="10" fillId="6" borderId="0" xfId="0" applyFont="1" applyFill="1" applyBorder="1" applyAlignment="1">
      <alignment horizontal="left" vertical="center" indent="3"/>
    </xf>
    <xf numFmtId="0" fontId="10" fillId="6" borderId="0" xfId="0" applyFont="1" applyFill="1" applyBorder="1" applyAlignment="1">
      <alignment horizontal="left" vertical="center" indent="1"/>
    </xf>
    <xf numFmtId="0" fontId="10" fillId="6" borderId="0" xfId="0" applyFont="1" applyFill="1" applyBorder="1" applyAlignment="1">
      <alignment horizontal="center" vertical="center"/>
    </xf>
    <xf numFmtId="0" fontId="10" fillId="5" borderId="0" xfId="0" applyFont="1" applyFill="1" applyBorder="1" applyAlignment="1">
      <alignment vertical="center"/>
    </xf>
    <xf numFmtId="0" fontId="10" fillId="6" borderId="0" xfId="0" applyFont="1" applyFill="1" applyBorder="1" applyAlignment="1">
      <alignment vertical="center"/>
    </xf>
    <xf numFmtId="0" fontId="6" fillId="2" borderId="0" xfId="3" applyFont="1" applyBorder="1" applyAlignment="1">
      <alignment horizontal="left" vertical="center" wrapText="1" indent="1"/>
    </xf>
    <xf numFmtId="0" fontId="12" fillId="4" borderId="3" xfId="0" applyFont="1" applyFill="1" applyBorder="1" applyAlignment="1">
      <alignment horizontal="center" vertical="center"/>
    </xf>
    <xf numFmtId="0" fontId="13" fillId="5" borderId="0" xfId="0" applyFont="1" applyFill="1" applyBorder="1" applyAlignment="1">
      <alignment horizontal="center" vertical="center"/>
    </xf>
    <xf numFmtId="0" fontId="6" fillId="2" borderId="0" xfId="1" applyFont="1" applyAlignment="1">
      <alignment horizontal="center" vertical="center"/>
    </xf>
    <xf numFmtId="0" fontId="6" fillId="2" borderId="0" xfId="3" applyFont="1" applyBorder="1" applyAlignment="1">
      <alignment horizontal="center" vertical="center"/>
    </xf>
    <xf numFmtId="0" fontId="7" fillId="2" borderId="0" xfId="3" applyFont="1" applyAlignment="1">
      <alignment horizontal="center" vertical="center"/>
    </xf>
    <xf numFmtId="0" fontId="14" fillId="0" borderId="0" xfId="0" applyFont="1" applyAlignment="1">
      <alignment horizontal="center" vertical="center"/>
    </xf>
    <xf numFmtId="0" fontId="6" fillId="5" borderId="0" xfId="1" applyFont="1" applyFill="1" applyAlignment="1">
      <alignment horizontal="center" vertical="center"/>
    </xf>
    <xf numFmtId="0" fontId="13" fillId="5" borderId="0" xfId="0" applyFont="1" applyFill="1" applyAlignment="1">
      <alignment horizontal="center" vertical="center"/>
    </xf>
    <xf numFmtId="0" fontId="0" fillId="0" borderId="0" xfId="0" applyAlignment="1">
      <alignment horizontal="left" vertical="center"/>
    </xf>
    <xf numFmtId="0" fontId="13" fillId="5" borderId="0" xfId="0" applyFont="1" applyFill="1" applyBorder="1" applyAlignment="1">
      <alignment horizontal="left" vertical="center"/>
    </xf>
    <xf numFmtId="0" fontId="11" fillId="0" borderId="4" xfId="0" applyFont="1" applyBorder="1" applyAlignment="1">
      <alignment horizontal="center" vertical="center"/>
    </xf>
    <xf numFmtId="0" fontId="13" fillId="5" borderId="0" xfId="0" applyFont="1" applyFill="1" applyAlignment="1">
      <alignment horizontal="left" vertical="center"/>
    </xf>
    <xf numFmtId="0" fontId="17" fillId="2" borderId="0" xfId="1" applyFont="1" applyAlignment="1">
      <alignment horizontal="center" vertical="top"/>
    </xf>
    <xf numFmtId="0" fontId="6" fillId="2" borderId="0" xfId="1" applyFont="1" applyAlignment="1">
      <alignment vertical="center"/>
    </xf>
    <xf numFmtId="0" fontId="14" fillId="2" borderId="0" xfId="0" applyFont="1" applyFill="1">
      <alignment vertical="center"/>
    </xf>
    <xf numFmtId="0" fontId="14" fillId="0" borderId="0" xfId="0" applyFont="1">
      <alignment vertical="center"/>
    </xf>
    <xf numFmtId="0" fontId="6" fillId="2" borderId="0" xfId="1" applyFont="1" applyAlignment="1">
      <alignment horizontal="left" vertical="center" indent="2"/>
    </xf>
    <xf numFmtId="0" fontId="6" fillId="2" borderId="0" xfId="1" applyFont="1" applyAlignment="1">
      <alignment horizontal="center"/>
    </xf>
    <xf numFmtId="0" fontId="6" fillId="2" borderId="0" xfId="1" applyFont="1" applyAlignment="1">
      <alignment horizontal="right" vertical="top"/>
    </xf>
    <xf numFmtId="0" fontId="19" fillId="5" borderId="0" xfId="0" applyFont="1" applyFill="1">
      <alignment vertical="center"/>
    </xf>
    <xf numFmtId="0" fontId="19" fillId="5" borderId="0" xfId="0" applyFont="1" applyFill="1" applyBorder="1">
      <alignment vertical="center"/>
    </xf>
    <xf numFmtId="0" fontId="14" fillId="0" borderId="0" xfId="0" applyFont="1" applyFill="1">
      <alignment vertical="center"/>
    </xf>
    <xf numFmtId="0" fontId="6" fillId="2" borderId="1" xfId="1" applyFont="1" applyBorder="1" applyAlignment="1">
      <alignment vertical="center"/>
    </xf>
    <xf numFmtId="0" fontId="20" fillId="4" borderId="5" xfId="0" applyFont="1" applyFill="1" applyBorder="1" applyAlignment="1">
      <alignment horizontal="left" vertical="center" indent="3"/>
    </xf>
    <xf numFmtId="0" fontId="20" fillId="4" borderId="0" xfId="0" applyFont="1" applyFill="1" applyBorder="1" applyAlignment="1">
      <alignment horizontal="left" vertical="center" indent="1"/>
    </xf>
    <xf numFmtId="0" fontId="20" fillId="4" borderId="0" xfId="0" applyFont="1" applyFill="1" applyBorder="1" applyAlignment="1">
      <alignment horizontal="center" vertical="center"/>
    </xf>
    <xf numFmtId="0" fontId="20" fillId="3" borderId="0" xfId="0" applyFont="1" applyFill="1" applyBorder="1" applyAlignment="1">
      <alignment horizontal="center" vertical="center"/>
    </xf>
    <xf numFmtId="0" fontId="22" fillId="0" borderId="0" xfId="0" applyFont="1">
      <alignment vertical="center"/>
    </xf>
    <xf numFmtId="0" fontId="0" fillId="0" borderId="0" xfId="0" applyNumberFormat="1">
      <alignment vertical="center"/>
    </xf>
    <xf numFmtId="0" fontId="15" fillId="5" borderId="0" xfId="0" applyFont="1" applyFill="1" applyAlignment="1">
      <alignment horizontal="left" vertical="center"/>
    </xf>
    <xf numFmtId="0" fontId="19" fillId="2" borderId="0" xfId="1" applyFont="1" applyAlignment="1">
      <alignment horizontal="center" vertical="center" wrapText="1"/>
    </xf>
    <xf numFmtId="0" fontId="17" fillId="2" borderId="0" xfId="1" applyFont="1" applyAlignment="1">
      <alignment horizontal="left" vertical="center" wrapText="1" indent="1" readingOrder="1"/>
    </xf>
    <xf numFmtId="0" fontId="0" fillId="0" borderId="0" xfId="0" applyFont="1" applyFill="1">
      <alignment vertical="center"/>
    </xf>
    <xf numFmtId="0" fontId="11" fillId="0" borderId="0" xfId="0" applyFont="1">
      <alignment vertical="center"/>
    </xf>
    <xf numFmtId="0" fontId="0" fillId="0" borderId="0" xfId="0" applyAlignment="1">
      <alignment horizontal="center" vertical="center"/>
    </xf>
    <xf numFmtId="0" fontId="3" fillId="0" borderId="0" xfId="2" applyFont="1" applyAlignment="1">
      <alignment horizontal="left" vertical="top" indent="1"/>
    </xf>
    <xf numFmtId="0" fontId="26" fillId="5" borderId="0" xfId="0" applyFont="1" applyFill="1" applyBorder="1" applyAlignment="1">
      <alignment horizontal="center" vertical="center"/>
    </xf>
    <xf numFmtId="0" fontId="6" fillId="2" borderId="2" xfId="3" applyFont="1" applyBorder="1" applyAlignment="1">
      <alignment horizontal="left" vertical="center" wrapText="1" indent="2"/>
    </xf>
    <xf numFmtId="0" fontId="0" fillId="0" borderId="10" xfId="0" applyBorder="1">
      <alignment vertical="center"/>
    </xf>
    <xf numFmtId="0" fontId="1" fillId="0" borderId="0" xfId="0" applyFont="1" applyFill="1" applyBorder="1" applyAlignment="1">
      <alignment horizontal="left" vertical="center" indent="1"/>
    </xf>
    <xf numFmtId="0" fontId="12" fillId="6" borderId="0" xfId="0" applyFont="1" applyFill="1" applyBorder="1" applyAlignment="1">
      <alignment horizontal="center" vertical="center"/>
    </xf>
    <xf numFmtId="0" fontId="10" fillId="5" borderId="0" xfId="0" applyFont="1" applyFill="1" applyAlignment="1">
      <alignment horizontal="center" vertical="center"/>
    </xf>
    <xf numFmtId="0" fontId="0" fillId="0" borderId="0" xfId="0" applyBorder="1" applyAlignment="1">
      <alignment vertical="center" wrapText="1"/>
    </xf>
    <xf numFmtId="0" fontId="10" fillId="0" borderId="0" xfId="0" applyFont="1">
      <alignment vertical="center"/>
    </xf>
    <xf numFmtId="0" fontId="31" fillId="0" borderId="0" xfId="0" applyFont="1" applyAlignment="1">
      <alignment horizontal="center" vertical="center"/>
    </xf>
    <xf numFmtId="0" fontId="32" fillId="0" borderId="0" xfId="0" applyFont="1" applyAlignment="1">
      <alignment horizontal="center" vertical="center"/>
    </xf>
    <xf numFmtId="0" fontId="10" fillId="0" borderId="0" xfId="0" applyFont="1" applyAlignment="1">
      <alignment horizontal="center" vertical="center"/>
    </xf>
    <xf numFmtId="0" fontId="10" fillId="0" borderId="0" xfId="0" applyFont="1" applyBorder="1" applyAlignment="1">
      <alignment horizontal="center" vertical="center"/>
    </xf>
    <xf numFmtId="0" fontId="26" fillId="5" borderId="0" xfId="2" applyFont="1" applyFill="1" applyBorder="1" applyAlignment="1">
      <alignment horizontal="center" vertical="center"/>
    </xf>
    <xf numFmtId="0" fontId="26" fillId="0" borderId="0" xfId="0" applyFont="1" applyAlignment="1">
      <alignment horizontal="center" vertical="center"/>
    </xf>
    <xf numFmtId="0" fontId="25" fillId="0" borderId="0" xfId="0" applyFont="1">
      <alignment vertical="center"/>
    </xf>
    <xf numFmtId="0" fontId="19" fillId="0" borderId="0" xfId="0" applyFont="1" applyFill="1">
      <alignment vertical="center"/>
    </xf>
    <xf numFmtId="0" fontId="12" fillId="3" borderId="3" xfId="0" applyFont="1" applyFill="1" applyBorder="1" applyAlignment="1">
      <alignment horizontal="center" vertical="center"/>
    </xf>
    <xf numFmtId="0" fontId="0" fillId="7" borderId="0" xfId="0" applyFill="1">
      <alignment vertical="center"/>
    </xf>
    <xf numFmtId="0" fontId="8" fillId="0" borderId="0" xfId="2" applyFont="1" applyFill="1" applyAlignment="1">
      <alignment horizontal="center" vertical="center"/>
    </xf>
    <xf numFmtId="0" fontId="34" fillId="0" borderId="0" xfId="0" applyFont="1" applyAlignment="1">
      <alignment horizontal="left" vertical="center" indent="3"/>
    </xf>
    <xf numFmtId="0" fontId="0" fillId="0" borderId="0" xfId="0" applyAlignment="1">
      <alignment horizontal="left" indent="1"/>
    </xf>
    <xf numFmtId="0" fontId="0" fillId="0" borderId="0" xfId="0" applyAlignment="1">
      <alignment horizontal="center"/>
    </xf>
    <xf numFmtId="0" fontId="0" fillId="5" borderId="0" xfId="0" applyFill="1" applyAlignment="1">
      <alignment vertical="top" wrapText="1"/>
    </xf>
    <xf numFmtId="0" fontId="0" fillId="0" borderId="0" xfId="0" applyBorder="1" applyAlignment="1">
      <alignment horizontal="left" vertical="center" wrapText="1"/>
    </xf>
    <xf numFmtId="0" fontId="0" fillId="0" borderId="0" xfId="0" applyBorder="1" applyAlignment="1">
      <alignment horizontal="center" vertical="center"/>
    </xf>
    <xf numFmtId="0" fontId="0" fillId="0" borderId="0" xfId="0" applyAlignment="1">
      <alignment horizontal="left" vertical="center" indent="3"/>
    </xf>
    <xf numFmtId="0" fontId="6" fillId="2" borderId="0" xfId="1" applyBorder="1" applyAlignment="1">
      <alignment horizontal="left" vertical="center" indent="2"/>
    </xf>
    <xf numFmtId="0" fontId="3" fillId="0" borderId="0" xfId="2" applyFont="1" applyAlignment="1">
      <alignment horizontal="left" vertical="top" indent="1"/>
    </xf>
    <xf numFmtId="0" fontId="6" fillId="2" borderId="0" xfId="3" quotePrefix="1" applyFont="1" applyBorder="1" applyAlignment="1">
      <alignment horizontal="left" vertical="center" wrapText="1" indent="2"/>
    </xf>
    <xf numFmtId="0" fontId="10" fillId="5" borderId="0" xfId="0" applyFont="1" applyFill="1">
      <alignment vertical="center"/>
    </xf>
    <xf numFmtId="0" fontId="6" fillId="5" borderId="0" xfId="3" quotePrefix="1" applyFont="1" applyFill="1" applyBorder="1" applyAlignment="1">
      <alignment vertical="center" wrapText="1"/>
    </xf>
    <xf numFmtId="0" fontId="0" fillId="5" borderId="0" xfId="0" applyFill="1" applyAlignment="1">
      <alignment horizontal="center" vertical="center"/>
    </xf>
    <xf numFmtId="0" fontId="0" fillId="5" borderId="0" xfId="0" applyFill="1" applyAlignment="1">
      <alignment vertical="center"/>
    </xf>
    <xf numFmtId="0" fontId="0" fillId="5" borderId="0" xfId="0" applyFill="1" applyBorder="1" applyAlignment="1">
      <alignment vertical="center" wrapText="1"/>
    </xf>
    <xf numFmtId="0" fontId="0" fillId="5" borderId="0" xfId="0" applyFill="1" applyBorder="1">
      <alignment vertical="center"/>
    </xf>
    <xf numFmtId="0" fontId="27" fillId="5" borderId="0" xfId="0" applyFont="1" applyFill="1">
      <alignment vertical="center"/>
    </xf>
    <xf numFmtId="0" fontId="0" fillId="5" borderId="0" xfId="0" quotePrefix="1" applyFill="1">
      <alignment vertical="center"/>
    </xf>
    <xf numFmtId="0" fontId="36" fillId="5" borderId="0" xfId="0" applyFont="1" applyFill="1">
      <alignment vertical="center"/>
    </xf>
    <xf numFmtId="0" fontId="0" fillId="8" borderId="0" xfId="0" applyFill="1">
      <alignment vertical="center"/>
    </xf>
    <xf numFmtId="0" fontId="10" fillId="5" borderId="0" xfId="0" applyNumberFormat="1" applyFont="1" applyFill="1" applyAlignment="1">
      <alignment horizontal="center" vertical="center"/>
    </xf>
    <xf numFmtId="0" fontId="10" fillId="9" borderId="0" xfId="0" applyFont="1" applyFill="1">
      <alignment vertical="center"/>
    </xf>
    <xf numFmtId="0" fontId="37" fillId="2" borderId="0" xfId="1" applyFont="1" applyAlignment="1">
      <alignment horizontal="center" vertical="center" wrapText="1"/>
    </xf>
    <xf numFmtId="0" fontId="16" fillId="5" borderId="12" xfId="0" applyFont="1" applyFill="1" applyBorder="1" applyAlignment="1">
      <alignment horizontal="center" vertical="center"/>
    </xf>
    <xf numFmtId="0" fontId="30" fillId="5" borderId="0" xfId="0" applyFont="1" applyFill="1" applyBorder="1" applyAlignment="1">
      <alignment horizontal="center"/>
    </xf>
    <xf numFmtId="0" fontId="24" fillId="5" borderId="0" xfId="0" applyFont="1" applyFill="1" applyBorder="1" applyAlignment="1">
      <alignment horizontal="center"/>
    </xf>
    <xf numFmtId="0" fontId="29" fillId="6" borderId="0" xfId="0" applyFont="1" applyFill="1" applyBorder="1" applyAlignment="1">
      <alignment horizontal="center"/>
    </xf>
    <xf numFmtId="0" fontId="6" fillId="2" borderId="0" xfId="3" applyFont="1" applyAlignment="1">
      <alignment horizontal="left" vertical="center" indent="2"/>
    </xf>
    <xf numFmtId="0" fontId="0" fillId="0" borderId="0" xfId="0" applyFont="1" applyFill="1" applyAlignment="1">
      <alignment horizontal="center" vertical="center"/>
    </xf>
    <xf numFmtId="0" fontId="6" fillId="2" borderId="0" xfId="1" applyBorder="1" applyAlignment="1">
      <alignment vertical="center" wrapText="1"/>
    </xf>
    <xf numFmtId="0" fontId="10" fillId="6" borderId="0" xfId="0" applyFont="1" applyFill="1" applyBorder="1">
      <alignment vertical="center"/>
    </xf>
    <xf numFmtId="0" fontId="11" fillId="5" borderId="0" xfId="0" applyFont="1" applyFill="1" applyBorder="1">
      <alignment vertical="center"/>
    </xf>
    <xf numFmtId="0" fontId="0" fillId="5" borderId="0" xfId="0" applyNumberFormat="1" applyFill="1">
      <alignment vertical="center"/>
    </xf>
    <xf numFmtId="0" fontId="6" fillId="2" borderId="0" xfId="1" applyAlignment="1">
      <alignment horizontal="center" vertical="center" wrapText="1"/>
    </xf>
    <xf numFmtId="0" fontId="6" fillId="2" borderId="2" xfId="1" applyBorder="1" applyAlignment="1">
      <alignment vertical="center" wrapText="1"/>
    </xf>
    <xf numFmtId="0" fontId="12" fillId="4" borderId="3" xfId="0" applyFont="1" applyFill="1" applyBorder="1" applyAlignment="1">
      <alignment horizontal="center" vertical="center"/>
    </xf>
    <xf numFmtId="0" fontId="0" fillId="5" borderId="0" xfId="0" applyFill="1" applyAlignment="1">
      <alignment horizontal="center" vertical="center"/>
    </xf>
    <xf numFmtId="0" fontId="38" fillId="10" borderId="0" xfId="4" applyAlignment="1">
      <alignment vertical="center"/>
    </xf>
    <xf numFmtId="0" fontId="0" fillId="5" borderId="0" xfId="0" applyFill="1" applyAlignment="1">
      <alignment horizontal="center" vertical="center"/>
    </xf>
    <xf numFmtId="0" fontId="0" fillId="5" borderId="0" xfId="0" applyFill="1" applyAlignment="1">
      <alignment horizontal="center" vertical="center"/>
    </xf>
    <xf numFmtId="0" fontId="0" fillId="5" borderId="0" xfId="0" applyFill="1" applyAlignment="1">
      <alignment horizontal="center" vertical="center"/>
    </xf>
    <xf numFmtId="0" fontId="40" fillId="5" borderId="0" xfId="0" applyFont="1" applyFill="1" applyAlignment="1">
      <alignment horizontal="right" vertical="center" wrapText="1"/>
    </xf>
    <xf numFmtId="0" fontId="0" fillId="5" borderId="0" xfId="0" applyFill="1" applyAlignment="1">
      <alignment horizontal="center" vertical="center"/>
    </xf>
    <xf numFmtId="0" fontId="0" fillId="5" borderId="0" xfId="0" applyFill="1" applyAlignment="1">
      <alignment horizontal="center" vertical="center"/>
    </xf>
    <xf numFmtId="0" fontId="0" fillId="5" borderId="0" xfId="0" applyFill="1" applyAlignment="1">
      <alignment horizontal="center" vertical="center"/>
    </xf>
    <xf numFmtId="0" fontId="0" fillId="5" borderId="0" xfId="0" applyFill="1" applyBorder="1" applyAlignment="1">
      <alignment horizontal="left" vertical="top" wrapText="1"/>
    </xf>
    <xf numFmtId="0" fontId="44" fillId="0" borderId="0" xfId="0" applyFont="1" applyAlignment="1">
      <alignment vertical="center" wrapText="1"/>
    </xf>
    <xf numFmtId="0" fontId="43" fillId="0" borderId="0" xfId="5" applyAlignment="1">
      <alignment vertical="center" wrapText="1"/>
    </xf>
    <xf numFmtId="0" fontId="0" fillId="11" borderId="0" xfId="0" applyFill="1" applyAlignment="1">
      <alignment vertical="center" wrapText="1"/>
    </xf>
    <xf numFmtId="0" fontId="43" fillId="11" borderId="0" xfId="5" applyFill="1" applyAlignment="1">
      <alignment vertical="center" wrapText="1"/>
    </xf>
    <xf numFmtId="0" fontId="23" fillId="11" borderId="0" xfId="0" applyFont="1" applyFill="1" applyAlignment="1">
      <alignment vertical="center" wrapText="1"/>
    </xf>
    <xf numFmtId="0" fontId="43" fillId="11" borderId="0" xfId="5" applyFill="1" applyAlignment="1">
      <alignment vertical="top" wrapText="1"/>
    </xf>
    <xf numFmtId="0" fontId="0" fillId="0" borderId="0" xfId="0" applyAlignment="1">
      <alignment horizontal="center" vertical="center" wrapText="1"/>
    </xf>
    <xf numFmtId="0" fontId="46" fillId="0" borderId="0" xfId="0" applyFont="1" applyAlignment="1">
      <alignment vertical="center" wrapText="1"/>
    </xf>
    <xf numFmtId="0" fontId="46" fillId="0" borderId="0" xfId="0" applyFont="1" applyAlignment="1">
      <alignment horizontal="center" vertical="center" wrapText="1"/>
    </xf>
    <xf numFmtId="0" fontId="42" fillId="0" borderId="0" xfId="0" applyFont="1" applyAlignment="1">
      <alignment vertical="top" wrapText="1"/>
    </xf>
    <xf numFmtId="0" fontId="43" fillId="0" borderId="0" xfId="5" applyAlignment="1">
      <alignment vertical="top" wrapText="1"/>
    </xf>
    <xf numFmtId="0" fontId="42" fillId="0" borderId="0" xfId="0" applyFont="1" applyAlignment="1">
      <alignment horizontal="center" vertical="top" wrapText="1"/>
    </xf>
    <xf numFmtId="0" fontId="0" fillId="5" borderId="0" xfId="0" applyFill="1" applyAlignment="1">
      <alignment horizontal="center" vertical="center"/>
    </xf>
    <xf numFmtId="0" fontId="14" fillId="5" borderId="0" xfId="0" applyFont="1" applyFill="1" applyBorder="1" applyAlignment="1">
      <alignment horizontal="center" vertical="center"/>
    </xf>
    <xf numFmtId="0" fontId="0" fillId="0" borderId="0" xfId="0" applyAlignment="1">
      <alignment horizontal="left" vertical="center" indent="2"/>
    </xf>
    <xf numFmtId="0" fontId="0" fillId="0" borderId="0" xfId="0" applyBorder="1">
      <alignment vertical="center"/>
    </xf>
    <xf numFmtId="0" fontId="25" fillId="0" borderId="0" xfId="0" applyNumberFormat="1" applyFont="1" applyAlignment="1">
      <alignment horizontal="center" vertical="center"/>
    </xf>
    <xf numFmtId="0" fontId="25" fillId="0" borderId="0" xfId="0" applyNumberFormat="1" applyFont="1">
      <alignment vertical="center"/>
    </xf>
    <xf numFmtId="0" fontId="14" fillId="0" borderId="0" xfId="0" applyNumberFormat="1" applyFont="1">
      <alignment vertical="center"/>
    </xf>
    <xf numFmtId="0" fontId="0" fillId="0" borderId="0" xfId="0" applyBorder="1" applyAlignment="1">
      <alignment vertical="center"/>
    </xf>
    <xf numFmtId="0" fontId="40" fillId="0" borderId="0" xfId="0" applyFont="1" applyBorder="1" applyAlignment="1">
      <alignment horizontal="center" vertical="center"/>
    </xf>
    <xf numFmtId="0" fontId="49" fillId="0" borderId="0" xfId="0" applyFont="1">
      <alignment vertical="center"/>
    </xf>
    <xf numFmtId="0" fontId="16" fillId="6" borderId="12" xfId="0" applyFont="1" applyFill="1" applyBorder="1" applyAlignment="1">
      <alignment horizontal="center" vertical="center"/>
    </xf>
    <xf numFmtId="0" fontId="11" fillId="0" borderId="12" xfId="0" applyFont="1" applyBorder="1" applyAlignment="1">
      <alignment horizontal="center" vertical="center"/>
    </xf>
    <xf numFmtId="0" fontId="11" fillId="5" borderId="12" xfId="0" applyFont="1" applyFill="1" applyBorder="1" applyAlignment="1">
      <alignment horizontal="center" vertical="center"/>
    </xf>
    <xf numFmtId="0" fontId="0" fillId="0" borderId="0" xfId="0" applyAlignment="1">
      <alignment horizontal="center" vertical="center"/>
    </xf>
    <xf numFmtId="0" fontId="0" fillId="5" borderId="0" xfId="0" applyFill="1" applyAlignment="1">
      <alignment horizontal="center" vertical="center"/>
    </xf>
    <xf numFmtId="0" fontId="14" fillId="0" borderId="0" xfId="0" applyNumberFormat="1" applyFont="1" applyAlignment="1">
      <alignment horizontal="center" vertical="center"/>
    </xf>
    <xf numFmtId="0" fontId="0" fillId="0" borderId="0" xfId="0" applyAlignment="1">
      <alignment horizontal="center" vertical="center"/>
    </xf>
    <xf numFmtId="0" fontId="0" fillId="5" borderId="0" xfId="0" applyFill="1" applyAlignment="1">
      <alignment horizontal="center" vertical="center"/>
    </xf>
    <xf numFmtId="0" fontId="0" fillId="5" borderId="0" xfId="0" applyFill="1" applyBorder="1" applyAlignment="1">
      <alignment vertical="top"/>
    </xf>
    <xf numFmtId="0" fontId="0" fillId="5" borderId="0" xfId="0" applyFill="1" applyAlignment="1">
      <alignment horizontal="center" vertical="center"/>
    </xf>
    <xf numFmtId="0" fontId="0" fillId="12" borderId="0" xfId="0" applyFill="1" applyAlignment="1">
      <alignment vertical="center" wrapText="1"/>
    </xf>
    <xf numFmtId="0" fontId="0" fillId="0" borderId="0" xfId="0" applyAlignment="1">
      <alignment vertical="center" wrapText="1"/>
    </xf>
    <xf numFmtId="0" fontId="51" fillId="0" borderId="0" xfId="0" applyFont="1">
      <alignment vertical="center"/>
    </xf>
    <xf numFmtId="0" fontId="51" fillId="0" borderId="0" xfId="0" applyFont="1" applyFill="1" applyAlignment="1">
      <alignment horizontal="center"/>
    </xf>
    <xf numFmtId="0" fontId="55" fillId="0" borderId="0" xfId="0" applyFont="1">
      <alignment vertical="center"/>
    </xf>
    <xf numFmtId="0" fontId="55" fillId="0" borderId="0" xfId="0" applyFont="1" applyAlignment="1">
      <alignment horizontal="left" vertical="center" indent="3"/>
    </xf>
    <xf numFmtId="0" fontId="55" fillId="0" borderId="0" xfId="0" applyFont="1" applyAlignment="1">
      <alignment horizontal="center" vertical="center"/>
    </xf>
    <xf numFmtId="0" fontId="55" fillId="0" borderId="8" xfId="0" applyFont="1" applyBorder="1" applyAlignment="1">
      <alignment horizontal="left" vertical="center" indent="3"/>
    </xf>
    <xf numFmtId="0" fontId="55" fillId="0" borderId="8" xfId="0" applyFont="1" applyBorder="1" applyAlignment="1">
      <alignment vertical="center"/>
    </xf>
    <xf numFmtId="0" fontId="55" fillId="0" borderId="8" xfId="0" applyFont="1" applyBorder="1">
      <alignment vertical="center"/>
    </xf>
    <xf numFmtId="2" fontId="55" fillId="0" borderId="8" xfId="0" applyNumberFormat="1" applyFont="1" applyBorder="1" applyAlignment="1">
      <alignment horizontal="left" vertical="center"/>
    </xf>
    <xf numFmtId="0" fontId="55" fillId="0" borderId="8" xfId="0" applyFont="1" applyBorder="1" applyAlignment="1">
      <alignment horizontal="left" vertical="center" indent="6"/>
    </xf>
    <xf numFmtId="164" fontId="55" fillId="0" borderId="0" xfId="0" applyNumberFormat="1" applyFont="1" applyAlignment="1">
      <alignment horizontal="center" vertical="center"/>
    </xf>
    <xf numFmtId="0" fontId="0" fillId="5" borderId="0" xfId="0" applyFill="1" applyBorder="1" applyAlignment="1">
      <alignment horizontal="left" vertical="top" wrapText="1"/>
    </xf>
    <xf numFmtId="0" fontId="7" fillId="2" borderId="0" xfId="1" applyFont="1" applyAlignment="1">
      <alignment vertical="center" wrapText="1"/>
    </xf>
    <xf numFmtId="0" fontId="0" fillId="5" borderId="0" xfId="0" applyFill="1" applyBorder="1" applyAlignment="1">
      <alignment vertical="top" wrapText="1"/>
    </xf>
    <xf numFmtId="0" fontId="43" fillId="5" borderId="0" xfId="5" applyFill="1" applyBorder="1" applyAlignment="1">
      <alignment horizontal="center" vertical="top" wrapText="1"/>
    </xf>
    <xf numFmtId="0" fontId="29" fillId="6" borderId="0" xfId="0" applyFont="1" applyFill="1" applyBorder="1" applyAlignment="1">
      <alignment horizontal="center"/>
    </xf>
    <xf numFmtId="0" fontId="0" fillId="5" borderId="0" xfId="0" applyFill="1" applyAlignment="1">
      <alignment horizontal="center" vertical="center"/>
    </xf>
    <xf numFmtId="0" fontId="12" fillId="4" borderId="11" xfId="0" applyFont="1" applyFill="1" applyBorder="1" applyAlignment="1">
      <alignment horizontal="left" vertical="center" indent="1"/>
    </xf>
    <xf numFmtId="0" fontId="16" fillId="6" borderId="12" xfId="0" applyFont="1" applyFill="1" applyBorder="1" applyAlignment="1">
      <alignment horizontal="left" vertical="center" indent="2"/>
    </xf>
    <xf numFmtId="0" fontId="12" fillId="3" borderId="0" xfId="0" applyFont="1" applyFill="1" applyAlignment="1">
      <alignment horizontal="center" vertical="center"/>
    </xf>
    <xf numFmtId="0" fontId="12" fillId="3" borderId="0" xfId="0" applyFont="1" applyFill="1" applyBorder="1" applyAlignment="1">
      <alignment horizontal="center" vertical="center"/>
    </xf>
    <xf numFmtId="0" fontId="12" fillId="5" borderId="0" xfId="0" applyFont="1" applyFill="1" applyAlignment="1">
      <alignment horizontal="center" vertical="center"/>
    </xf>
    <xf numFmtId="0" fontId="51" fillId="5" borderId="0" xfId="0" applyFont="1" applyFill="1" applyAlignment="1">
      <alignment vertical="center"/>
    </xf>
    <xf numFmtId="0" fontId="0" fillId="5" borderId="0" xfId="0" applyFill="1" applyAlignment="1">
      <alignment horizontal="left" vertical="center" indent="1"/>
    </xf>
    <xf numFmtId="0" fontId="8" fillId="0" borderId="0" xfId="2" applyFont="1" applyFill="1" applyAlignment="1">
      <alignment horizontal="left" vertical="center" indent="2"/>
    </xf>
    <xf numFmtId="0" fontId="0" fillId="0" borderId="0" xfId="0" applyAlignment="1">
      <alignment horizontal="center"/>
    </xf>
    <xf numFmtId="0" fontId="0" fillId="14" borderId="0" xfId="0" applyFill="1">
      <alignment vertical="center"/>
    </xf>
    <xf numFmtId="0" fontId="35" fillId="14" borderId="0" xfId="0" applyFont="1" applyFill="1" applyAlignment="1">
      <alignment horizontal="left" vertical="top" wrapText="1" indent="1"/>
    </xf>
    <xf numFmtId="0" fontId="50" fillId="14" borderId="0" xfId="0" applyFont="1" applyFill="1" applyAlignment="1">
      <alignment horizontal="left" vertical="center" wrapText="1" indent="2"/>
    </xf>
    <xf numFmtId="0" fontId="50" fillId="14" borderId="0" xfId="0" applyFont="1" applyFill="1" applyAlignment="1">
      <alignment vertical="center" wrapText="1"/>
    </xf>
    <xf numFmtId="0" fontId="13" fillId="14" borderId="0" xfId="0" applyFont="1" applyFill="1" applyAlignment="1">
      <alignment vertical="center" wrapText="1"/>
    </xf>
    <xf numFmtId="0" fontId="40" fillId="14" borderId="0" xfId="0" applyFont="1" applyFill="1" applyAlignment="1">
      <alignment horizontal="right" vertical="center" wrapText="1"/>
    </xf>
    <xf numFmtId="0" fontId="0" fillId="14" borderId="0" xfId="0" applyFill="1" applyAlignment="1">
      <alignment horizontal="center" vertical="top" wrapText="1"/>
    </xf>
    <xf numFmtId="0" fontId="48" fillId="14" borderId="0" xfId="0" applyFont="1" applyFill="1" applyBorder="1" applyAlignment="1">
      <alignment horizontal="center" vertical="top" wrapText="1"/>
    </xf>
    <xf numFmtId="0" fontId="43" fillId="14" borderId="0" xfId="5" applyFill="1" applyBorder="1" applyAlignment="1">
      <alignment vertical="top" wrapText="1"/>
    </xf>
    <xf numFmtId="0" fontId="51" fillId="14" borderId="0" xfId="0" applyFont="1" applyFill="1" applyAlignment="1">
      <alignment horizontal="left" vertical="center"/>
    </xf>
    <xf numFmtId="0" fontId="58" fillId="0" borderId="0" xfId="0" applyFont="1">
      <alignment vertical="center"/>
    </xf>
    <xf numFmtId="0" fontId="58" fillId="0" borderId="0" xfId="0" applyFont="1" applyAlignment="1">
      <alignment horizontal="center" vertical="center"/>
    </xf>
    <xf numFmtId="0" fontId="59" fillId="0" borderId="0" xfId="0" applyNumberFormat="1" applyFont="1" applyAlignment="1">
      <alignment horizontal="center" vertical="center"/>
    </xf>
    <xf numFmtId="0" fontId="59" fillId="0" borderId="0" xfId="0" applyNumberFormat="1" applyFont="1">
      <alignment vertical="center"/>
    </xf>
    <xf numFmtId="0" fontId="58" fillId="0" borderId="0" xfId="0" applyNumberFormat="1" applyFont="1">
      <alignment vertical="center"/>
    </xf>
    <xf numFmtId="0" fontId="20" fillId="4" borderId="0" xfId="0" applyFont="1" applyFill="1" applyAlignment="1">
      <alignment horizontal="center" vertical="center"/>
    </xf>
    <xf numFmtId="0" fontId="55" fillId="5" borderId="0" xfId="0" applyFont="1" applyFill="1" applyAlignment="1">
      <alignment horizontal="center" vertical="center"/>
    </xf>
    <xf numFmtId="0" fontId="55" fillId="5" borderId="0" xfId="0" applyFont="1" applyFill="1">
      <alignment vertical="center"/>
    </xf>
    <xf numFmtId="164" fontId="55" fillId="5" borderId="0" xfId="0" applyNumberFormat="1" applyFont="1" applyFill="1" applyAlignment="1">
      <alignment horizontal="center" vertical="center"/>
    </xf>
    <xf numFmtId="164" fontId="55" fillId="5" borderId="0" xfId="0" applyNumberFormat="1" applyFont="1" applyFill="1">
      <alignment vertical="center"/>
    </xf>
    <xf numFmtId="164" fontId="55" fillId="0" borderId="0" xfId="0" applyNumberFormat="1" applyFont="1" applyBorder="1" applyAlignment="1">
      <alignment horizontal="left" vertical="center"/>
    </xf>
    <xf numFmtId="0" fontId="6" fillId="2" borderId="1" xfId="1" applyFont="1" applyBorder="1" applyAlignment="1">
      <alignment horizontal="left" vertical="center"/>
    </xf>
    <xf numFmtId="0" fontId="55" fillId="0" borderId="0" xfId="0" applyFont="1" applyAlignment="1">
      <alignment horizontal="center" vertical="center"/>
    </xf>
    <xf numFmtId="0" fontId="55" fillId="0" borderId="0" xfId="0" applyFont="1" applyAlignment="1"/>
    <xf numFmtId="0" fontId="9" fillId="0" borderId="0" xfId="0" applyFont="1" applyFill="1" applyAlignment="1">
      <alignment horizontal="center"/>
    </xf>
    <xf numFmtId="0" fontId="9" fillId="0" borderId="0" xfId="0" applyFont="1" applyFill="1" applyAlignment="1">
      <alignment horizontal="center" wrapText="1"/>
    </xf>
    <xf numFmtId="0" fontId="9" fillId="0" borderId="0" xfId="0" applyFont="1" applyFill="1" applyAlignment="1"/>
    <xf numFmtId="0" fontId="36" fillId="14" borderId="0" xfId="0" applyFont="1" applyFill="1" applyAlignment="1">
      <alignment horizontal="left" vertical="center" indent="2"/>
    </xf>
    <xf numFmtId="0" fontId="14" fillId="14" borderId="0" xfId="0" applyFont="1" applyFill="1" applyAlignment="1">
      <alignment horizontal="left" vertical="center" indent="5"/>
    </xf>
    <xf numFmtId="0" fontId="13" fillId="5" borderId="0" xfId="0" applyFont="1" applyFill="1" applyBorder="1" applyAlignment="1">
      <alignment vertical="top" wrapText="1"/>
    </xf>
    <xf numFmtId="0" fontId="60" fillId="14" borderId="0" xfId="0" applyFont="1" applyFill="1" applyAlignment="1">
      <alignment horizontal="left" vertical="center" wrapText="1"/>
    </xf>
    <xf numFmtId="0" fontId="21" fillId="14" borderId="0" xfId="0" applyFont="1" applyFill="1" applyBorder="1" applyAlignment="1">
      <alignment vertical="center" wrapText="1"/>
    </xf>
    <xf numFmtId="0" fontId="61" fillId="14" borderId="0" xfId="0" applyFont="1" applyFill="1" applyAlignment="1">
      <alignment horizontal="left" vertical="center" wrapText="1"/>
    </xf>
    <xf numFmtId="0" fontId="60" fillId="14" borderId="0" xfId="0" applyFont="1" applyFill="1" applyBorder="1" applyAlignment="1">
      <alignment vertical="center" wrapText="1"/>
    </xf>
    <xf numFmtId="0" fontId="19" fillId="14" borderId="0" xfId="0" applyFont="1" applyFill="1" applyBorder="1" applyAlignment="1">
      <alignment vertical="center" wrapText="1"/>
    </xf>
    <xf numFmtId="0" fontId="62" fillId="14" borderId="0" xfId="0" applyFont="1" applyFill="1" applyAlignment="1">
      <alignment vertical="center" wrapText="1"/>
    </xf>
    <xf numFmtId="0" fontId="51" fillId="5" borderId="0" xfId="0" applyFont="1" applyFill="1" applyBorder="1" applyAlignment="1">
      <alignment vertical="top" wrapText="1"/>
    </xf>
    <xf numFmtId="0" fontId="21" fillId="14" borderId="0" xfId="0" applyFont="1" applyFill="1" applyAlignment="1">
      <alignment horizontal="right" vertical="center"/>
    </xf>
    <xf numFmtId="0" fontId="21" fillId="14" borderId="0" xfId="0" applyFont="1" applyFill="1" applyAlignment="1">
      <alignment horizontal="left" vertical="center"/>
    </xf>
    <xf numFmtId="0" fontId="51" fillId="5" borderId="0" xfId="0" applyFont="1" applyFill="1" applyBorder="1" applyAlignment="1">
      <alignment horizontal="center" vertical="top" wrapText="1"/>
    </xf>
    <xf numFmtId="0" fontId="0" fillId="5" borderId="0" xfId="0" applyFill="1" applyAlignment="1">
      <alignment horizontal="center" vertical="center"/>
    </xf>
    <xf numFmtId="0" fontId="51" fillId="5" borderId="0" xfId="0" applyFont="1" applyFill="1" applyBorder="1" applyAlignment="1">
      <alignment horizontal="left" vertical="top" wrapText="1" indent="1"/>
    </xf>
    <xf numFmtId="0" fontId="51" fillId="14" borderId="8" xfId="0" applyFont="1" applyFill="1" applyBorder="1" applyAlignment="1">
      <alignment horizontal="left" vertical="top" wrapText="1" indent="1"/>
    </xf>
    <xf numFmtId="0" fontId="51" fillId="14" borderId="0" xfId="0" applyFont="1" applyFill="1" applyBorder="1" applyAlignment="1">
      <alignment horizontal="left" vertical="top" wrapText="1" indent="1"/>
    </xf>
    <xf numFmtId="0" fontId="51" fillId="14" borderId="10" xfId="0" applyFont="1" applyFill="1" applyBorder="1" applyAlignment="1">
      <alignment horizontal="left" vertical="top" wrapText="1" indent="1"/>
    </xf>
    <xf numFmtId="0" fontId="6" fillId="2" borderId="2" xfId="1" applyBorder="1" applyAlignment="1">
      <alignment horizontal="center" vertical="center"/>
    </xf>
    <xf numFmtId="0" fontId="6" fillId="2" borderId="0" xfId="1" applyAlignment="1">
      <alignment horizontal="center" vertical="center"/>
    </xf>
    <xf numFmtId="0" fontId="53" fillId="14" borderId="8" xfId="0" applyFont="1" applyFill="1" applyBorder="1" applyAlignment="1">
      <alignment horizontal="left" vertical="top" wrapText="1" indent="1"/>
    </xf>
    <xf numFmtId="0" fontId="53" fillId="14" borderId="0" xfId="0" applyFont="1" applyFill="1" applyBorder="1" applyAlignment="1">
      <alignment horizontal="left" vertical="top" wrapText="1" indent="1"/>
    </xf>
    <xf numFmtId="0" fontId="53" fillId="14" borderId="10" xfId="0" applyFont="1" applyFill="1" applyBorder="1" applyAlignment="1">
      <alignment horizontal="left" vertical="top" wrapText="1" indent="1"/>
    </xf>
    <xf numFmtId="0" fontId="7" fillId="2" borderId="0" xfId="1" applyFont="1" applyBorder="1" applyAlignment="1">
      <alignment horizontal="left" vertical="center" wrapText="1"/>
    </xf>
    <xf numFmtId="0" fontId="51" fillId="5" borderId="0" xfId="0" applyFont="1" applyFill="1" applyBorder="1" applyAlignment="1">
      <alignment horizontal="left" vertical="top" wrapText="1"/>
    </xf>
    <xf numFmtId="0" fontId="5" fillId="0" borderId="0" xfId="0" applyFont="1" applyFill="1" applyAlignment="1">
      <alignment horizontal="left" vertical="center"/>
    </xf>
    <xf numFmtId="0" fontId="10" fillId="0" borderId="0" xfId="0" applyFont="1" applyBorder="1" applyAlignment="1">
      <alignment horizontal="center" vertical="center"/>
    </xf>
    <xf numFmtId="0" fontId="0" fillId="0" borderId="8" xfId="0" applyBorder="1" applyAlignment="1">
      <alignment horizontal="center" vertical="center"/>
    </xf>
    <xf numFmtId="0" fontId="0" fillId="0" borderId="0" xfId="0" applyBorder="1" applyAlignment="1">
      <alignment horizontal="center" vertical="center"/>
    </xf>
    <xf numFmtId="0" fontId="0" fillId="0" borderId="15" xfId="0" applyBorder="1" applyAlignment="1">
      <alignment horizontal="center" vertical="center"/>
    </xf>
    <xf numFmtId="0" fontId="0" fillId="0" borderId="14" xfId="0" applyBorder="1" applyAlignment="1">
      <alignment horizontal="center" vertical="center"/>
    </xf>
    <xf numFmtId="0" fontId="0" fillId="0" borderId="4" xfId="0" applyBorder="1" applyAlignment="1">
      <alignment horizontal="center" vertical="center"/>
    </xf>
    <xf numFmtId="0" fontId="39" fillId="0" borderId="0" xfId="0" applyFont="1" applyBorder="1" applyAlignment="1">
      <alignment horizontal="center" vertical="center"/>
    </xf>
    <xf numFmtId="0" fontId="39" fillId="0" borderId="15" xfId="0" applyFont="1" applyBorder="1" applyAlignment="1">
      <alignment horizontal="center" vertical="center"/>
    </xf>
    <xf numFmtId="0" fontId="0" fillId="0" borderId="14" xfId="0" applyBorder="1" applyAlignment="1">
      <alignment horizontal="right" vertical="center"/>
    </xf>
    <xf numFmtId="0" fontId="0" fillId="0" borderId="0" xfId="0" applyBorder="1" applyAlignment="1">
      <alignment horizontal="right" vertical="center"/>
    </xf>
    <xf numFmtId="0" fontId="0" fillId="0" borderId="8" xfId="0" applyBorder="1" applyAlignment="1">
      <alignment horizontal="right" vertical="center"/>
    </xf>
    <xf numFmtId="0" fontId="0" fillId="0" borderId="15" xfId="0" applyBorder="1" applyAlignment="1">
      <alignment horizontal="right" vertical="center"/>
    </xf>
    <xf numFmtId="0" fontId="49" fillId="0" borderId="0" xfId="0" applyFont="1" applyBorder="1" applyAlignment="1">
      <alignment horizontal="center" vertical="center"/>
    </xf>
    <xf numFmtId="0" fontId="47" fillId="0" borderId="0" xfId="0" applyFont="1" applyAlignment="1">
      <alignment horizontal="center" wrapText="1"/>
    </xf>
    <xf numFmtId="0" fontId="47" fillId="0" borderId="0" xfId="0" applyFont="1" applyAlignment="1">
      <alignment horizontal="center"/>
    </xf>
    <xf numFmtId="0" fontId="0" fillId="0" borderId="0" xfId="0" applyBorder="1" applyAlignment="1">
      <alignment horizontal="center" vertical="center" wrapText="1"/>
    </xf>
    <xf numFmtId="0" fontId="30" fillId="5" borderId="0" xfId="0" applyFont="1" applyFill="1" applyBorder="1" applyAlignment="1">
      <alignment horizontal="center" wrapText="1"/>
    </xf>
    <xf numFmtId="0" fontId="7" fillId="2" borderId="0" xfId="3" quotePrefix="1" applyBorder="1" applyAlignment="1">
      <alignment horizontal="left" vertical="center" wrapText="1" indent="1"/>
    </xf>
    <xf numFmtId="0" fontId="29" fillId="6" borderId="0" xfId="0" applyFont="1" applyFill="1" applyBorder="1" applyAlignment="1">
      <alignment horizontal="center"/>
    </xf>
    <xf numFmtId="0" fontId="51" fillId="0" borderId="8" xfId="0" applyFont="1" applyBorder="1" applyAlignment="1">
      <alignment horizontal="center" vertical="center" wrapText="1"/>
    </xf>
    <xf numFmtId="0" fontId="51" fillId="0" borderId="10" xfId="0" applyFont="1" applyBorder="1" applyAlignment="1">
      <alignment horizontal="center" vertical="center" wrapText="1"/>
    </xf>
    <xf numFmtId="0" fontId="6" fillId="2" borderId="0" xfId="3" quotePrefix="1" applyFont="1" applyBorder="1" applyAlignment="1">
      <alignment horizontal="left" vertical="center" wrapText="1" indent="2"/>
    </xf>
    <xf numFmtId="0" fontId="1" fillId="0" borderId="13" xfId="0" applyFont="1" applyFill="1" applyBorder="1" applyAlignment="1">
      <alignment horizontal="left" vertical="center" indent="1"/>
    </xf>
    <xf numFmtId="0" fontId="1" fillId="0" borderId="0" xfId="0" applyFont="1" applyFill="1" applyBorder="1" applyAlignment="1">
      <alignment horizontal="left" vertical="center" indent="1"/>
    </xf>
    <xf numFmtId="0" fontId="55" fillId="0" borderId="8" xfId="0" applyFont="1" applyBorder="1" applyAlignment="1">
      <alignment horizontal="center" vertical="center" wrapText="1"/>
    </xf>
    <xf numFmtId="0" fontId="55" fillId="0" borderId="0" xfId="0" applyFont="1" applyAlignment="1">
      <alignment horizontal="center" vertical="center"/>
    </xf>
    <xf numFmtId="0" fontId="0" fillId="0" borderId="9" xfId="0" applyFont="1" applyBorder="1" applyAlignment="1">
      <alignment horizontal="center" vertical="center" wrapText="1"/>
    </xf>
    <xf numFmtId="0" fontId="0" fillId="0" borderId="6" xfId="0" applyBorder="1" applyAlignment="1">
      <alignment horizontal="center" vertical="center"/>
    </xf>
    <xf numFmtId="0" fontId="0" fillId="0" borderId="16" xfId="0" applyBorder="1" applyAlignment="1">
      <alignment horizontal="center" vertical="center"/>
    </xf>
    <xf numFmtId="0" fontId="0" fillId="0" borderId="7" xfId="0" applyBorder="1" applyAlignment="1">
      <alignment horizontal="center" vertical="center"/>
    </xf>
    <xf numFmtId="0" fontId="0" fillId="0" borderId="0" xfId="0" applyAlignment="1">
      <alignment horizontal="center"/>
    </xf>
    <xf numFmtId="0" fontId="55" fillId="0" borderId="0" xfId="0" applyFont="1" applyAlignment="1">
      <alignment horizontal="center"/>
    </xf>
    <xf numFmtId="0" fontId="55" fillId="0" borderId="0" xfId="0" applyFont="1" applyAlignment="1">
      <alignment horizontal="left"/>
    </xf>
    <xf numFmtId="0" fontId="55" fillId="0" borderId="0" xfId="0" applyFont="1" applyAlignment="1">
      <alignment horizontal="left" vertical="center" indent="4"/>
    </xf>
    <xf numFmtId="0" fontId="55" fillId="0" borderId="4" xfId="0" applyFont="1" applyBorder="1" applyAlignment="1">
      <alignment horizontal="left" vertical="center" indent="4"/>
    </xf>
    <xf numFmtId="0" fontId="6" fillId="2" borderId="0" xfId="1" applyFont="1" applyAlignment="1">
      <alignment horizontal="center" vertical="center"/>
    </xf>
    <xf numFmtId="0" fontId="6" fillId="2" borderId="0" xfId="1" applyFont="1" applyAlignment="1">
      <alignment horizontal="left" vertical="center" indent="1"/>
    </xf>
    <xf numFmtId="0" fontId="7" fillId="2" borderId="2" xfId="3" applyFont="1" applyBorder="1" applyAlignment="1">
      <alignment horizontal="left" vertical="center" wrapText="1" indent="1"/>
    </xf>
    <xf numFmtId="0" fontId="7" fillId="2" borderId="0" xfId="3" applyFont="1" applyBorder="1" applyAlignment="1">
      <alignment horizontal="left" vertical="center" wrapText="1" indent="1"/>
    </xf>
    <xf numFmtId="0" fontId="18" fillId="0" borderId="0" xfId="2" applyFont="1" applyAlignment="1">
      <alignment horizontal="left" vertical="top" indent="1"/>
    </xf>
    <xf numFmtId="0" fontId="56" fillId="2" borderId="2" xfId="1" applyFont="1" applyBorder="1" applyAlignment="1">
      <alignment horizontal="left" vertical="center" wrapText="1" indent="1" readingOrder="1"/>
    </xf>
    <xf numFmtId="0" fontId="56" fillId="2" borderId="0" xfId="1" applyFont="1" applyAlignment="1">
      <alignment horizontal="left" vertical="center" wrapText="1" indent="1" readingOrder="1"/>
    </xf>
    <xf numFmtId="0" fontId="14" fillId="5" borderId="0" xfId="0" applyFont="1" applyFill="1" applyBorder="1" applyAlignment="1">
      <alignment horizontal="center" vertical="center" wrapText="1"/>
    </xf>
    <xf numFmtId="0" fontId="7" fillId="2" borderId="2" xfId="1" applyFont="1" applyBorder="1" applyAlignment="1">
      <alignment horizontal="left" vertical="center" indent="1" readingOrder="1"/>
    </xf>
    <xf numFmtId="0" fontId="7" fillId="2" borderId="0" xfId="1" applyFont="1" applyBorder="1" applyAlignment="1">
      <alignment horizontal="left" vertical="center" indent="1" readingOrder="1"/>
    </xf>
    <xf numFmtId="0" fontId="13" fillId="5" borderId="8" xfId="0" applyFont="1" applyFill="1" applyBorder="1" applyAlignment="1">
      <alignment horizontal="center" vertical="top" wrapText="1"/>
    </xf>
    <xf numFmtId="0" fontId="13" fillId="5" borderId="0" xfId="0" applyFont="1" applyFill="1" applyBorder="1" applyAlignment="1">
      <alignment horizontal="center" vertical="top" wrapText="1"/>
    </xf>
    <xf numFmtId="0" fontId="13" fillId="5" borderId="10" xfId="0" applyFont="1" applyFill="1" applyBorder="1" applyAlignment="1">
      <alignment horizontal="center" vertical="top" wrapText="1"/>
    </xf>
    <xf numFmtId="0" fontId="7" fillId="2" borderId="2" xfId="3" applyFont="1" applyBorder="1" applyAlignment="1">
      <alignment horizontal="left" vertical="center" wrapText="1" indent="2"/>
    </xf>
    <xf numFmtId="0" fontId="7" fillId="2" borderId="0" xfId="3" applyFont="1" applyBorder="1" applyAlignment="1">
      <alignment horizontal="left" vertical="center" wrapText="1" indent="2"/>
    </xf>
    <xf numFmtId="0" fontId="12" fillId="3" borderId="0" xfId="0" applyFont="1" applyFill="1" applyBorder="1" applyAlignment="1">
      <alignment horizontal="center" vertical="center"/>
    </xf>
    <xf numFmtId="0" fontId="16" fillId="6" borderId="6" xfId="0" applyFont="1" applyFill="1" applyBorder="1" applyAlignment="1">
      <alignment horizontal="center" vertical="center"/>
    </xf>
    <xf numFmtId="0" fontId="16" fillId="6" borderId="7" xfId="0" applyFont="1" applyFill="1" applyBorder="1" applyAlignment="1">
      <alignment horizontal="center" vertical="center"/>
    </xf>
    <xf numFmtId="0" fontId="0" fillId="0" borderId="8" xfId="0" applyBorder="1" applyAlignment="1">
      <alignment horizontal="center" vertical="center" wrapText="1"/>
    </xf>
    <xf numFmtId="0" fontId="0" fillId="0" borderId="10" xfId="0" applyBorder="1" applyAlignment="1">
      <alignment horizontal="center" vertical="center" wrapText="1"/>
    </xf>
    <xf numFmtId="0" fontId="32" fillId="13" borderId="0" xfId="0" applyFont="1" applyFill="1" applyAlignment="1">
      <alignment horizontal="center" vertical="center"/>
    </xf>
    <xf numFmtId="0" fontId="7" fillId="2" borderId="2" xfId="1" applyFont="1" applyBorder="1" applyAlignment="1">
      <alignment horizontal="left" vertical="center" wrapText="1" indent="1"/>
    </xf>
    <xf numFmtId="0" fontId="7" fillId="2" borderId="0" xfId="1" applyFont="1" applyBorder="1" applyAlignment="1">
      <alignment horizontal="left" vertical="center" wrapText="1" indent="1"/>
    </xf>
    <xf numFmtId="0" fontId="6" fillId="2" borderId="2" xfId="3" applyFont="1" applyBorder="1" applyAlignment="1">
      <alignment horizontal="left" vertical="center" indent="2"/>
    </xf>
    <xf numFmtId="0" fontId="6" fillId="2" borderId="0" xfId="3" applyFont="1" applyBorder="1" applyAlignment="1">
      <alignment horizontal="left" vertical="center" indent="2"/>
    </xf>
    <xf numFmtId="0" fontId="10" fillId="4" borderId="0" xfId="0" applyFont="1" applyFill="1" applyBorder="1" applyAlignment="1">
      <alignment horizontal="center" vertical="center"/>
    </xf>
    <xf numFmtId="0" fontId="0" fillId="0" borderId="4" xfId="0" applyBorder="1" applyAlignment="1">
      <alignment horizontal="left" vertical="center" indent="2"/>
    </xf>
    <xf numFmtId="0" fontId="3" fillId="0" borderId="0" xfId="2" applyFont="1" applyAlignment="1">
      <alignment horizontal="left" vertical="top" indent="1"/>
    </xf>
    <xf numFmtId="0" fontId="0" fillId="0" borderId="8" xfId="0" applyBorder="1" applyAlignment="1">
      <alignment horizontal="left" vertical="center" wrapText="1"/>
    </xf>
    <xf numFmtId="0" fontId="0" fillId="0" borderId="8" xfId="0" applyFill="1" applyBorder="1" applyAlignment="1">
      <alignment horizontal="center" vertical="center" wrapText="1"/>
    </xf>
    <xf numFmtId="0" fontId="0" fillId="0" borderId="0" xfId="0" applyFill="1" applyBorder="1" applyAlignment="1">
      <alignment horizontal="center" vertical="center" wrapText="1"/>
    </xf>
    <xf numFmtId="0" fontId="0" fillId="0" borderId="10" xfId="0" applyFill="1" applyBorder="1" applyAlignment="1">
      <alignment horizontal="center" vertical="center" wrapText="1"/>
    </xf>
    <xf numFmtId="0" fontId="51" fillId="5" borderId="0" xfId="0" applyFont="1" applyFill="1" applyAlignment="1">
      <alignment horizontal="left" vertical="center"/>
    </xf>
    <xf numFmtId="0" fontId="0" fillId="5" borderId="0" xfId="0" applyFill="1" applyBorder="1" applyAlignment="1">
      <alignment horizontal="center" vertical="top" wrapText="1"/>
    </xf>
    <xf numFmtId="0" fontId="0" fillId="14" borderId="0" xfId="0" applyFill="1" applyBorder="1" applyAlignment="1">
      <alignment horizontal="left" vertical="center" indent="2"/>
    </xf>
    <xf numFmtId="0" fontId="7" fillId="2" borderId="2" xfId="1" applyFont="1" applyBorder="1" applyAlignment="1">
      <alignment horizontal="left" vertical="center" wrapText="1" indent="2"/>
    </xf>
    <xf numFmtId="0" fontId="7" fillId="2" borderId="0" xfId="1" applyFont="1" applyBorder="1" applyAlignment="1">
      <alignment horizontal="left" vertical="center" wrapText="1" indent="2"/>
    </xf>
    <xf numFmtId="0" fontId="51" fillId="5" borderId="0" xfId="0" applyFont="1" applyFill="1" applyBorder="1" applyAlignment="1">
      <alignment horizontal="left" vertical="center" wrapText="1"/>
    </xf>
    <xf numFmtId="0" fontId="43" fillId="5" borderId="0" xfId="5" applyFill="1" applyBorder="1" applyAlignment="1">
      <alignment horizontal="center" vertical="top" wrapText="1"/>
    </xf>
    <xf numFmtId="0" fontId="0" fillId="5" borderId="9" xfId="0" applyFill="1" applyBorder="1" applyAlignment="1">
      <alignment horizontal="center" vertical="top"/>
    </xf>
    <xf numFmtId="0" fontId="37" fillId="2" borderId="2" xfId="1" applyFont="1" applyBorder="1" applyAlignment="1">
      <alignment horizontal="left" vertical="center" wrapText="1" indent="2"/>
    </xf>
    <xf numFmtId="0" fontId="37" fillId="2" borderId="0" xfId="1" applyFont="1" applyAlignment="1">
      <alignment horizontal="left" vertical="center" wrapText="1" indent="2"/>
    </xf>
    <xf numFmtId="0" fontId="45" fillId="0" borderId="0" xfId="0" applyFont="1" applyAlignment="1">
      <alignment vertical="center" wrapText="1"/>
    </xf>
    <xf numFmtId="0" fontId="0" fillId="0" borderId="0" xfId="0" applyAlignment="1">
      <alignment vertical="center" wrapText="1"/>
    </xf>
    <xf numFmtId="0" fontId="0" fillId="12" borderId="0" xfId="0" applyFill="1" applyAlignment="1">
      <alignment vertical="center" wrapText="1"/>
    </xf>
    <xf numFmtId="0" fontId="41" fillId="0" borderId="0" xfId="0" applyFont="1" applyAlignment="1">
      <alignment vertical="center" wrapText="1"/>
    </xf>
  </cellXfs>
  <cellStyles count="6">
    <cellStyle name="Dekorfärg3" xfId="4" builtinId="37"/>
    <cellStyle name="Hyperlänk" xfId="5" builtinId="8"/>
    <cellStyle name="Normal" xfId="0" builtinId="0" customBuiltin="1"/>
    <cellStyle name="Rubrik" xfId="1" builtinId="15" customBuiltin="1"/>
    <cellStyle name="Rubrik 1" xfId="3" builtinId="16" customBuiltin="1"/>
    <cellStyle name="Rubrik 4" xfId="2" builtinId="19"/>
  </cellStyles>
  <dxfs count="134">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numFmt numFmtId="0" formatCode="General"/>
      <fill>
        <patternFill>
          <bgColor theme="0"/>
        </patternFill>
      </fill>
    </dxf>
    <dxf>
      <numFmt numFmtId="0" formatCode="General"/>
      <fill>
        <patternFill>
          <bgColor theme="0"/>
        </patternFill>
      </fill>
    </dxf>
    <dxf>
      <numFmt numFmtId="0" formatCode="General"/>
      <fill>
        <patternFill>
          <bgColor theme="0"/>
        </patternFill>
      </fill>
    </dxf>
    <dxf>
      <fill>
        <patternFill>
          <bgColor theme="0"/>
        </patternFill>
      </fill>
    </dxf>
    <dxf>
      <font>
        <b val="0"/>
        <i val="0"/>
        <strike val="0"/>
        <condense val="0"/>
        <extend val="0"/>
        <outline val="0"/>
        <shadow val="0"/>
        <u val="none"/>
        <vertAlign val="baseline"/>
        <sz val="10"/>
        <color theme="0"/>
        <name val="Bookman Old Style"/>
        <scheme val="major"/>
      </font>
      <fill>
        <patternFill patternType="solid">
          <fgColor theme="6"/>
          <bgColor theme="0"/>
        </patternFill>
      </fill>
    </dxf>
    <dxf>
      <fill>
        <patternFill>
          <bgColor theme="8" tint="-0.249977111117893"/>
        </patternFill>
      </fill>
    </dxf>
    <dxf>
      <font>
        <color theme="0"/>
      </font>
    </dxf>
    <dxf>
      <fill>
        <patternFill>
          <bgColor rgb="FFFFC000"/>
        </patternFill>
      </fill>
    </dxf>
    <dxf>
      <font>
        <color theme="1"/>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alignment horizontal="center" readingOrder="0"/>
    </dxf>
    <dxf>
      <font>
        <b val="0"/>
        <i val="0"/>
        <strike val="0"/>
        <condense val="0"/>
        <extend val="0"/>
        <outline val="0"/>
        <shadow val="0"/>
        <u val="none"/>
        <vertAlign val="baseline"/>
        <sz val="11"/>
        <color theme="1" tint="0.24994659260841701"/>
        <name val="Century"/>
        <scheme val="none"/>
      </font>
      <fill>
        <patternFill patternType="solid">
          <fgColor indexed="64"/>
          <bgColor theme="0"/>
        </patternFill>
      </fill>
      <alignment horizontal="left" vertical="center" textRotation="0" wrapText="0" indent="0" justifyLastLine="0" shrinkToFit="0" readingOrder="0"/>
    </dxf>
    <dxf>
      <font>
        <b val="0"/>
        <i val="0"/>
        <strike val="0"/>
        <condense val="0"/>
        <extend val="0"/>
        <outline val="0"/>
        <shadow val="0"/>
        <u val="none"/>
        <vertAlign val="baseline"/>
        <sz val="11"/>
        <color theme="1" tint="0.24994659260841701"/>
        <name val="Century"/>
        <scheme val="none"/>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tint="0.24994659260841701"/>
        <name val="Century"/>
        <scheme val="none"/>
      </font>
      <fill>
        <patternFill patternType="solid">
          <fgColor indexed="64"/>
          <bgColor theme="0"/>
        </patternFill>
      </fill>
      <alignment horizontal="center" vertical="center" textRotation="0" wrapText="0" indent="0" justifyLastLine="0" shrinkToFit="0" readingOrder="0"/>
    </dxf>
    <dxf>
      <font>
        <strike val="0"/>
        <outline val="0"/>
        <shadow val="0"/>
        <u val="none"/>
        <vertAlign val="baseline"/>
        <sz val="10"/>
        <color theme="1"/>
        <name val="Century"/>
        <scheme val="none"/>
      </font>
      <alignment horizontal="center" vertical="center" textRotation="0" wrapText="0" indent="0" justifyLastLine="0" shrinkToFit="0" readingOrder="0"/>
    </dxf>
    <dxf>
      <font>
        <strike val="0"/>
        <outline val="0"/>
        <shadow val="0"/>
        <u val="none"/>
        <vertAlign val="baseline"/>
        <sz val="10"/>
        <color theme="1"/>
        <name val="Century"/>
        <scheme val="none"/>
      </font>
      <alignment horizontal="center" vertical="center" textRotation="0" wrapText="0" indent="0" justifyLastLine="0" shrinkToFit="0" readingOrder="0"/>
    </dxf>
    <dxf>
      <font>
        <strike val="0"/>
        <outline val="0"/>
        <shadow val="0"/>
        <u val="none"/>
        <vertAlign val="baseline"/>
        <sz val="10"/>
        <color theme="1"/>
        <name val="Century"/>
        <scheme val="none"/>
      </font>
      <alignment horizontal="center" vertical="center" textRotation="0" wrapText="0" indent="0" justifyLastLine="0" shrinkToFit="0" readingOrder="0"/>
    </dxf>
    <dxf>
      <font>
        <strike val="0"/>
        <outline val="0"/>
        <shadow val="0"/>
        <u val="none"/>
        <vertAlign val="baseline"/>
        <sz val="10"/>
        <color theme="1"/>
        <name val="Century"/>
        <scheme val="none"/>
      </font>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left" vertical="center" textRotation="0" wrapText="0" relativeIndent="1" justifyLastLine="0" shrinkToFit="0" readingOrder="0"/>
    </dxf>
    <dxf>
      <fill>
        <patternFill patternType="solid">
          <fgColor indexed="64"/>
          <bgColor theme="0"/>
        </patternFill>
      </fill>
      <alignment horizontal="left" vertical="center" textRotation="0" wrapText="0" relativeIndent="1" justifyLastLine="0" shrinkToFit="0" readingOrder="0"/>
    </dxf>
    <dxf>
      <fill>
        <patternFill patternType="solid">
          <fgColor indexed="64"/>
          <bgColor theme="0"/>
        </patternFill>
      </fill>
      <alignment horizontal="center" vertical="center" textRotation="0" wrapText="0" indent="0" justifyLastLine="0" shrinkToFit="0" readingOrder="0"/>
    </dxf>
    <dxf>
      <font>
        <b/>
        <i val="0"/>
        <strike val="0"/>
        <condense val="0"/>
        <extend val="0"/>
        <outline val="0"/>
        <shadow val="0"/>
        <u val="none"/>
        <vertAlign val="baseline"/>
        <sz val="10"/>
        <color theme="0"/>
        <name val="Bookman Old Style"/>
        <scheme val="major"/>
      </font>
      <fill>
        <patternFill patternType="solid">
          <fgColor indexed="64"/>
          <bgColor theme="6" tint="-0.499984740745262"/>
        </patternFill>
      </fill>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b/>
        <strike val="0"/>
        <outline val="0"/>
        <shadow val="0"/>
        <u val="none"/>
        <vertAlign val="baseline"/>
        <sz val="10"/>
        <color theme="0"/>
        <name val="Bookman Old Style"/>
        <scheme val="major"/>
      </font>
      <fill>
        <patternFill patternType="solid">
          <fgColor indexed="64"/>
          <bgColor theme="6" tint="-0.499984740745262"/>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alignment horizontal="center" vertical="center" textRotation="0" wrapText="0" indent="0" justifyLastLine="0" shrinkToFit="0" readingOrder="0"/>
    </dxf>
    <dxf>
      <alignment horizontal="left" vertical="center" textRotation="0" wrapText="0" indent="1"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1" justifyLastLine="0" shrinkToFit="0" readingOrder="0"/>
    </dxf>
    <dxf>
      <alignment horizontal="left" vertical="bottom" textRotation="0" wrapText="0" indent="1" justifyLastLine="0" shrinkToFit="0" readingOrder="0"/>
    </dxf>
    <dxf>
      <alignment horizontal="left" vertical="center" textRotation="0" wrapText="0" indent="1" justifyLastLine="0" shrinkToFit="0" readingOrder="0"/>
    </dxf>
    <dxf>
      <alignment horizontal="left" vertical="center" textRotation="0" wrapText="0" indent="1" justifyLastLine="0" shrinkToFit="0" readingOrder="0"/>
    </dxf>
    <dxf>
      <font>
        <strike val="0"/>
        <outline val="0"/>
        <shadow val="0"/>
        <u val="none"/>
        <vertAlign val="baseline"/>
        <sz val="10"/>
        <color theme="1" tint="0.24994659260841701"/>
        <name val="Marlett"/>
        <scheme val="none"/>
      </font>
      <alignment horizontal="left" vertical="center" textRotation="0" wrapText="0" indent="3" justifyLastLine="0" shrinkToFit="0" readingOrder="0"/>
    </dxf>
    <dxf>
      <alignment horizontal="left" vertical="center" textRotation="0" wrapText="0" indent="3" justifyLastLine="0" shrinkToFit="0" readingOrder="0"/>
    </dxf>
    <dxf>
      <alignment horizontal="left" vertical="center" textRotation="0" wrapText="0" indent="3" justifyLastLine="0" shrinkToFit="0" readingOrder="0"/>
    </dxf>
    <dxf>
      <alignment vertical="center" textRotation="0" wrapText="0" indent="0" justifyLastLine="0" shrinkToFit="0" readingOrder="0"/>
    </dxf>
    <dxf>
      <font>
        <b val="0"/>
        <i val="0"/>
        <strike val="0"/>
        <condense val="0"/>
        <extend val="0"/>
        <outline val="0"/>
        <shadow val="0"/>
        <u val="none"/>
        <vertAlign val="baseline"/>
        <sz val="10"/>
        <color theme="1" tint="0.24994659260841701"/>
        <name val="Century"/>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Century"/>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Century"/>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Century"/>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Century"/>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Century"/>
        <scheme val="none"/>
      </font>
      <numFmt numFmtId="0" formatCode="General"/>
      <alignment horizontal="center" vertical="center" textRotation="0" wrapText="0" indent="0" justifyLastLine="0" shrinkToFit="0" readingOrder="0"/>
    </dxf>
    <dxf>
      <font>
        <b/>
        <i val="0"/>
        <strike val="0"/>
        <condense val="0"/>
        <extend val="0"/>
        <outline val="0"/>
        <shadow val="0"/>
        <u val="none"/>
        <vertAlign val="baseline"/>
        <sz val="10"/>
        <color theme="0"/>
        <name val="Century"/>
        <scheme val="none"/>
      </font>
      <fill>
        <patternFill patternType="solid">
          <fgColor theme="6"/>
          <bgColor theme="6" tint="-0.499984740745262"/>
        </patternFill>
      </fill>
      <alignment horizontal="left" vertical="center" textRotation="0" wrapText="0" indent="1" justifyLastLine="0" shrinkToFit="0" readingOrder="0"/>
      <border diagonalUp="0" diagonalDown="0" outline="0">
        <left/>
        <right/>
        <top/>
        <bottom/>
      </border>
    </dxf>
    <dxf>
      <font>
        <b val="0"/>
        <i val="0"/>
        <strike val="0"/>
        <condense val="0"/>
        <extend val="0"/>
        <outline val="0"/>
        <shadow val="0"/>
        <u val="none"/>
        <vertAlign val="baseline"/>
        <sz val="10"/>
        <color theme="1" tint="0.24994659260841701"/>
        <name val="Century"/>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Century"/>
        <scheme val="none"/>
      </font>
    </dxf>
    <dxf>
      <font>
        <b val="0"/>
        <i val="0"/>
        <strike val="0"/>
        <condense val="0"/>
        <extend val="0"/>
        <outline val="0"/>
        <shadow val="0"/>
        <u val="none"/>
        <vertAlign val="baseline"/>
        <sz val="10"/>
        <color theme="1" tint="0.24994659260841701"/>
        <name val="Century"/>
        <scheme val="none"/>
      </font>
    </dxf>
    <dxf>
      <font>
        <b val="0"/>
        <i val="0"/>
        <strike val="0"/>
        <condense val="0"/>
        <extend val="0"/>
        <outline val="0"/>
        <shadow val="0"/>
        <u val="none"/>
        <vertAlign val="baseline"/>
        <sz val="10"/>
        <color theme="1" tint="0.24994659260841701"/>
        <name val="Century"/>
        <scheme val="none"/>
      </font>
    </dxf>
    <dxf>
      <font>
        <b val="0"/>
        <i val="0"/>
        <strike val="0"/>
        <condense val="0"/>
        <extend val="0"/>
        <outline val="0"/>
        <shadow val="0"/>
        <u val="none"/>
        <vertAlign val="baseline"/>
        <sz val="10"/>
        <color theme="1" tint="0.24994659260841701"/>
        <name val="Century"/>
        <scheme val="none"/>
      </font>
    </dxf>
    <dxf>
      <font>
        <b val="0"/>
        <i val="0"/>
        <strike val="0"/>
        <condense val="0"/>
        <extend val="0"/>
        <outline val="0"/>
        <shadow val="0"/>
        <u val="none"/>
        <vertAlign val="baseline"/>
        <sz val="10"/>
        <color theme="1" tint="0.24994659260841701"/>
        <name val="Century"/>
        <scheme val="none"/>
      </font>
    </dxf>
    <dxf>
      <font>
        <b val="0"/>
        <i val="0"/>
        <strike val="0"/>
        <condense val="0"/>
        <extend val="0"/>
        <outline val="0"/>
        <shadow val="0"/>
        <u val="none"/>
        <vertAlign val="baseline"/>
        <sz val="10"/>
        <color theme="1" tint="0.24994659260841701"/>
        <name val="Century"/>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Century"/>
        <scheme val="none"/>
      </font>
    </dxf>
    <dxf>
      <font>
        <b val="0"/>
        <i val="0"/>
        <strike val="0"/>
        <condense val="0"/>
        <extend val="0"/>
        <outline val="0"/>
        <shadow val="0"/>
        <u val="none"/>
        <vertAlign val="baseline"/>
        <sz val="10"/>
        <color theme="1" tint="0.24994659260841701"/>
        <name val="Century"/>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Century"/>
        <scheme val="none"/>
      </font>
    </dxf>
    <dxf>
      <font>
        <b val="0"/>
        <i val="0"/>
        <strike val="0"/>
        <condense val="0"/>
        <extend val="0"/>
        <outline val="0"/>
        <shadow val="0"/>
        <u val="none"/>
        <vertAlign val="baseline"/>
        <sz val="10"/>
        <color theme="1" tint="0.24994659260841701"/>
        <name val="Century"/>
        <scheme val="none"/>
      </font>
    </dxf>
    <dxf>
      <border outline="0">
        <top style="thin">
          <color theme="8" tint="0.39997558519241921"/>
        </top>
      </border>
    </dxf>
    <dxf>
      <font>
        <b val="0"/>
        <i val="0"/>
        <strike val="0"/>
        <condense val="0"/>
        <extend val="0"/>
        <outline val="0"/>
        <shadow val="0"/>
        <u val="none"/>
        <vertAlign val="baseline"/>
        <sz val="10"/>
        <color theme="1" tint="0.24994659260841701"/>
        <name val="Century"/>
        <scheme val="none"/>
      </font>
      <alignment horizontal="center" vertical="center" textRotation="0" wrapText="0" indent="0" justifyLastLine="0" shrinkToFit="0" readingOrder="0"/>
    </dxf>
    <dxf>
      <font>
        <b/>
        <i val="0"/>
        <strike val="0"/>
        <condense val="0"/>
        <extend val="0"/>
        <outline val="0"/>
        <shadow val="0"/>
        <u val="none"/>
        <vertAlign val="baseline"/>
        <sz val="10"/>
        <color theme="0"/>
        <name val="Century"/>
        <scheme val="none"/>
      </font>
      <fill>
        <patternFill patternType="solid">
          <fgColor theme="6"/>
          <bgColor theme="6" tint="-0.499984740745262"/>
        </patternFill>
      </fill>
      <alignment horizontal="center" vertical="center" textRotation="0" wrapText="0" indent="0" justifyLastLine="0" shrinkToFit="0" readingOrder="0"/>
    </dxf>
    <dxf>
      <font>
        <strike val="0"/>
        <outline val="0"/>
        <shadow val="0"/>
        <u val="none"/>
        <vertAlign val="baseline"/>
        <name val="Century"/>
        <scheme val="none"/>
      </font>
      <numFmt numFmtId="0" formatCode="General"/>
    </dxf>
    <dxf>
      <font>
        <strike val="0"/>
        <outline val="0"/>
        <shadow val="0"/>
        <u val="none"/>
        <vertAlign val="baseline"/>
        <name val="Century"/>
        <scheme val="none"/>
      </font>
      <numFmt numFmtId="0" formatCode="General"/>
    </dxf>
    <dxf>
      <font>
        <strike val="0"/>
        <outline val="0"/>
        <shadow val="0"/>
        <u val="none"/>
        <vertAlign val="baseline"/>
        <name val="Century"/>
        <scheme val="none"/>
      </font>
      <numFmt numFmtId="0" formatCode="General"/>
    </dxf>
    <dxf>
      <font>
        <strike val="0"/>
        <outline val="0"/>
        <shadow val="0"/>
        <u val="none"/>
        <vertAlign val="baseline"/>
        <name val="Century"/>
        <scheme val="none"/>
      </font>
      <numFmt numFmtId="0" formatCode="General"/>
    </dxf>
    <dxf>
      <font>
        <strike val="0"/>
        <outline val="0"/>
        <shadow val="0"/>
        <u val="none"/>
        <vertAlign val="baseline"/>
        <name val="Century"/>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Century"/>
        <scheme val="none"/>
      </font>
      <alignment horizontal="center" vertical="center" textRotation="0" wrapText="0" indent="0" justifyLastLine="0" shrinkToFit="0" readingOrder="0"/>
    </dxf>
    <dxf>
      <font>
        <strike val="0"/>
        <outline val="0"/>
        <shadow val="0"/>
        <u val="none"/>
        <vertAlign val="baseline"/>
        <name val="Century"/>
        <scheme val="none"/>
      </font>
      <alignment horizontal="center" vertical="center" textRotation="0" wrapText="0" indent="0" justifyLastLine="0" shrinkToFit="0" readingOrder="0"/>
    </dxf>
    <dxf>
      <font>
        <strike val="0"/>
        <outline val="0"/>
        <shadow val="0"/>
        <u val="none"/>
        <vertAlign val="baseline"/>
        <name val="Century"/>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Century"/>
        <scheme val="none"/>
      </font>
      <alignment horizontal="center" vertical="center" textRotation="0" wrapText="0" indent="0" justifyLastLine="0" shrinkToFit="0" readingOrder="0"/>
    </dxf>
    <dxf>
      <font>
        <strike val="0"/>
        <outline val="0"/>
        <shadow val="0"/>
        <u val="none"/>
        <vertAlign val="baseline"/>
        <name val="Century"/>
        <scheme val="none"/>
      </font>
      <alignment horizontal="center" vertical="center" textRotation="0" wrapText="0" indent="0" justifyLastLine="0" shrinkToFit="0" readingOrder="0"/>
    </dxf>
    <dxf>
      <font>
        <strike val="0"/>
        <outline val="0"/>
        <shadow val="0"/>
        <u val="none"/>
        <vertAlign val="baseline"/>
        <name val="Century"/>
        <scheme val="none"/>
      </font>
    </dxf>
    <dxf>
      <font>
        <strike val="0"/>
        <outline val="0"/>
        <shadow val="0"/>
        <u val="none"/>
        <vertAlign val="baseline"/>
        <name val="Century"/>
        <scheme val="none"/>
      </font>
    </dxf>
    <dxf>
      <font>
        <strike val="0"/>
        <outline val="0"/>
        <shadow val="0"/>
        <u val="none"/>
        <vertAlign val="baseline"/>
        <name val="Century"/>
        <scheme val="none"/>
      </font>
    </dxf>
    <dxf>
      <font>
        <b val="0"/>
        <i val="0"/>
        <strike val="0"/>
        <condense val="0"/>
        <extend val="0"/>
        <outline val="0"/>
        <shadow val="0"/>
        <u val="none"/>
        <vertAlign val="baseline"/>
        <sz val="10"/>
        <color theme="1" tint="0.24994659260841701"/>
        <name val="Century"/>
        <scheme val="none"/>
      </font>
      <alignment horizontal="center" vertical="center" textRotation="0" wrapText="0" indent="0" justifyLastLine="0" shrinkToFit="0" readingOrder="0"/>
    </dxf>
    <dxf>
      <font>
        <strike val="0"/>
        <outline val="0"/>
        <shadow val="0"/>
        <u val="none"/>
        <vertAlign val="baseline"/>
        <name val="Century"/>
        <scheme val="none"/>
      </font>
    </dxf>
    <dxf>
      <border outline="0">
        <top style="thin">
          <color theme="8" tint="0.39997558519241921"/>
        </top>
      </border>
    </dxf>
    <dxf>
      <font>
        <strike val="0"/>
        <outline val="0"/>
        <shadow val="0"/>
        <u val="none"/>
        <vertAlign val="baseline"/>
        <name val="Century"/>
        <scheme val="none"/>
      </font>
    </dxf>
    <dxf>
      <font>
        <strike val="0"/>
        <outline val="0"/>
        <shadow val="0"/>
        <u val="none"/>
        <vertAlign val="baseline"/>
        <name val="Century"/>
        <scheme val="none"/>
      </font>
    </dxf>
    <dxf>
      <font>
        <b val="0"/>
        <i val="0"/>
        <strike val="0"/>
        <condense val="0"/>
        <extend val="0"/>
        <outline val="0"/>
        <shadow val="0"/>
        <u val="none"/>
        <vertAlign val="baseline"/>
        <sz val="10"/>
        <color theme="1" tint="0.24994659260841701"/>
        <name val="Bookman Old Style"/>
        <scheme val="major"/>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color theme="1" tint="0.24994659260841701"/>
        <name val="Bookman Old Style"/>
        <scheme val="maj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Bookman Old Style"/>
        <scheme val="major"/>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color theme="1" tint="0.24994659260841701"/>
        <name val="Bookman Old Style"/>
        <scheme val="maj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Bookman Old Style"/>
        <scheme val="maj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Bookman Old Style"/>
        <scheme val="maj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Bookman Old Style"/>
        <scheme val="major"/>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color theme="1" tint="0.24994659260841701"/>
        <name val="Bookman Old Style"/>
        <scheme val="maj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Bookman Old Style"/>
        <scheme val="major"/>
      </font>
      <fill>
        <patternFill patternType="none">
          <fgColor indexed="64"/>
          <bgColor indexed="65"/>
        </patternFill>
      </fill>
      <alignment horizontal="general" vertical="center" textRotation="0" wrapText="0" indent="0" justifyLastLine="0" shrinkToFit="0" readingOrder="0"/>
    </dxf>
    <dxf>
      <font>
        <strike val="0"/>
        <outline val="0"/>
        <shadow val="0"/>
        <u val="none"/>
        <vertAlign val="baseline"/>
        <sz val="10"/>
        <color theme="1" tint="0.24994659260841701"/>
        <name val="Bookman Old Style"/>
        <scheme val="major"/>
      </font>
      <fill>
        <patternFill patternType="none">
          <fgColor indexed="64"/>
          <bgColor auto="1"/>
        </patternFill>
      </fill>
    </dxf>
    <dxf>
      <font>
        <strike val="0"/>
        <outline val="0"/>
        <shadow val="0"/>
        <u val="none"/>
        <vertAlign val="baseline"/>
        <sz val="10"/>
        <color theme="1" tint="0.24994659260841701"/>
        <name val="Bookman Old Style"/>
        <scheme val="major"/>
      </font>
      <fill>
        <patternFill patternType="none">
          <fgColor indexed="64"/>
          <bgColor auto="1"/>
        </patternFill>
      </fill>
    </dxf>
    <dxf>
      <font>
        <strike val="0"/>
        <outline val="0"/>
        <shadow val="0"/>
        <u val="none"/>
        <vertAlign val="baseline"/>
        <sz val="10"/>
        <color theme="1" tint="0.24994659260841701"/>
        <name val="Bookman Old Style"/>
        <scheme val="major"/>
      </font>
      <fill>
        <patternFill patternType="none">
          <fgColor indexed="64"/>
          <bgColor auto="1"/>
        </patternFill>
      </fill>
    </dxf>
    <dxf>
      <font>
        <strike val="0"/>
        <outline val="0"/>
        <shadow val="0"/>
        <u val="none"/>
        <vertAlign val="baseline"/>
        <sz val="10"/>
        <color theme="1" tint="0.24994659260841701"/>
        <name val="Franklin Gothic Medium"/>
        <scheme val="minor"/>
      </font>
      <fill>
        <patternFill patternType="none">
          <fgColor indexed="64"/>
          <bgColor auto="1"/>
        </patternFill>
      </fill>
      <alignment vertical="center" textRotation="0" wrapText="0" indent="0" justifyLastLine="0" shrinkToFit="0" readingOrder="0"/>
    </dxf>
    <dxf>
      <fill>
        <patternFill>
          <bgColor theme="0" tint="-4.9989318521683403E-2"/>
        </patternFill>
      </fill>
    </dxf>
    <dxf>
      <font>
        <color theme="0"/>
      </font>
      <fill>
        <patternFill>
          <bgColor theme="6" tint="-0.499984740745262"/>
        </patternFill>
      </fill>
    </dxf>
    <dxf>
      <font>
        <color theme="0"/>
      </font>
      <fill>
        <patternFill>
          <bgColor theme="6" tint="-0.499984740745262"/>
        </patternFill>
      </fill>
    </dxf>
    <dxf>
      <font>
        <b/>
        <i val="0"/>
        <color theme="1" tint="0.24994659260841701"/>
      </font>
    </dxf>
    <dxf>
      <font>
        <b val="0"/>
        <i val="0"/>
      </font>
      <border diagonalUp="0" diagonalDown="0">
        <left/>
        <right/>
        <top/>
        <bottom/>
        <vertical/>
        <horizontal/>
      </border>
    </dxf>
    <dxf>
      <border>
        <horizontal style="thin">
          <color theme="6" tint="-0.499984740745262"/>
        </horizontal>
      </border>
    </dxf>
    <dxf>
      <fill>
        <patternFill>
          <bgColor theme="0" tint="-4.9989318521683403E-2"/>
        </patternFill>
      </fill>
      <border diagonalUp="0" diagonalDown="0">
        <left/>
        <right/>
        <top/>
        <bottom/>
        <vertical/>
        <horizontal/>
      </border>
    </dxf>
    <dxf>
      <font>
        <color theme="0"/>
      </font>
      <fill>
        <patternFill patternType="solid">
          <fgColor theme="6"/>
          <bgColor theme="6" tint="-0.499984740745262"/>
        </patternFill>
      </fill>
    </dxf>
    <dxf>
      <font>
        <color theme="1"/>
      </font>
      <border diagonalUp="0" diagonalDown="0">
        <left/>
        <right/>
        <top/>
        <bottom/>
        <vertical/>
        <horizontal/>
      </border>
    </dxf>
  </dxfs>
  <tableStyles count="3" defaultTableStyle="Course Listing" defaultPivotStyle="Semester Summary">
    <tableStyle name="Course Listing" pivot="0" count="3">
      <tableStyleElement type="wholeTable" dxfId="133"/>
      <tableStyleElement type="headerRow" dxfId="132"/>
      <tableStyleElement type="secondRowStripe" dxfId="131"/>
    </tableStyle>
    <tableStyle name="Credit Requirements Summary" pivot="0" count="3">
      <tableStyleElement type="wholeTable" dxfId="130"/>
      <tableStyleElement type="headerRow" dxfId="129"/>
      <tableStyleElement type="totalRow" dxfId="128"/>
    </tableStyle>
    <tableStyle name="Semester Summary" table="0" count="3">
      <tableStyleElement type="headerRow" dxfId="127"/>
      <tableStyleElement type="totalRow" dxfId="126"/>
      <tableStyleElement type="secondRowStripe" dxfId="125"/>
    </tableStyle>
  </tableStyles>
  <colors>
    <mruColors>
      <color rgb="FF99FF33"/>
      <color rgb="FF99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powerPivotData" Target="model/item.data"/><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sv-S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75000"/>
                    <a:lumOff val="25000"/>
                  </a:schemeClr>
                </a:solidFill>
                <a:latin typeface="+mn-lt"/>
                <a:ea typeface="+mn-ea"/>
                <a:cs typeface="+mn-cs"/>
              </a:defRPr>
            </a:pPr>
            <a:r>
              <a:rPr lang="en-US" sz="1100">
                <a:solidFill>
                  <a:schemeClr val="tx1">
                    <a:lumMod val="75000"/>
                    <a:lumOff val="25000"/>
                  </a:schemeClr>
                </a:solidFill>
              </a:rPr>
              <a:t>SAMMANFATTNING AV TERMINER</a:t>
            </a:r>
          </a:p>
        </c:rich>
      </c:tx>
      <c:layout>
        <c:manualLayout>
          <c:xMode val="edge"/>
          <c:yMode val="edge"/>
          <c:x val="8.3098968145244884E-3"/>
          <c:y val="3.5650623885918005E-2"/>
        </c:manualLayout>
      </c:layout>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Sammanställning!$N$22</c:f>
              <c:strCache>
                <c:ptCount val="1"/>
                <c:pt idx="0">
                  <c:v>Högskolepoäng</c:v>
                </c:pt>
              </c:strCache>
            </c:strRef>
          </c:tx>
          <c:spPr>
            <a:solidFill>
              <a:schemeClr val="accent1"/>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Sammanställning!$R$23:$R$32</c:f>
              <c:strCache>
                <c:ptCount val="10"/>
                <c:pt idx="0">
                  <c:v>Termin 1</c:v>
                </c:pt>
                <c:pt idx="1">
                  <c:v>Termin 2</c:v>
                </c:pt>
                <c:pt idx="2">
                  <c:v>Termin 3</c:v>
                </c:pt>
                <c:pt idx="3">
                  <c:v>Termin 4</c:v>
                </c:pt>
                <c:pt idx="4">
                  <c:v>Termin 5</c:v>
                </c:pt>
                <c:pt idx="5">
                  <c:v>Termin 6</c:v>
                </c:pt>
                <c:pt idx="6">
                  <c:v>Termin 7</c:v>
                </c:pt>
                <c:pt idx="7">
                  <c:v>Termin 8</c:v>
                </c:pt>
                <c:pt idx="8">
                  <c:v>Termin 9</c:v>
                </c:pt>
                <c:pt idx="9">
                  <c:v>Termin 10</c:v>
                </c:pt>
              </c:strCache>
            </c:strRef>
          </c:cat>
          <c:val>
            <c:numRef>
              <c:f>Sammanställning!$N$23:$N$32</c:f>
              <c:numCache>
                <c:formatCode>General</c:formatCode>
                <c:ptCount val="10"/>
                <c:pt idx="0">
                  <c:v>24</c:v>
                </c:pt>
                <c:pt idx="1">
                  <c:v>20</c:v>
                </c:pt>
                <c:pt idx="2">
                  <c:v>16</c:v>
                </c:pt>
                <c:pt idx="3">
                  <c:v>0</c:v>
                </c:pt>
                <c:pt idx="4">
                  <c:v>0</c:v>
                </c:pt>
                <c:pt idx="5">
                  <c:v>4</c:v>
                </c:pt>
                <c:pt idx="6">
                  <c:v>24</c:v>
                </c:pt>
                <c:pt idx="7">
                  <c:v>10</c:v>
                </c:pt>
                <c:pt idx="8">
                  <c:v>6</c:v>
                </c:pt>
                <c:pt idx="9">
                  <c:v>0</c:v>
                </c:pt>
              </c:numCache>
            </c:numRef>
          </c:val>
        </c:ser>
        <c:ser>
          <c:idx val="1"/>
          <c:order val="1"/>
          <c:tx>
            <c:strRef>
              <c:f>Sammanställning!$L$22</c:f>
              <c:strCache>
                <c:ptCount val="1"/>
                <c:pt idx="0">
                  <c:v>Antal kurser</c:v>
                </c:pt>
              </c:strCache>
            </c:strRef>
          </c:tx>
          <c:spPr>
            <a:solidFill>
              <a:schemeClr val="accent2"/>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Sammanställning!$R$23:$R$32</c:f>
              <c:strCache>
                <c:ptCount val="10"/>
                <c:pt idx="0">
                  <c:v>Termin 1</c:v>
                </c:pt>
                <c:pt idx="1">
                  <c:v>Termin 2</c:v>
                </c:pt>
                <c:pt idx="2">
                  <c:v>Termin 3</c:v>
                </c:pt>
                <c:pt idx="3">
                  <c:v>Termin 4</c:v>
                </c:pt>
                <c:pt idx="4">
                  <c:v>Termin 5</c:v>
                </c:pt>
                <c:pt idx="5">
                  <c:v>Termin 6</c:v>
                </c:pt>
                <c:pt idx="6">
                  <c:v>Termin 7</c:v>
                </c:pt>
                <c:pt idx="7">
                  <c:v>Termin 8</c:v>
                </c:pt>
                <c:pt idx="8">
                  <c:v>Termin 9</c:v>
                </c:pt>
                <c:pt idx="9">
                  <c:v>Termin 10</c:v>
                </c:pt>
              </c:strCache>
            </c:strRef>
          </c:cat>
          <c:val>
            <c:numRef>
              <c:f>Sammanställning!$L$23:$L$32</c:f>
              <c:numCache>
                <c:formatCode>General</c:formatCode>
                <c:ptCount val="10"/>
                <c:pt idx="0">
                  <c:v>3</c:v>
                </c:pt>
                <c:pt idx="1">
                  <c:v>3</c:v>
                </c:pt>
                <c:pt idx="2">
                  <c:v>2</c:v>
                </c:pt>
                <c:pt idx="3">
                  <c:v>0</c:v>
                </c:pt>
                <c:pt idx="4">
                  <c:v>0</c:v>
                </c:pt>
                <c:pt idx="5">
                  <c:v>1</c:v>
                </c:pt>
                <c:pt idx="6">
                  <c:v>3</c:v>
                </c:pt>
                <c:pt idx="7">
                  <c:v>2</c:v>
                </c:pt>
                <c:pt idx="8">
                  <c:v>1</c:v>
                </c:pt>
                <c:pt idx="9">
                  <c:v>0</c:v>
                </c:pt>
              </c:numCache>
            </c:numRef>
          </c:val>
        </c:ser>
        <c:dLbls>
          <c:dLblPos val="outEnd"/>
          <c:showLegendKey val="0"/>
          <c:showVal val="1"/>
          <c:showCatName val="0"/>
          <c:showSerName val="0"/>
          <c:showPercent val="0"/>
          <c:showBubbleSize val="0"/>
        </c:dLbls>
        <c:gapWidth val="150"/>
        <c:overlap val="-45"/>
        <c:axId val="341044336"/>
        <c:axId val="347463424"/>
      </c:barChart>
      <c:catAx>
        <c:axId val="341044336"/>
        <c:scaling>
          <c:orientation val="maxMin"/>
        </c:scaling>
        <c:delete val="0"/>
        <c:axPos val="l"/>
        <c:majorGridlines>
          <c:spPr>
            <a:ln w="9525" cap="flat" cmpd="sng" algn="ctr">
              <a:solidFill>
                <a:schemeClr val="accent3">
                  <a:lumMod val="50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7463424"/>
        <c:crosses val="autoZero"/>
        <c:auto val="1"/>
        <c:lblAlgn val="ctr"/>
        <c:lblOffset val="100"/>
        <c:noMultiLvlLbl val="0"/>
      </c:catAx>
      <c:valAx>
        <c:axId val="347463424"/>
        <c:scaling>
          <c:orientation val="minMax"/>
        </c:scaling>
        <c:delete val="1"/>
        <c:axPos val="t"/>
        <c:numFmt formatCode="General" sourceLinked="1"/>
        <c:majorTickMark val="none"/>
        <c:minorTickMark val="none"/>
        <c:tickLblPos val="nextTo"/>
        <c:crossAx val="341044336"/>
        <c:crosses val="autoZero"/>
        <c:crossBetween val="between"/>
      </c:valAx>
      <c:spPr>
        <a:noFill/>
        <a:ln>
          <a:noFill/>
        </a:ln>
        <a:effectLst/>
      </c:spPr>
    </c:plotArea>
    <c:legend>
      <c:legendPos val="r"/>
      <c:layout>
        <c:manualLayout>
          <c:xMode val="edge"/>
          <c:yMode val="edge"/>
          <c:x val="0.83523686588356783"/>
          <c:y val="0.21693081713954399"/>
          <c:w val="0.16268563203793074"/>
          <c:h val="0.1955386270859309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a:outerShdw blurRad="50800" dist="50800" dir="5400000" algn="ctr" rotWithShape="0">
        <a:srgbClr val="000000">
          <a:alpha val="0"/>
        </a:srgbClr>
      </a:outerShdw>
    </a:effectLst>
  </c:spPr>
  <c:txPr>
    <a:bodyPr/>
    <a:lstStyle/>
    <a:p>
      <a:pPr>
        <a:defRPr/>
      </a:pPr>
      <a:endParaRPr lang="en-US"/>
    </a:p>
  </c:txPr>
  <c:printSettings>
    <c:headerFooter/>
    <c:pageMargins b="0.75" l="0.7" r="0.7" t="0.75" header="0.3" footer="0.3"/>
    <c:pageSetup/>
  </c:printSettings>
  <c:userShapes r:id="rId3"/>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Label" lockText="1"/>
</file>

<file path=xl/ctrlProps/ctrlProp2.xml><?xml version="1.0" encoding="utf-8"?>
<formControlPr xmlns="http://schemas.microsoft.com/office/spreadsheetml/2009/9/main" objectType="Label" lockText="1"/>
</file>

<file path=xl/ctrlProps/ctrlProp3.xml><?xml version="1.0" encoding="utf-8"?>
<formControlPr xmlns="http://schemas.microsoft.com/office/spreadsheetml/2009/9/main" objectType="Label" lockText="1"/>
</file>

<file path=xl/ctrlProps/ctrlProp4.xml><?xml version="1.0" encoding="utf-8"?>
<formControlPr xmlns="http://schemas.microsoft.com/office/spreadsheetml/2009/9/main" objectType="Label" lockText="1"/>
</file>

<file path=xl/ctrlProps/ctrlProp5.xml><?xml version="1.0" encoding="utf-8"?>
<formControlPr xmlns="http://schemas.microsoft.com/office/spreadsheetml/2009/9/main" objectType="Label" lockText="1"/>
</file>

<file path=xl/ctrlProps/ctrlProp6.xml><?xml version="1.0" encoding="utf-8"?>
<formControlPr xmlns="http://schemas.microsoft.com/office/spreadsheetml/2009/9/main" objectType="Label" lockText="1"/>
</file>

<file path=xl/ctrlProps/ctrlProp7.xml><?xml version="1.0" encoding="utf-8"?>
<formControlPr xmlns="http://schemas.microsoft.com/office/spreadsheetml/2009/9/main" objectType="Label" lockText="1"/>
</file>

<file path=xl/ctrlProps/ctrlProp8.xml><?xml version="1.0" encoding="utf-8"?>
<formControlPr xmlns="http://schemas.microsoft.com/office/spreadsheetml/2009/9/main" objectType="Label" lockText="1"/>
</file>

<file path=xl/ctrlProps/ctrlProp9.xml><?xml version="1.0" encoding="utf-8"?>
<formControlPr xmlns="http://schemas.microsoft.com/office/spreadsheetml/2009/9/main" objectType="Label" lockText="1"/>
</file>

<file path=xl/ctrlProps/ctrlProp10.xml><?xml version="1.0" encoding="utf-8"?>
<formControlPr xmlns="http://schemas.microsoft.com/office/spreadsheetml/2009/9/main" objectType="Drop" dropStyle="combo" dx="16" fmlaRange="'Program och examenskrav'!$E$6:$G$16" noThreeD="1" sel="4" val="3"/>
</file>

<file path=xl/ctrlProps/ctrlProp11.xml><?xml version="1.0" encoding="utf-8"?>
<formControlPr xmlns="http://schemas.microsoft.com/office/spreadsheetml/2009/9/main" objectType="Drop" dropStyle="combo" dx="16" fmlaRange="DynamicSpecRange" noThreeD="1" sel="1" val="0"/>
</file>

<file path=xl/ctrlProps/ctrlProp12.xml><?xml version="1.0" encoding="utf-8"?>
<formControlPr xmlns="http://schemas.microsoft.com/office/spreadsheetml/2009/9/main" objectType="Drop" dropStyle="combo" dx="16" fmlaRange="DynamicSpecRange" noThreeD="1" sel="1" val="0"/>
</file>

<file path=xl/ctrlProps/ctrlProp13.xml><?xml version="1.0" encoding="utf-8"?>
<formControlPr xmlns="http://schemas.microsoft.com/office/spreadsheetml/2009/9/main" objectType="Drop" dropStyle="combo" dx="16" fmlaRange="Konstanter!$D$6:$D$13" noThreeD="1" sel="6" val="0"/>
</file>

<file path=xl/ctrlProps/ctrlProp14.xml><?xml version="1.0" encoding="utf-8"?>
<formControlPr xmlns="http://schemas.microsoft.com/office/spreadsheetml/2009/9/main" objectType="Drop" dropStyle="combo" dx="16" fmlaRange="'Program och examenskrav'!$E$6:$G$16" noThreeD="1" sel="6" val="3"/>
</file>

<file path=xl/ctrlProps/ctrlProp15.xml><?xml version="1.0" encoding="utf-8"?>
<formControlPr xmlns="http://schemas.microsoft.com/office/spreadsheetml/2009/9/main" objectType="Drop" dropStyle="combo" dx="16" fmlaRange="'Program och examenskrav'!$E$6:$G$16" noThreeD="1" sel="11" val="3"/>
</file>

<file path=xl/ctrlProps/ctrlProp16.xml><?xml version="1.0" encoding="utf-8"?>
<formControlPr xmlns="http://schemas.microsoft.com/office/spreadsheetml/2009/9/main" objectType="Radio" firstButton="1" lockText="1" noThreeD="1"/>
</file>

<file path=xl/ctrlProps/ctrlProp17.xml><?xml version="1.0" encoding="utf-8"?>
<formControlPr xmlns="http://schemas.microsoft.com/office/spreadsheetml/2009/9/main" objectType="Radio" checked="Checked" lockText="1" noThreeD="1"/>
</file>

<file path=xl/ctrlProps/ctrlProp18.xml><?xml version="1.0" encoding="utf-8"?>
<formControlPr xmlns="http://schemas.microsoft.com/office/spreadsheetml/2009/9/main" objectType="Drop" dropStyle="combo" dx="16" fmlaLink="Import_Spec" fmlaRange="'Program och examenskrav'!$F$29:$F$76" noThreeD="1" sel="48" val="40"/>
</file>

<file path=xl/ctrlProps/ctrlProp19.xml><?xml version="1.0" encoding="utf-8"?>
<formControlPr xmlns="http://schemas.microsoft.com/office/spreadsheetml/2009/9/main" objectType="Drop" dropStyle="combo" dx="16" fmlaLink="Import_Program" fmlaRange="'Program och examenskrav'!$E$6:$E$16" noThreeD="1" sel="11" val="3"/>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3.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0</xdr:col>
      <xdr:colOff>207144</xdr:colOff>
      <xdr:row>44</xdr:row>
      <xdr:rowOff>247650</xdr:rowOff>
    </xdr:from>
    <xdr:to>
      <xdr:col>13</xdr:col>
      <xdr:colOff>199493</xdr:colOff>
      <xdr:row>44</xdr:row>
      <xdr:rowOff>247650</xdr:rowOff>
    </xdr:to>
    <xdr:cxnSp macro="">
      <xdr:nvCxnSpPr>
        <xdr:cNvPr id="2" name="Kantlinje" descr="&quot;&quot;" title="Kantlinje"/>
        <xdr:cNvCxnSpPr/>
      </xdr:nvCxnSpPr>
      <xdr:spPr>
        <a:xfrm>
          <a:off x="207144" y="10058400"/>
          <a:ext cx="8260049" cy="0"/>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9</xdr:col>
      <xdr:colOff>693769</xdr:colOff>
      <xdr:row>6</xdr:row>
      <xdr:rowOff>28574</xdr:rowOff>
    </xdr:from>
    <xdr:to>
      <xdr:col>15</xdr:col>
      <xdr:colOff>239865</xdr:colOff>
      <xdr:row>6</xdr:row>
      <xdr:rowOff>28574</xdr:rowOff>
    </xdr:to>
    <xdr:cxnSp macro="">
      <xdr:nvCxnSpPr>
        <xdr:cNvPr id="8" name="Kantlinje" descr="&quot;&quot;" title="Kantlinje"/>
        <xdr:cNvCxnSpPr/>
      </xdr:nvCxnSpPr>
      <xdr:spPr>
        <a:xfrm>
          <a:off x="6846919" y="1562099"/>
          <a:ext cx="7261346" cy="0"/>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6</xdr:row>
      <xdr:rowOff>19050</xdr:rowOff>
    </xdr:from>
    <xdr:to>
      <xdr:col>9</xdr:col>
      <xdr:colOff>0</xdr:colOff>
      <xdr:row>6</xdr:row>
      <xdr:rowOff>19050</xdr:rowOff>
    </xdr:to>
    <xdr:cxnSp macro="">
      <xdr:nvCxnSpPr>
        <xdr:cNvPr id="4" name="Kantlinje" descr="&quot;&quot;" title="Kantlinje"/>
        <xdr:cNvCxnSpPr/>
      </xdr:nvCxnSpPr>
      <xdr:spPr>
        <a:xfrm>
          <a:off x="685800" y="1552575"/>
          <a:ext cx="5467350" cy="0"/>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371475</xdr:colOff>
      <xdr:row>22</xdr:row>
      <xdr:rowOff>66675</xdr:rowOff>
    </xdr:from>
    <xdr:to>
      <xdr:col>16</xdr:col>
      <xdr:colOff>361950</xdr:colOff>
      <xdr:row>22</xdr:row>
      <xdr:rowOff>66675</xdr:rowOff>
    </xdr:to>
    <xdr:cxnSp macro="">
      <xdr:nvCxnSpPr>
        <xdr:cNvPr id="7" name="Kantlinje" descr="&quot;&quot;" title="Kantlinje"/>
        <xdr:cNvCxnSpPr/>
      </xdr:nvCxnSpPr>
      <xdr:spPr>
        <a:xfrm>
          <a:off x="8848725" y="6962775"/>
          <a:ext cx="6534150" cy="0"/>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571500</xdr:colOff>
      <xdr:row>21</xdr:row>
      <xdr:rowOff>57150</xdr:rowOff>
    </xdr:from>
    <xdr:to>
      <xdr:col>10</xdr:col>
      <xdr:colOff>200025</xdr:colOff>
      <xdr:row>32</xdr:row>
      <xdr:rowOff>152400</xdr:rowOff>
    </xdr:to>
    <xdr:graphicFrame macro="">
      <xdr:nvGraphicFramePr>
        <xdr:cNvPr id="11" name="Terminssammanfattning" descr="Stapeldiagram över poäng totalt och klasser för varje termin." title="Terminssammanfattning"/>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614368</xdr:colOff>
      <xdr:row>26</xdr:row>
      <xdr:rowOff>8337</xdr:rowOff>
    </xdr:from>
    <xdr:to>
      <xdr:col>16</xdr:col>
      <xdr:colOff>11724</xdr:colOff>
      <xdr:row>26</xdr:row>
      <xdr:rowOff>8337</xdr:rowOff>
    </xdr:to>
    <xdr:cxnSp macro="">
      <xdr:nvCxnSpPr>
        <xdr:cNvPr id="34" name="Kantlinje" descr="&quot;&quot;" title="Kantlinje"/>
        <xdr:cNvCxnSpPr/>
      </xdr:nvCxnSpPr>
      <xdr:spPr>
        <a:xfrm>
          <a:off x="9091618" y="8314137"/>
          <a:ext cx="5941031" cy="0"/>
        </a:xfrm>
        <a:prstGeom prst="line">
          <a:avLst/>
        </a:prstGeom>
        <a:ln w="31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642943</xdr:colOff>
      <xdr:row>24</xdr:row>
      <xdr:rowOff>8337</xdr:rowOff>
    </xdr:from>
    <xdr:to>
      <xdr:col>16</xdr:col>
      <xdr:colOff>40299</xdr:colOff>
      <xdr:row>24</xdr:row>
      <xdr:rowOff>8337</xdr:rowOff>
    </xdr:to>
    <xdr:cxnSp macro="">
      <xdr:nvCxnSpPr>
        <xdr:cNvPr id="35" name="Kantlinje" descr="&quot;&quot;" title="Kantlinje"/>
        <xdr:cNvCxnSpPr/>
      </xdr:nvCxnSpPr>
      <xdr:spPr>
        <a:xfrm>
          <a:off x="9120193" y="7609287"/>
          <a:ext cx="5941031" cy="0"/>
        </a:xfrm>
        <a:prstGeom prst="line">
          <a:avLst/>
        </a:prstGeom>
        <a:ln w="31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642943</xdr:colOff>
      <xdr:row>28</xdr:row>
      <xdr:rowOff>8336</xdr:rowOff>
    </xdr:from>
    <xdr:to>
      <xdr:col>16</xdr:col>
      <xdr:colOff>40299</xdr:colOff>
      <xdr:row>28</xdr:row>
      <xdr:rowOff>8336</xdr:rowOff>
    </xdr:to>
    <xdr:cxnSp macro="">
      <xdr:nvCxnSpPr>
        <xdr:cNvPr id="36" name="Kantlinje" descr="&quot;&quot;" title="Kantlinje"/>
        <xdr:cNvCxnSpPr/>
      </xdr:nvCxnSpPr>
      <xdr:spPr>
        <a:xfrm>
          <a:off x="9120193" y="9018986"/>
          <a:ext cx="5941031" cy="0"/>
        </a:xfrm>
        <a:prstGeom prst="line">
          <a:avLst/>
        </a:prstGeom>
        <a:ln w="31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642943</xdr:colOff>
      <xdr:row>30</xdr:row>
      <xdr:rowOff>8336</xdr:rowOff>
    </xdr:from>
    <xdr:to>
      <xdr:col>16</xdr:col>
      <xdr:colOff>40299</xdr:colOff>
      <xdr:row>30</xdr:row>
      <xdr:rowOff>8336</xdr:rowOff>
    </xdr:to>
    <xdr:cxnSp macro="">
      <xdr:nvCxnSpPr>
        <xdr:cNvPr id="37" name="Kantlinje" descr="&quot;&quot;" title="Kantlinje"/>
        <xdr:cNvCxnSpPr/>
      </xdr:nvCxnSpPr>
      <xdr:spPr>
        <a:xfrm>
          <a:off x="9120193" y="9723836"/>
          <a:ext cx="5941031" cy="0"/>
        </a:xfrm>
        <a:prstGeom prst="line">
          <a:avLst/>
        </a:prstGeom>
        <a:ln w="31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642943</xdr:colOff>
      <xdr:row>32</xdr:row>
      <xdr:rowOff>8023</xdr:rowOff>
    </xdr:from>
    <xdr:to>
      <xdr:col>16</xdr:col>
      <xdr:colOff>40299</xdr:colOff>
      <xdr:row>32</xdr:row>
      <xdr:rowOff>8023</xdr:rowOff>
    </xdr:to>
    <xdr:cxnSp macro="">
      <xdr:nvCxnSpPr>
        <xdr:cNvPr id="38" name="Kantlinje" descr="&quot;&quot;" title="Kantlinje"/>
        <xdr:cNvCxnSpPr/>
      </xdr:nvCxnSpPr>
      <xdr:spPr>
        <a:xfrm>
          <a:off x="9120193" y="10428373"/>
          <a:ext cx="5941031" cy="0"/>
        </a:xfrm>
        <a:prstGeom prst="line">
          <a:avLst/>
        </a:prstGeom>
        <a:ln w="31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428625</xdr:colOff>
      <xdr:row>35</xdr:row>
      <xdr:rowOff>0</xdr:rowOff>
    </xdr:from>
    <xdr:to>
      <xdr:col>8</xdr:col>
      <xdr:colOff>152400</xdr:colOff>
      <xdr:row>35</xdr:row>
      <xdr:rowOff>9525</xdr:rowOff>
    </xdr:to>
    <xdr:cxnSp macro="">
      <xdr:nvCxnSpPr>
        <xdr:cNvPr id="15" name="Straight Connector 1" descr="&quot;&quot;" title="Border"/>
        <xdr:cNvCxnSpPr/>
      </xdr:nvCxnSpPr>
      <xdr:spPr>
        <a:xfrm flipV="1">
          <a:off x="428625" y="11353800"/>
          <a:ext cx="5286375" cy="9525"/>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228696</xdr:colOff>
      <xdr:row>35</xdr:row>
      <xdr:rowOff>0</xdr:rowOff>
    </xdr:from>
    <xdr:to>
      <xdr:col>11</xdr:col>
      <xdr:colOff>1200150</xdr:colOff>
      <xdr:row>35</xdr:row>
      <xdr:rowOff>1</xdr:rowOff>
    </xdr:to>
    <xdr:cxnSp macro="">
      <xdr:nvCxnSpPr>
        <xdr:cNvPr id="22" name="Straight Connector 1" descr="&quot;&quot;" title="Border"/>
        <xdr:cNvCxnSpPr/>
      </xdr:nvCxnSpPr>
      <xdr:spPr>
        <a:xfrm flipV="1">
          <a:off x="5791296" y="11849100"/>
          <a:ext cx="3971829" cy="1"/>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9</xdr:col>
          <xdr:colOff>9525</xdr:colOff>
          <xdr:row>35</xdr:row>
          <xdr:rowOff>57150</xdr:rowOff>
        </xdr:from>
        <xdr:to>
          <xdr:col>12</xdr:col>
          <xdr:colOff>57150</xdr:colOff>
          <xdr:row>41</xdr:row>
          <xdr:rowOff>0</xdr:rowOff>
        </xdr:to>
        <xdr:sp macro="" textlink="">
          <xdr:nvSpPr>
            <xdr:cNvPr id="1034" name="Etikett 1" hidden="1">
              <a:extLst>
                <a:ext uri="{63B3BB69-23CF-44E3-9099-C40C66FF867C}">
                  <a14:compatExt spid="_x0000_s103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2004" rIns="0" bIns="0" anchor="t" upright="1"/>
            <a:lstStyle/>
            <a:p>
              <a:pPr algn="l" rtl="0">
                <a:defRPr sz="1000"/>
              </a:pPr>
              <a:r>
                <a:rPr lang="en-US" sz="1000" b="0" i="0" u="none" strike="noStrike" baseline="0">
                  <a:solidFill>
                    <a:srgbClr val="404040"/>
                  </a:solidFill>
                  <a:latin typeface="Bookman Old Style"/>
                </a:rPr>
                <a:t>TEIE17 Industriell ekonomi, </a:t>
              </a:r>
            </a:p>
            <a:p>
              <a:pPr algn="l" rtl="0">
                <a:defRPr sz="1000"/>
              </a:pPr>
              <a:r>
                <a:rPr lang="en-US" sz="1000" b="0" i="0" u="none" strike="noStrike" baseline="0">
                  <a:solidFill>
                    <a:srgbClr val="404040"/>
                  </a:solidFill>
                  <a:latin typeface="Bookman Old Style"/>
                </a:rPr>
                <a:t>TATA41 Envariabelanalys 1, </a:t>
              </a:r>
            </a:p>
            <a:p>
              <a:pPr algn="l" rtl="0">
                <a:defRPr sz="1000"/>
              </a:pPr>
              <a:r>
                <a:rPr lang="en-US" sz="1000" b="0" i="0" u="none" strike="noStrike" baseline="0">
                  <a:solidFill>
                    <a:srgbClr val="404040"/>
                  </a:solidFill>
                  <a:latin typeface="Bookman Old Style"/>
                </a:rPr>
                <a:t>TATA31 Linjär algebra, </a:t>
              </a:r>
            </a:p>
            <a:p>
              <a:pPr algn="l" rtl="0">
                <a:defRPr sz="1000"/>
              </a:pPr>
              <a:endParaRPr lang="en-US" sz="1000" b="0" i="0" u="none" strike="noStrike" baseline="0">
                <a:solidFill>
                  <a:srgbClr val="404040"/>
                </a:solidFill>
                <a:latin typeface="Bookman Old Style"/>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41</xdr:row>
          <xdr:rowOff>57150</xdr:rowOff>
        </xdr:from>
        <xdr:to>
          <xdr:col>12</xdr:col>
          <xdr:colOff>57150</xdr:colOff>
          <xdr:row>47</xdr:row>
          <xdr:rowOff>0</xdr:rowOff>
        </xdr:to>
        <xdr:sp macro="" textlink="">
          <xdr:nvSpPr>
            <xdr:cNvPr id="1038" name="Etikett 2" hidden="1">
              <a:extLst>
                <a:ext uri="{63B3BB69-23CF-44E3-9099-C40C66FF867C}">
                  <a14:compatExt spid="_x0000_s103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2004" rIns="0" bIns="0" anchor="t" upright="1"/>
            <a:lstStyle/>
            <a:p>
              <a:pPr algn="l" rtl="0">
                <a:defRPr sz="1000"/>
              </a:pPr>
              <a:r>
                <a:rPr lang="en-US" sz="1000" b="0" i="0" u="none" strike="noStrike" baseline="0">
                  <a:solidFill>
                    <a:srgbClr val="404040"/>
                  </a:solidFill>
                  <a:latin typeface="Bookman Old Style"/>
                </a:rPr>
                <a:t>TEIO61 Industriell organisation, grundkurs, </a:t>
              </a:r>
            </a:p>
            <a:p>
              <a:pPr algn="l" rtl="0">
                <a:defRPr sz="1000"/>
              </a:pPr>
              <a:r>
                <a:rPr lang="en-US" sz="1000" b="0" i="0" u="none" strike="noStrike" baseline="0">
                  <a:solidFill>
                    <a:srgbClr val="404040"/>
                  </a:solidFill>
                  <a:latin typeface="Bookman Old Style"/>
                </a:rPr>
                <a:t>TATA43 Flervariabelanalys, </a:t>
              </a:r>
            </a:p>
            <a:p>
              <a:pPr algn="l" rtl="0">
                <a:defRPr sz="1000"/>
              </a:pPr>
              <a:r>
                <a:rPr lang="en-US" sz="1000" b="0" i="0" u="none" strike="noStrike" baseline="0">
                  <a:solidFill>
                    <a:srgbClr val="404040"/>
                  </a:solidFill>
                  <a:latin typeface="Bookman Old Style"/>
                </a:rPr>
                <a:t>TATA42 Envariabelanalys 2, </a:t>
              </a:r>
            </a:p>
            <a:p>
              <a:pPr algn="l" rtl="0">
                <a:defRPr sz="1000"/>
              </a:pPr>
              <a:endParaRPr lang="en-US" sz="1000" b="0" i="0" u="none" strike="noStrike" baseline="0">
                <a:solidFill>
                  <a:srgbClr val="404040"/>
                </a:solidFill>
                <a:latin typeface="Bookman Old Style"/>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47</xdr:row>
          <xdr:rowOff>57150</xdr:rowOff>
        </xdr:from>
        <xdr:to>
          <xdr:col>12</xdr:col>
          <xdr:colOff>57150</xdr:colOff>
          <xdr:row>53</xdr:row>
          <xdr:rowOff>0</xdr:rowOff>
        </xdr:to>
        <xdr:sp macro="" textlink="">
          <xdr:nvSpPr>
            <xdr:cNvPr id="1039" name="Etikett 3" hidden="1">
              <a:extLst>
                <a:ext uri="{63B3BB69-23CF-44E3-9099-C40C66FF867C}">
                  <a14:compatExt spid="_x0000_s103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2004" rIns="0" bIns="0" anchor="t" upright="1"/>
            <a:lstStyle/>
            <a:p>
              <a:pPr algn="l" rtl="0">
                <a:defRPr sz="1000"/>
              </a:pPr>
              <a:r>
                <a:rPr lang="en-US" sz="1000" b="0" i="0" u="none" strike="noStrike" baseline="0">
                  <a:solidFill>
                    <a:srgbClr val="404040"/>
                  </a:solidFill>
                  <a:latin typeface="Bookman Old Style"/>
                </a:rPr>
                <a:t>TMME27 Mekanik I, </a:t>
              </a:r>
            </a:p>
            <a:p>
              <a:pPr algn="l" rtl="0">
                <a:defRPr sz="1000"/>
              </a:pPr>
              <a:r>
                <a:rPr lang="en-US" sz="1000" b="0" i="0" u="none" strike="noStrike" baseline="0">
                  <a:solidFill>
                    <a:srgbClr val="404040"/>
                  </a:solidFill>
                  <a:latin typeface="Bookman Old Style"/>
                </a:rPr>
                <a:t>TAOP14 Optimeringslära, grundkurs, </a:t>
              </a:r>
            </a:p>
            <a:p>
              <a:pPr algn="l" rtl="0">
                <a:defRPr sz="1000"/>
              </a:pPr>
              <a:endParaRPr lang="en-US" sz="1000" b="0" i="0" u="none" strike="noStrike" baseline="0">
                <a:solidFill>
                  <a:srgbClr val="404040"/>
                </a:solidFill>
                <a:latin typeface="Bookman Old Style"/>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53</xdr:row>
          <xdr:rowOff>57150</xdr:rowOff>
        </xdr:from>
        <xdr:to>
          <xdr:col>12</xdr:col>
          <xdr:colOff>57150</xdr:colOff>
          <xdr:row>59</xdr:row>
          <xdr:rowOff>0</xdr:rowOff>
        </xdr:to>
        <xdr:sp macro="" textlink="">
          <xdr:nvSpPr>
            <xdr:cNvPr id="1040" name="Etikett 4" hidden="1">
              <a:extLst>
                <a:ext uri="{63B3BB69-23CF-44E3-9099-C40C66FF867C}">
                  <a14:compatExt spid="_x0000_s104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59</xdr:row>
          <xdr:rowOff>57150</xdr:rowOff>
        </xdr:from>
        <xdr:to>
          <xdr:col>12</xdr:col>
          <xdr:colOff>57150</xdr:colOff>
          <xdr:row>65</xdr:row>
          <xdr:rowOff>0</xdr:rowOff>
        </xdr:to>
        <xdr:sp macro="" textlink="">
          <xdr:nvSpPr>
            <xdr:cNvPr id="1041" name="Etikett 5" hidden="1">
              <a:extLst>
                <a:ext uri="{63B3BB69-23CF-44E3-9099-C40C66FF867C}">
                  <a14:compatExt spid="_x0000_s104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65</xdr:row>
          <xdr:rowOff>57150</xdr:rowOff>
        </xdr:from>
        <xdr:to>
          <xdr:col>12</xdr:col>
          <xdr:colOff>57150</xdr:colOff>
          <xdr:row>71</xdr:row>
          <xdr:rowOff>0</xdr:rowOff>
        </xdr:to>
        <xdr:sp macro="" textlink="">
          <xdr:nvSpPr>
            <xdr:cNvPr id="1042" name="Etikett 6" hidden="1">
              <a:extLst>
                <a:ext uri="{63B3BB69-23CF-44E3-9099-C40C66FF867C}">
                  <a14:compatExt spid="_x0000_s104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2004" rIns="0" bIns="0" anchor="t" upright="1"/>
            <a:lstStyle/>
            <a:p>
              <a:pPr algn="l" rtl="0">
                <a:defRPr sz="1000"/>
              </a:pPr>
              <a:r>
                <a:rPr lang="en-US" sz="1000" b="0" i="0" u="none" strike="noStrike" baseline="0">
                  <a:solidFill>
                    <a:srgbClr val="404040"/>
                  </a:solidFill>
                  <a:latin typeface="Bookman Old Style"/>
                </a:rPr>
                <a:t>TEIE95 Affärsrätt I, </a:t>
              </a:r>
            </a:p>
            <a:p>
              <a:pPr algn="l" rtl="0">
                <a:defRPr sz="1000"/>
              </a:pPr>
              <a:endParaRPr lang="en-US" sz="1000" b="0" i="0" u="none" strike="noStrike" baseline="0">
                <a:solidFill>
                  <a:srgbClr val="404040"/>
                </a:solidFill>
                <a:latin typeface="Bookman Old Style"/>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71</xdr:row>
          <xdr:rowOff>57150</xdr:rowOff>
        </xdr:from>
        <xdr:to>
          <xdr:col>12</xdr:col>
          <xdr:colOff>57150</xdr:colOff>
          <xdr:row>77</xdr:row>
          <xdr:rowOff>0</xdr:rowOff>
        </xdr:to>
        <xdr:sp macro="" textlink="">
          <xdr:nvSpPr>
            <xdr:cNvPr id="1043" name="Etikett 7" hidden="1">
              <a:extLst>
                <a:ext uri="{63B3BB69-23CF-44E3-9099-C40C66FF867C}">
                  <a14:compatExt spid="_x0000_s104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2004" rIns="0" bIns="0" anchor="t" upright="1"/>
            <a:lstStyle/>
            <a:p>
              <a:pPr algn="l" rtl="0">
                <a:defRPr sz="1000"/>
              </a:pPr>
              <a:r>
                <a:rPr lang="en-US" sz="1000" b="0" i="0" u="none" strike="noStrike" baseline="0">
                  <a:solidFill>
                    <a:srgbClr val="404040"/>
                  </a:solidFill>
                  <a:latin typeface="Bookman Old Style"/>
                </a:rPr>
                <a:t>TSTE13 Analog konstruktion, </a:t>
              </a:r>
            </a:p>
            <a:p>
              <a:pPr algn="l" rtl="0">
                <a:defRPr sz="1000"/>
              </a:pPr>
              <a:r>
                <a:rPr lang="en-US" sz="1000" b="0" i="0" u="none" strike="noStrike" baseline="0">
                  <a:solidFill>
                    <a:srgbClr val="404040"/>
                  </a:solidFill>
                  <a:latin typeface="Bookman Old Style"/>
                </a:rPr>
                <a:t>TDEI13 Affärssystem: process och implementering, </a:t>
              </a:r>
            </a:p>
            <a:p>
              <a:pPr algn="l" rtl="0">
                <a:defRPr sz="1000"/>
              </a:pPr>
              <a:r>
                <a:rPr lang="en-US" sz="1000" b="0" i="0" u="none" strike="noStrike" baseline="0">
                  <a:solidFill>
                    <a:srgbClr val="404040"/>
                  </a:solidFill>
                  <a:latin typeface="Bookman Old Style"/>
                </a:rPr>
                <a:t>TMKT71 Affektiv produktutveckling, </a:t>
              </a:r>
            </a:p>
            <a:p>
              <a:pPr algn="l" rtl="0">
                <a:defRPr sz="1000"/>
              </a:pPr>
              <a:endParaRPr lang="en-US" sz="1000" b="0" i="0" u="none" strike="noStrike" baseline="0">
                <a:solidFill>
                  <a:srgbClr val="404040"/>
                </a:solidFill>
                <a:latin typeface="Bookman Old Style"/>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77</xdr:row>
          <xdr:rowOff>57150</xdr:rowOff>
        </xdr:from>
        <xdr:to>
          <xdr:col>12</xdr:col>
          <xdr:colOff>57150</xdr:colOff>
          <xdr:row>83</xdr:row>
          <xdr:rowOff>0</xdr:rowOff>
        </xdr:to>
        <xdr:sp macro="" textlink="">
          <xdr:nvSpPr>
            <xdr:cNvPr id="1044" name="Etikett 8" hidden="1">
              <a:extLst>
                <a:ext uri="{63B3BB69-23CF-44E3-9099-C40C66FF867C}">
                  <a14:compatExt spid="_x0000_s104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2004" rIns="0" bIns="0" anchor="t" upright="1"/>
            <a:lstStyle/>
            <a:p>
              <a:pPr algn="l" rtl="0">
                <a:defRPr sz="1000"/>
              </a:pPr>
              <a:r>
                <a:rPr lang="en-US" sz="1000" b="0" i="0" u="none" strike="noStrike" baseline="0">
                  <a:solidFill>
                    <a:srgbClr val="404040"/>
                  </a:solidFill>
                  <a:latin typeface="Bookman Old Style"/>
                </a:rPr>
                <a:t>TDDD03 Användbarhet i ett ekonomiskt perspektiv, </a:t>
              </a:r>
            </a:p>
            <a:p>
              <a:pPr algn="l" rtl="0">
                <a:defRPr sz="1000"/>
              </a:pPr>
              <a:r>
                <a:rPr lang="en-US" sz="1000" b="0" i="0" u="none" strike="noStrike" baseline="0">
                  <a:solidFill>
                    <a:srgbClr val="404040"/>
                  </a:solidFill>
                  <a:latin typeface="Bookman Old Style"/>
                </a:rPr>
                <a:t>TEIE95 Affärsrätt I, </a:t>
              </a:r>
            </a:p>
            <a:p>
              <a:pPr algn="l" rtl="0">
                <a:defRPr sz="1000"/>
              </a:pPr>
              <a:endParaRPr lang="en-US" sz="1000" b="0" i="0" u="none" strike="noStrike" baseline="0">
                <a:solidFill>
                  <a:srgbClr val="404040"/>
                </a:solidFill>
                <a:latin typeface="Bookman Old Style"/>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83</xdr:row>
          <xdr:rowOff>57150</xdr:rowOff>
        </xdr:from>
        <xdr:to>
          <xdr:col>12</xdr:col>
          <xdr:colOff>57150</xdr:colOff>
          <xdr:row>89</xdr:row>
          <xdr:rowOff>0</xdr:rowOff>
        </xdr:to>
        <xdr:sp macro="" textlink="">
          <xdr:nvSpPr>
            <xdr:cNvPr id="1045" name="Etikett 9" hidden="1">
              <a:extLst>
                <a:ext uri="{63B3BB69-23CF-44E3-9099-C40C66FF867C}">
                  <a14:compatExt spid="_x0000_s104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2004" rIns="0" bIns="0" anchor="t" upright="1"/>
            <a:lstStyle/>
            <a:p>
              <a:pPr algn="l" rtl="0">
                <a:defRPr sz="1000"/>
              </a:pPr>
              <a:r>
                <a:rPr lang="en-US" sz="1000" b="0" i="0" u="none" strike="noStrike" baseline="0">
                  <a:solidFill>
                    <a:srgbClr val="404040"/>
                  </a:solidFill>
                  <a:latin typeface="Bookman Old Style"/>
                </a:rPr>
                <a:t>TMMV01 Aerodynamik, </a:t>
              </a:r>
            </a:p>
            <a:p>
              <a:pPr algn="l" rtl="0">
                <a:defRPr sz="1000"/>
              </a:pPr>
              <a:endParaRPr lang="en-US" sz="1000" b="0" i="0" u="none" strike="noStrike" baseline="0">
                <a:solidFill>
                  <a:srgbClr val="404040"/>
                </a:solidFill>
                <a:latin typeface="Bookman Old Style"/>
              </a:endParaRPr>
            </a:p>
          </xdr:txBody>
        </xdr:sp>
        <xdr:clientData/>
      </xdr:twoCellAnchor>
    </mc:Choice>
    <mc:Fallback/>
  </mc:AlternateContent>
  <xdr:oneCellAnchor>
    <xdr:from>
      <xdr:col>1</xdr:col>
      <xdr:colOff>0</xdr:colOff>
      <xdr:row>83</xdr:row>
      <xdr:rowOff>0</xdr:rowOff>
    </xdr:from>
    <xdr:ext cx="1104899" cy="876300"/>
    <xdr:sp macro="" textlink="">
      <xdr:nvSpPr>
        <xdr:cNvPr id="41" name="textruta 40"/>
        <xdr:cNvSpPr txBox="1"/>
      </xdr:nvSpPr>
      <xdr:spPr>
        <a:xfrm>
          <a:off x="685800" y="191643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9</a:t>
          </a:r>
        </a:p>
      </xdr:txBody>
    </xdr:sp>
    <xdr:clientData/>
  </xdr:oneCellAnchor>
  <xdr:oneCellAnchor>
    <xdr:from>
      <xdr:col>1</xdr:col>
      <xdr:colOff>0</xdr:colOff>
      <xdr:row>77</xdr:row>
      <xdr:rowOff>0</xdr:rowOff>
    </xdr:from>
    <xdr:ext cx="1104899" cy="876300"/>
    <xdr:sp macro="" textlink="">
      <xdr:nvSpPr>
        <xdr:cNvPr id="42" name="textruta 41"/>
        <xdr:cNvSpPr txBox="1"/>
      </xdr:nvSpPr>
      <xdr:spPr>
        <a:xfrm>
          <a:off x="685800" y="182499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8</a:t>
          </a:r>
        </a:p>
      </xdr:txBody>
    </xdr:sp>
    <xdr:clientData/>
  </xdr:oneCellAnchor>
  <xdr:oneCellAnchor>
    <xdr:from>
      <xdr:col>1</xdr:col>
      <xdr:colOff>0</xdr:colOff>
      <xdr:row>71</xdr:row>
      <xdr:rowOff>0</xdr:rowOff>
    </xdr:from>
    <xdr:ext cx="1104899" cy="876300"/>
    <xdr:sp macro="" textlink="">
      <xdr:nvSpPr>
        <xdr:cNvPr id="43" name="textruta 42"/>
        <xdr:cNvSpPr txBox="1"/>
      </xdr:nvSpPr>
      <xdr:spPr>
        <a:xfrm>
          <a:off x="685800" y="173355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7</a:t>
          </a:r>
        </a:p>
      </xdr:txBody>
    </xdr:sp>
    <xdr:clientData/>
  </xdr:oneCellAnchor>
  <xdr:oneCellAnchor>
    <xdr:from>
      <xdr:col>1</xdr:col>
      <xdr:colOff>0</xdr:colOff>
      <xdr:row>65</xdr:row>
      <xdr:rowOff>0</xdr:rowOff>
    </xdr:from>
    <xdr:ext cx="1104899" cy="876300"/>
    <xdr:sp macro="" textlink="">
      <xdr:nvSpPr>
        <xdr:cNvPr id="44" name="textruta 43"/>
        <xdr:cNvSpPr txBox="1"/>
      </xdr:nvSpPr>
      <xdr:spPr>
        <a:xfrm>
          <a:off x="685800" y="164211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6</a:t>
          </a:r>
        </a:p>
      </xdr:txBody>
    </xdr:sp>
    <xdr:clientData/>
  </xdr:oneCellAnchor>
  <xdr:oneCellAnchor>
    <xdr:from>
      <xdr:col>1</xdr:col>
      <xdr:colOff>0</xdr:colOff>
      <xdr:row>59</xdr:row>
      <xdr:rowOff>0</xdr:rowOff>
    </xdr:from>
    <xdr:ext cx="1104899" cy="876300"/>
    <xdr:sp macro="" textlink="">
      <xdr:nvSpPr>
        <xdr:cNvPr id="45" name="textruta 44"/>
        <xdr:cNvSpPr txBox="1"/>
      </xdr:nvSpPr>
      <xdr:spPr>
        <a:xfrm>
          <a:off x="685800" y="155067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5</a:t>
          </a:r>
        </a:p>
      </xdr:txBody>
    </xdr:sp>
    <xdr:clientData/>
  </xdr:oneCellAnchor>
  <xdr:oneCellAnchor>
    <xdr:from>
      <xdr:col>1</xdr:col>
      <xdr:colOff>0</xdr:colOff>
      <xdr:row>53</xdr:row>
      <xdr:rowOff>0</xdr:rowOff>
    </xdr:from>
    <xdr:ext cx="1104899" cy="876300"/>
    <xdr:sp macro="" textlink="">
      <xdr:nvSpPr>
        <xdr:cNvPr id="46" name="textruta 45"/>
        <xdr:cNvSpPr txBox="1"/>
      </xdr:nvSpPr>
      <xdr:spPr>
        <a:xfrm>
          <a:off x="685800" y="145923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4</a:t>
          </a:r>
        </a:p>
      </xdr:txBody>
    </xdr:sp>
    <xdr:clientData/>
  </xdr:oneCellAnchor>
  <xdr:oneCellAnchor>
    <xdr:from>
      <xdr:col>1</xdr:col>
      <xdr:colOff>0</xdr:colOff>
      <xdr:row>47</xdr:row>
      <xdr:rowOff>0</xdr:rowOff>
    </xdr:from>
    <xdr:ext cx="1104899" cy="876300"/>
    <xdr:sp macro="" textlink="">
      <xdr:nvSpPr>
        <xdr:cNvPr id="47" name="textruta 46"/>
        <xdr:cNvSpPr txBox="1"/>
      </xdr:nvSpPr>
      <xdr:spPr>
        <a:xfrm>
          <a:off x="685800" y="136779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3</a:t>
          </a:r>
        </a:p>
      </xdr:txBody>
    </xdr:sp>
    <xdr:clientData/>
  </xdr:oneCellAnchor>
  <xdr:oneCellAnchor>
    <xdr:from>
      <xdr:col>1</xdr:col>
      <xdr:colOff>0</xdr:colOff>
      <xdr:row>41</xdr:row>
      <xdr:rowOff>0</xdr:rowOff>
    </xdr:from>
    <xdr:ext cx="1104899" cy="876300"/>
    <xdr:sp macro="" textlink="">
      <xdr:nvSpPr>
        <xdr:cNvPr id="48" name="textruta 47"/>
        <xdr:cNvSpPr txBox="1"/>
      </xdr:nvSpPr>
      <xdr:spPr>
        <a:xfrm>
          <a:off x="685800" y="127635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2</a:t>
          </a:r>
        </a:p>
      </xdr:txBody>
    </xdr:sp>
    <xdr:clientData/>
  </xdr:oneCellAnchor>
  <xdr:oneCellAnchor>
    <xdr:from>
      <xdr:col>1</xdr:col>
      <xdr:colOff>0</xdr:colOff>
      <xdr:row>35</xdr:row>
      <xdr:rowOff>0</xdr:rowOff>
    </xdr:from>
    <xdr:ext cx="1104899" cy="876300"/>
    <xdr:sp macro="" textlink="">
      <xdr:nvSpPr>
        <xdr:cNvPr id="49" name="textruta 48"/>
        <xdr:cNvSpPr txBox="1"/>
      </xdr:nvSpPr>
      <xdr:spPr>
        <a:xfrm>
          <a:off x="685800" y="113538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1</a:t>
          </a:r>
        </a:p>
      </xdr:txBody>
    </xdr:sp>
    <xdr:clientData/>
  </xdr:oneCellAnchor>
</xdr:wsDr>
</file>

<file path=xl/drawings/drawing3.xml><?xml version="1.0" encoding="utf-8"?>
<c:userShapes xmlns:c="http://schemas.openxmlformats.org/drawingml/2006/chart">
  <cdr:relSizeAnchor xmlns:cdr="http://schemas.openxmlformats.org/drawingml/2006/chartDrawing">
    <cdr:from>
      <cdr:x>0.01216</cdr:x>
      <cdr:y>0.10196</cdr:y>
    </cdr:from>
    <cdr:to>
      <cdr:x>0.87231</cdr:x>
      <cdr:y>0.10207</cdr:y>
    </cdr:to>
    <cdr:cxnSp macro="">
      <cdr:nvCxnSpPr>
        <cdr:cNvPr id="2" name="Straight Connector 1" descr="&quot;&quot;" title="Border"/>
        <cdr:cNvCxnSpPr/>
      </cdr:nvCxnSpPr>
      <cdr:spPr>
        <a:xfrm xmlns:a="http://schemas.openxmlformats.org/drawingml/2006/main">
          <a:off x="86202" y="311739"/>
          <a:ext cx="6095523" cy="334"/>
        </a:xfrm>
        <a:prstGeom xmlns:a="http://schemas.openxmlformats.org/drawingml/2006/main" prst="line">
          <a:avLst/>
        </a:prstGeom>
        <a:ln xmlns:a="http://schemas.openxmlformats.org/drawingml/2006/main" w="28575">
          <a:solidFill>
            <a:schemeClr val="accent3">
              <a:lumMod val="50000"/>
            </a:schemeClr>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1914525</xdr:colOff>
          <xdr:row>5</xdr:row>
          <xdr:rowOff>47625</xdr:rowOff>
        </xdr:from>
        <xdr:to>
          <xdr:col>3</xdr:col>
          <xdr:colOff>428625</xdr:colOff>
          <xdr:row>5</xdr:row>
          <xdr:rowOff>352425</xdr:rowOff>
        </xdr:to>
        <xdr:sp macro="" textlink="">
          <xdr:nvSpPr>
            <xdr:cNvPr id="4098" name="Drop Down 2"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1914525</xdr:colOff>
          <xdr:row>6</xdr:row>
          <xdr:rowOff>47625</xdr:rowOff>
        </xdr:from>
        <xdr:to>
          <xdr:col>3</xdr:col>
          <xdr:colOff>428625</xdr:colOff>
          <xdr:row>6</xdr:row>
          <xdr:rowOff>352425</xdr:rowOff>
        </xdr:to>
        <xdr:sp macro="" textlink="">
          <xdr:nvSpPr>
            <xdr:cNvPr id="4099" name="Drop Down 3" hidden="1">
              <a:extLst>
                <a:ext uri="{63B3BB69-23CF-44E3-9099-C40C66FF867C}">
                  <a14:compatExt spid="_x0000_s40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1914525</xdr:colOff>
          <xdr:row>7</xdr:row>
          <xdr:rowOff>38100</xdr:rowOff>
        </xdr:from>
        <xdr:to>
          <xdr:col>3</xdr:col>
          <xdr:colOff>428625</xdr:colOff>
          <xdr:row>7</xdr:row>
          <xdr:rowOff>342900</xdr:rowOff>
        </xdr:to>
        <xdr:sp macro="" textlink="">
          <xdr:nvSpPr>
            <xdr:cNvPr id="4100" name="Drop Down 4" hidden="1">
              <a:extLst>
                <a:ext uri="{63B3BB69-23CF-44E3-9099-C40C66FF867C}">
                  <a14:compatExt spid="_x0000_s4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1914525</xdr:colOff>
          <xdr:row>4</xdr:row>
          <xdr:rowOff>76200</xdr:rowOff>
        </xdr:from>
        <xdr:to>
          <xdr:col>3</xdr:col>
          <xdr:colOff>428625</xdr:colOff>
          <xdr:row>4</xdr:row>
          <xdr:rowOff>381000</xdr:rowOff>
        </xdr:to>
        <xdr:sp macro="" textlink="">
          <xdr:nvSpPr>
            <xdr:cNvPr id="4101" name="Drop Down 5" hidden="1">
              <a:extLst>
                <a:ext uri="{63B3BB69-23CF-44E3-9099-C40C66FF867C}">
                  <a14:compatExt spid="_x0000_s41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535533</xdr:colOff>
      <xdr:row>36</xdr:row>
      <xdr:rowOff>323850</xdr:rowOff>
    </xdr:from>
    <xdr:to>
      <xdr:col>2</xdr:col>
      <xdr:colOff>552450</xdr:colOff>
      <xdr:row>36</xdr:row>
      <xdr:rowOff>323850</xdr:rowOff>
    </xdr:to>
    <xdr:cxnSp macro="">
      <xdr:nvCxnSpPr>
        <xdr:cNvPr id="6" name="Kantlinje" descr="&quot;&quot;" title="Kantlinje"/>
        <xdr:cNvCxnSpPr/>
      </xdr:nvCxnSpPr>
      <xdr:spPr>
        <a:xfrm>
          <a:off x="716508" y="10306050"/>
          <a:ext cx="3503067" cy="0"/>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981075</xdr:colOff>
          <xdr:row>7</xdr:row>
          <xdr:rowOff>523875</xdr:rowOff>
        </xdr:from>
        <xdr:to>
          <xdr:col>3</xdr:col>
          <xdr:colOff>95250</xdr:colOff>
          <xdr:row>9</xdr:row>
          <xdr:rowOff>285750</xdr:rowOff>
        </xdr:to>
        <xdr:sp macro="" textlink="">
          <xdr:nvSpPr>
            <xdr:cNvPr id="3074" name="CommandButton1"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180975</xdr:colOff>
          <xdr:row>8</xdr:row>
          <xdr:rowOff>47625</xdr:rowOff>
        </xdr:from>
        <xdr:to>
          <xdr:col>1</xdr:col>
          <xdr:colOff>828675</xdr:colOff>
          <xdr:row>9</xdr:row>
          <xdr:rowOff>123825</xdr:rowOff>
        </xdr:to>
        <xdr:sp macro="" textlink="">
          <xdr:nvSpPr>
            <xdr:cNvPr id="3086" name="Drop Down 14" hidden="1">
              <a:extLst>
                <a:ext uri="{63B3BB69-23CF-44E3-9099-C40C66FF867C}">
                  <a14:compatExt spid="_x0000_s30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95250</xdr:colOff>
      <xdr:row>7</xdr:row>
      <xdr:rowOff>419100</xdr:rowOff>
    </xdr:from>
    <xdr:to>
      <xdr:col>3</xdr:col>
      <xdr:colOff>510212</xdr:colOff>
      <xdr:row>7</xdr:row>
      <xdr:rowOff>419100</xdr:rowOff>
    </xdr:to>
    <xdr:cxnSp macro="">
      <xdr:nvCxnSpPr>
        <xdr:cNvPr id="4" name="Kantlinje" descr="&quot;&quot;" title="Kantlinje"/>
        <xdr:cNvCxnSpPr/>
      </xdr:nvCxnSpPr>
      <xdr:spPr>
        <a:xfrm>
          <a:off x="95250" y="2095500"/>
          <a:ext cx="8006387" cy="0"/>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6</xdr:row>
          <xdr:rowOff>19050</xdr:rowOff>
        </xdr:from>
        <xdr:to>
          <xdr:col>3</xdr:col>
          <xdr:colOff>57150</xdr:colOff>
          <xdr:row>7</xdr:row>
          <xdr:rowOff>57150</xdr:rowOff>
        </xdr:to>
        <xdr:sp macro="" textlink="">
          <xdr:nvSpPr>
            <xdr:cNvPr id="5127" name="CommandButton1" hidden="1">
              <a:extLst>
                <a:ext uri="{63B3BB69-23CF-44E3-9099-C40C66FF867C}">
                  <a14:compatExt spid="_x0000_s51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1095375</xdr:colOff>
          <xdr:row>23</xdr:row>
          <xdr:rowOff>85725</xdr:rowOff>
        </xdr:from>
        <xdr:to>
          <xdr:col>1</xdr:col>
          <xdr:colOff>1323975</xdr:colOff>
          <xdr:row>23</xdr:row>
          <xdr:rowOff>390525</xdr:rowOff>
        </xdr:to>
        <xdr:sp macro="" textlink="">
          <xdr:nvSpPr>
            <xdr:cNvPr id="5128" name="Drop Down 8" hidden="1">
              <a:extLst>
                <a:ext uri="{63B3BB69-23CF-44E3-9099-C40C66FF867C}">
                  <a14:compatExt spid="_x0000_s51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3086100</xdr:colOff>
          <xdr:row>27</xdr:row>
          <xdr:rowOff>28575</xdr:rowOff>
        </xdr:from>
        <xdr:to>
          <xdr:col>3</xdr:col>
          <xdr:colOff>0</xdr:colOff>
          <xdr:row>73</xdr:row>
          <xdr:rowOff>95250</xdr:rowOff>
        </xdr:to>
        <xdr:sp macro="" textlink="">
          <xdr:nvSpPr>
            <xdr:cNvPr id="5129" name="CommandButton2" hidden="1">
              <a:extLst>
                <a:ext uri="{63B3BB69-23CF-44E3-9099-C40C66FF867C}">
                  <a14:compatExt spid="_x0000_s51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3590925</xdr:colOff>
          <xdr:row>23</xdr:row>
          <xdr:rowOff>171450</xdr:rowOff>
        </xdr:from>
        <xdr:to>
          <xdr:col>4</xdr:col>
          <xdr:colOff>409575</xdr:colOff>
          <xdr:row>25</xdr:row>
          <xdr:rowOff>123825</xdr:rowOff>
        </xdr:to>
        <xdr:sp macro="" textlink="">
          <xdr:nvSpPr>
            <xdr:cNvPr id="7169" name="CommandButton1" hidden="1">
              <a:extLst>
                <a:ext uri="{63B3BB69-23CF-44E3-9099-C40C66FF867C}">
                  <a14:compatExt spid="_x0000_s71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561975</xdr:colOff>
          <xdr:row>15</xdr:row>
          <xdr:rowOff>142875</xdr:rowOff>
        </xdr:from>
        <xdr:to>
          <xdr:col>2</xdr:col>
          <xdr:colOff>876300</xdr:colOff>
          <xdr:row>16</xdr:row>
          <xdr:rowOff>57150</xdr:rowOff>
        </xdr:to>
        <xdr:sp macro="" textlink="">
          <xdr:nvSpPr>
            <xdr:cNvPr id="7172" name="Option Button 4" hidden="1">
              <a:extLst>
                <a:ext uri="{63B3BB69-23CF-44E3-9099-C40C66FF867C}">
                  <a14:compatExt spid="_x0000_s71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Ja, lägg alla kurser under vald inriktning/profil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561975</xdr:colOff>
          <xdr:row>14</xdr:row>
          <xdr:rowOff>238125</xdr:rowOff>
        </xdr:from>
        <xdr:to>
          <xdr:col>2</xdr:col>
          <xdr:colOff>876300</xdr:colOff>
          <xdr:row>15</xdr:row>
          <xdr:rowOff>304800</xdr:rowOff>
        </xdr:to>
        <xdr:sp macro="" textlink="">
          <xdr:nvSpPr>
            <xdr:cNvPr id="7173" name="Option Button 5" hidden="1">
              <a:extLst>
                <a:ext uri="{63B3BB69-23CF-44E3-9099-C40C66FF867C}">
                  <a14:compatExt spid="_x0000_s71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Nej, kurserna tillhör hela programmet.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133350</xdr:colOff>
          <xdr:row>12</xdr:row>
          <xdr:rowOff>85725</xdr:rowOff>
        </xdr:from>
        <xdr:to>
          <xdr:col>2</xdr:col>
          <xdr:colOff>3790950</xdr:colOff>
          <xdr:row>12</xdr:row>
          <xdr:rowOff>390525</xdr:rowOff>
        </xdr:to>
        <xdr:sp macro="" textlink="">
          <xdr:nvSpPr>
            <xdr:cNvPr id="7188" name="Drop Down 20" hidden="1">
              <a:extLst>
                <a:ext uri="{63B3BB69-23CF-44E3-9099-C40C66FF867C}">
                  <a14:compatExt spid="_x0000_s71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133350</xdr:colOff>
          <xdr:row>11</xdr:row>
          <xdr:rowOff>85725</xdr:rowOff>
        </xdr:from>
        <xdr:to>
          <xdr:col>2</xdr:col>
          <xdr:colOff>3790950</xdr:colOff>
          <xdr:row>11</xdr:row>
          <xdr:rowOff>390525</xdr:rowOff>
        </xdr:to>
        <xdr:sp macro="" textlink="">
          <xdr:nvSpPr>
            <xdr:cNvPr id="7189" name="Drop Down 21" hidden="1">
              <a:extLst>
                <a:ext uri="{63B3BB69-23CF-44E3-9099-C40C66FF867C}">
                  <a14:compatExt spid="_x0000_s71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12454</xdr:colOff>
      <xdr:row>4</xdr:row>
      <xdr:rowOff>247650</xdr:rowOff>
    </xdr:from>
    <xdr:to>
      <xdr:col>6</xdr:col>
      <xdr:colOff>23413</xdr:colOff>
      <xdr:row>4</xdr:row>
      <xdr:rowOff>247650</xdr:rowOff>
    </xdr:to>
    <xdr:cxnSp macro="">
      <xdr:nvCxnSpPr>
        <xdr:cNvPr id="7" name="Kantlinje" descr="&quot;&quot;" title="Kantlinje"/>
        <xdr:cNvCxnSpPr/>
      </xdr:nvCxnSpPr>
      <xdr:spPr>
        <a:xfrm>
          <a:off x="345829" y="1333500"/>
          <a:ext cx="8250084" cy="0"/>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12454</xdr:colOff>
      <xdr:row>10</xdr:row>
      <xdr:rowOff>238125</xdr:rowOff>
    </xdr:from>
    <xdr:to>
      <xdr:col>6</xdr:col>
      <xdr:colOff>23413</xdr:colOff>
      <xdr:row>10</xdr:row>
      <xdr:rowOff>238125</xdr:rowOff>
    </xdr:to>
    <xdr:cxnSp macro="">
      <xdr:nvCxnSpPr>
        <xdr:cNvPr id="9" name="Kantlinje" descr="&quot;&quot;" title="Kantlinje"/>
        <xdr:cNvCxnSpPr/>
      </xdr:nvCxnSpPr>
      <xdr:spPr>
        <a:xfrm>
          <a:off x="345829" y="3162300"/>
          <a:ext cx="8250084" cy="0"/>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12454</xdr:colOff>
      <xdr:row>18</xdr:row>
      <xdr:rowOff>247650</xdr:rowOff>
    </xdr:from>
    <xdr:to>
      <xdr:col>6</xdr:col>
      <xdr:colOff>23413</xdr:colOff>
      <xdr:row>18</xdr:row>
      <xdr:rowOff>247650</xdr:rowOff>
    </xdr:to>
    <xdr:cxnSp macro="">
      <xdr:nvCxnSpPr>
        <xdr:cNvPr id="10" name="Kantlinje" descr="&quot;&quot;" title="Kantlinje"/>
        <xdr:cNvCxnSpPr/>
      </xdr:nvCxnSpPr>
      <xdr:spPr>
        <a:xfrm>
          <a:off x="345829" y="5581650"/>
          <a:ext cx="8250084" cy="0"/>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191215</xdr:colOff>
      <xdr:row>14</xdr:row>
      <xdr:rowOff>228600</xdr:rowOff>
    </xdr:from>
    <xdr:to>
      <xdr:col>2</xdr:col>
      <xdr:colOff>5068019</xdr:colOff>
      <xdr:row>14</xdr:row>
      <xdr:rowOff>228600</xdr:rowOff>
    </xdr:to>
    <xdr:cxnSp macro="">
      <xdr:nvCxnSpPr>
        <xdr:cNvPr id="11" name="Kantlinje" descr="&quot;&quot;" title="Kantlinje"/>
        <xdr:cNvCxnSpPr/>
      </xdr:nvCxnSpPr>
      <xdr:spPr>
        <a:xfrm>
          <a:off x="524590" y="4438650"/>
          <a:ext cx="6810379" cy="0"/>
        </a:xfrm>
        <a:prstGeom prst="line">
          <a:avLst/>
        </a:prstGeom>
        <a:ln w="952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159944</xdr:colOff>
      <xdr:row>6</xdr:row>
      <xdr:rowOff>76200</xdr:rowOff>
    </xdr:from>
    <xdr:to>
      <xdr:col>10</xdr:col>
      <xdr:colOff>485774</xdr:colOff>
      <xdr:row>11</xdr:row>
      <xdr:rowOff>314325</xdr:rowOff>
    </xdr:to>
    <xdr:sp macro="" textlink="">
      <xdr:nvSpPr>
        <xdr:cNvPr id="12" name="Rektangel 11" descr="Ange dina tillgångar och skulder så beräknas nettovärdet automatiskt."/>
        <xdr:cNvSpPr/>
      </xdr:nvSpPr>
      <xdr:spPr>
        <a:xfrm flipH="1">
          <a:off x="8732444" y="1524000"/>
          <a:ext cx="3440505" cy="2057400"/>
        </a:xfrm>
        <a:prstGeom prst="rect">
          <a:avLst/>
        </a:prstGeom>
        <a:solidFill>
          <a:schemeClr val="accent3"/>
        </a:solidFill>
        <a:ln>
          <a:noFill/>
        </a:ln>
        <a:effectLst>
          <a:softEdge rad="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37160" rtlCol="0" anchor="t"/>
        <a:lstStyle/>
        <a:p>
          <a:pPr algn="l"/>
          <a:r>
            <a:rPr lang="en-US" sz="1500" b="1">
              <a:solidFill>
                <a:schemeClr val="bg1"/>
              </a:solidFill>
            </a:rPr>
            <a:t>Tips</a:t>
          </a:r>
        </a:p>
        <a:p>
          <a:r>
            <a:rPr lang="en-US" sz="1100">
              <a:solidFill>
                <a:schemeClr val="lt1"/>
              </a:solidFill>
            </a:rPr>
            <a:t>Importera kurser genom att kopiera in länken från studiehandboken i området till vänster.</a:t>
          </a:r>
        </a:p>
        <a:p>
          <a:endParaRPr lang="en-US" sz="1100">
            <a:solidFill>
              <a:schemeClr val="lt1"/>
            </a:solidFill>
          </a:endParaRPr>
        </a:p>
        <a:p>
          <a:pPr marL="0" marR="0" indent="0" defTabSz="914400" eaLnBrk="1" fontAlgn="auto" latinLnBrk="0" hangingPunct="1">
            <a:lnSpc>
              <a:spcPct val="100000"/>
            </a:lnSpc>
            <a:spcBef>
              <a:spcPts val="0"/>
            </a:spcBef>
            <a:spcAft>
              <a:spcPts val="0"/>
            </a:spcAft>
            <a:buClrTx/>
            <a:buSzTx/>
            <a:buFontTx/>
            <a:buNone/>
            <a:tabLst/>
            <a:defRPr/>
          </a:pPr>
          <a:r>
            <a:rPr lang="en-US" sz="1100">
              <a:solidFill>
                <a:schemeClr val="lt1"/>
              </a:solidFill>
              <a:effectLst/>
              <a:latin typeface="+mn-lt"/>
              <a:ea typeface="+mn-ea"/>
              <a:cs typeface="+mn-cs"/>
            </a:rPr>
            <a:t>OBS: Importera </a:t>
          </a:r>
          <a:r>
            <a:rPr lang="en-US" sz="1100" b="1">
              <a:solidFill>
                <a:schemeClr val="lt1"/>
              </a:solidFill>
              <a:effectLst/>
              <a:latin typeface="+mn-lt"/>
              <a:ea typeface="+mn-ea"/>
              <a:cs typeface="+mn-cs"/>
            </a:rPr>
            <a:t>alla</a:t>
          </a:r>
          <a:r>
            <a:rPr lang="en-US" sz="1100">
              <a:solidFill>
                <a:schemeClr val="lt1"/>
              </a:solidFill>
              <a:effectLst/>
              <a:latin typeface="+mn-lt"/>
              <a:ea typeface="+mn-ea"/>
              <a:cs typeface="+mn-cs"/>
            </a:rPr>
            <a:t> inriktnings- och profilkurser före kurser för hela programmet.</a:t>
          </a:r>
          <a:endParaRPr lang="en-US" sz="1100">
            <a:solidFill>
              <a:schemeClr val="lt1"/>
            </a:solidFill>
          </a:endParaRPr>
        </a:p>
        <a:p>
          <a:endParaRPr lang="en-US" sz="1100">
            <a:solidFill>
              <a:schemeClr val="lt1"/>
            </a:solidFill>
          </a:endParaRPr>
        </a:p>
        <a:p>
          <a:r>
            <a:rPr lang="en-US" sz="1100">
              <a:solidFill>
                <a:schemeClr val="lt1"/>
              </a:solidFill>
            </a:rPr>
            <a:t>För att lägga till enstaka kurser: använd istället verktyget högst upp i Programkurser.</a:t>
          </a:r>
        </a:p>
      </xdr:txBody>
    </xdr:sp>
    <xdr:clientData/>
  </xdr:twoCellAnchor>
  <xdr:twoCellAnchor>
    <xdr:from>
      <xdr:col>5</xdr:col>
      <xdr:colOff>230722</xdr:colOff>
      <xdr:row>6</xdr:row>
      <xdr:rowOff>76196</xdr:rowOff>
    </xdr:from>
    <xdr:to>
      <xdr:col>6</xdr:col>
      <xdr:colOff>240307</xdr:colOff>
      <xdr:row>7</xdr:row>
      <xdr:rowOff>21897</xdr:rowOff>
    </xdr:to>
    <xdr:sp macro="" textlink="">
      <xdr:nvSpPr>
        <xdr:cNvPr id="13" name="likbent triangel 21"/>
        <xdr:cNvSpPr/>
      </xdr:nvSpPr>
      <xdr:spPr>
        <a:xfrm flipH="1" flipV="1">
          <a:off x="8431747" y="1523996"/>
          <a:ext cx="381060" cy="450526"/>
        </a:xfrm>
        <a:prstGeom prst="triangle">
          <a:avLst>
            <a:gd name="adj" fmla="val 0"/>
          </a:avLst>
        </a:prstGeom>
        <a:solidFill>
          <a:schemeClr val="accent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37160" rtlCol="0" anchor="t"/>
        <a:lstStyle/>
        <a:p>
          <a:pPr algn="l"/>
          <a:endParaRPr lang="en-US" sz="1100"/>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Tobias Genborg" refreshedDate="41844.738090393519" createdVersion="5" refreshedVersion="5" minRefreshableVersion="3" recordCount="15">
  <cacheSource type="worksheet">
    <worksheetSource name="Programplan"/>
  </cacheSource>
  <cacheFields count="15">
    <cacheField name="KURSNAMN" numFmtId="0">
      <sharedItems/>
    </cacheField>
    <cacheField name="BETYG" numFmtId="0">
      <sharedItems containsBlank="1" containsMixedTypes="1" containsNumber="1" containsInteger="1" minValue="4" maxValue="4"/>
    </cacheField>
    <cacheField name="KURSKOD" numFmtId="0">
      <sharedItems/>
    </cacheField>
    <cacheField name="INRIKTNING" numFmtId="0">
      <sharedItems/>
    </cacheField>
    <cacheField name="NIVÅ" numFmtId="0">
      <sharedItems/>
    </cacheField>
    <cacheField name="POÄNG" numFmtId="0">
      <sharedItems containsSemiMixedTypes="0" containsString="0" containsNumber="1" containsInteger="1" minValue="4" maxValue="12"/>
    </cacheField>
    <cacheField name="ÅRSKURS" numFmtId="0">
      <sharedItems containsSemiMixedTypes="0" containsString="0" containsNumber="1" containsInteger="1" minValue="1" maxValue="5"/>
    </cacheField>
    <cacheField name="TERMIN" numFmtId="0">
      <sharedItems containsSemiMixedTypes="0" containsString="0" containsNumber="1" containsInteger="1" minValue="1" maxValue="9" count="9">
        <n v="1"/>
        <n v="2"/>
        <n v="3"/>
        <n v="6"/>
        <n v="7"/>
        <n v="8"/>
        <n v="9"/>
        <n v="4" u="1"/>
        <n v="5" u="1"/>
      </sharedItems>
    </cacheField>
    <cacheField name="PERIOD" numFmtId="0">
      <sharedItems containsMixedTypes="1" containsNumber="1" minValue="1" maxValue="4" count="9">
        <s v=" 1, 2"/>
        <n v="2"/>
        <n v="1"/>
        <s v="2, 2"/>
        <s v="1, 2"/>
        <s v="1, 1"/>
        <n v="1.2" u="1"/>
        <n v="3" u="1"/>
        <n v="4" u="1"/>
      </sharedItems>
    </cacheField>
    <cacheField name="BLOCK" numFmtId="0">
      <sharedItems containsMixedTypes="1" containsNumber="1" minValue="1" maxValue="4" count="12">
        <s v=" 2, 1"/>
        <n v="3"/>
        <s v=" 1, 2+4"/>
        <n v="2"/>
        <s v=" 1, 1"/>
        <n v="1"/>
        <s v=" 3, 1"/>
        <s v="2, 2"/>
        <s v="1, 2"/>
        <s v="3, 3"/>
        <n v="4" u="1"/>
        <n v="2.1" u="1"/>
      </sharedItems>
    </cacheField>
    <cacheField name="Block 1" numFmtId="0">
      <sharedItems containsMixedTypes="1" containsNumber="1" containsInteger="1" minValue="1" maxValue="1"/>
    </cacheField>
    <cacheField name="Block 2" numFmtId="0">
      <sharedItems containsMixedTypes="1" containsNumber="1" containsInteger="1" minValue="1" maxValue="1"/>
    </cacheField>
    <cacheField name="Block 3" numFmtId="0">
      <sharedItems containsMixedTypes="1" containsNumber="1" containsInteger="1" minValue="1" maxValue="1"/>
    </cacheField>
    <cacheField name="Block 4" numFmtId="0">
      <sharedItems containsMixedTypes="1" containsNumber="1" containsInteger="1" minValue="1" maxValue="1"/>
    </cacheField>
    <cacheField name="GRADES" numFmtId="0">
      <sharedItems containsSemiMixedTypes="0" containsString="0" containsNumber="1" containsInteger="1" minValue="0" maxValue="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5">
  <r>
    <s v="Linjär algebra"/>
    <m/>
    <s v="TATA31"/>
    <s v=" Obligatorisk"/>
    <s v="G1"/>
    <n v="8"/>
    <n v="1"/>
    <x v="0"/>
    <x v="0"/>
    <x v="0"/>
    <n v="1"/>
    <n v="1"/>
    <s v=""/>
    <s v=""/>
    <n v="0"/>
  </r>
  <r>
    <s v="Envariabelanalys 1"/>
    <s v="g"/>
    <s v="TATA41"/>
    <s v=" Obligatorisk"/>
    <s v="G1"/>
    <n v="6"/>
    <n v="1"/>
    <x v="0"/>
    <x v="1"/>
    <x v="1"/>
    <s v=""/>
    <s v=""/>
    <n v="1"/>
    <s v=""/>
    <n v="1"/>
  </r>
  <r>
    <s v="Industriell ekonomi"/>
    <n v="4"/>
    <s v="TEIE17"/>
    <s v=" Obligatorisk"/>
    <s v="G1"/>
    <n v="10"/>
    <n v="1"/>
    <x v="0"/>
    <x v="0"/>
    <x v="2"/>
    <n v="1"/>
    <n v="1"/>
    <s v=""/>
    <n v="1"/>
    <n v="1"/>
  </r>
  <r>
    <s v="Envariabelanalys 2"/>
    <s v="g"/>
    <s v="TATA42"/>
    <s v=" Obligatorisk"/>
    <s v="G1"/>
    <n v="6"/>
    <n v="1"/>
    <x v="1"/>
    <x v="2"/>
    <x v="3"/>
    <s v=""/>
    <n v="1"/>
    <s v=""/>
    <s v=""/>
    <n v="1"/>
  </r>
  <r>
    <s v="Flervariabelanalys"/>
    <m/>
    <s v="TATA43"/>
    <s v=" Obligatorisk"/>
    <s v="G1"/>
    <n v="8"/>
    <n v="1"/>
    <x v="1"/>
    <x v="1"/>
    <x v="3"/>
    <s v=""/>
    <n v="1"/>
    <s v=""/>
    <s v=""/>
    <n v="0"/>
  </r>
  <r>
    <s v="Industriell organisation, grundkurs"/>
    <m/>
    <s v="TEIO61"/>
    <s v=" Obligatorisk"/>
    <s v="G2"/>
    <n v="6"/>
    <n v="1"/>
    <x v="1"/>
    <x v="0"/>
    <x v="4"/>
    <n v="1"/>
    <s v=""/>
    <s v=""/>
    <s v=""/>
    <n v="0"/>
  </r>
  <r>
    <s v="Optimeringslära, grundkurs"/>
    <m/>
    <s v="TAOP14"/>
    <s v=" Obligatorisk"/>
    <s v="G1"/>
    <n v="6"/>
    <n v="2"/>
    <x v="2"/>
    <x v="2"/>
    <x v="5"/>
    <n v="1"/>
    <s v=""/>
    <s v=""/>
    <s v=""/>
    <n v="0"/>
  </r>
  <r>
    <s v="Mekanik I"/>
    <m/>
    <s v="TMME27"/>
    <s v=" Obligatorisk"/>
    <s v="G1"/>
    <n v="10"/>
    <n v="2"/>
    <x v="2"/>
    <x v="0"/>
    <x v="6"/>
    <n v="1"/>
    <s v=""/>
    <n v="1"/>
    <s v=""/>
    <n v="0"/>
  </r>
  <r>
    <s v="Affärsrätt I"/>
    <m/>
    <s v="TEIE95"/>
    <s v=" Valbar"/>
    <s v="G1"/>
    <n v="4"/>
    <n v="3"/>
    <x v="3"/>
    <x v="1"/>
    <x v="3"/>
    <s v=""/>
    <n v="1"/>
    <s v=""/>
    <s v=""/>
    <n v="0"/>
  </r>
  <r>
    <s v="Affektiv produktutveckling"/>
    <s v="g"/>
    <s v="TMKT71"/>
    <s v="Systemteknik"/>
    <s v="A"/>
    <n v="6"/>
    <n v="4"/>
    <x v="4"/>
    <x v="3"/>
    <x v="7"/>
    <s v=""/>
    <n v="1"/>
    <s v=""/>
    <s v=""/>
    <n v="1"/>
  </r>
  <r>
    <s v="Affärssystem: process och implementering"/>
    <m/>
    <s v="TDEI13"/>
    <s v="Ekonomiska informationssystem"/>
    <s v="A"/>
    <n v="6"/>
    <n v="4"/>
    <x v="4"/>
    <x v="3"/>
    <x v="7"/>
    <s v=""/>
    <n v="1"/>
    <s v=""/>
    <s v=""/>
    <n v="0"/>
  </r>
  <r>
    <s v="Analog konstruktion"/>
    <m/>
    <s v="TSTE13"/>
    <s v=" Valbar"/>
    <s v="A"/>
    <n v="12"/>
    <n v="4"/>
    <x v="4"/>
    <x v="4"/>
    <x v="8"/>
    <n v="1"/>
    <n v="1"/>
    <s v=""/>
    <s v=""/>
    <n v="0"/>
  </r>
  <r>
    <s v="Affärsrätt I"/>
    <m/>
    <s v="TEIE95"/>
    <s v=" Valbar"/>
    <s v="G1"/>
    <n v="4"/>
    <n v="4"/>
    <x v="5"/>
    <x v="1"/>
    <x v="3"/>
    <s v=""/>
    <n v="1"/>
    <s v=""/>
    <s v=""/>
    <n v="0"/>
  </r>
  <r>
    <s v="Användbarhet i ett ekonomiskt perspektiv"/>
    <m/>
    <s v="TDDD03"/>
    <s v="Datateknik"/>
    <s v="G2"/>
    <n v="6"/>
    <n v="4"/>
    <x v="5"/>
    <x v="5"/>
    <x v="9"/>
    <s v=""/>
    <s v=""/>
    <n v="1"/>
    <s v=""/>
    <n v="0"/>
  </r>
  <r>
    <s v="Aerodynamik"/>
    <s v="g"/>
    <s v="TMMV01"/>
    <s v="Systemteknik"/>
    <s v="A"/>
    <n v="6"/>
    <n v="5"/>
    <x v="6"/>
    <x v="5"/>
    <x v="7"/>
    <s v=""/>
    <n v="1"/>
    <s v=""/>
    <s v=""/>
    <n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erminsammans." cacheId="5" dataPosition="0" applyNumberFormats="0" applyBorderFormats="0" applyFontFormats="0" applyPatternFormats="0" applyAlignmentFormats="0" applyWidthHeightFormats="1" dataCaption="Värden" updatedVersion="5" minRefreshableVersion="3" useAutoFormatting="1" rowGrandTotals="0" colGrandTotals="0" itemPrintTitles="1" createdVersion="5" indent="0" compact="0" outline="1" outlineData="1" compactData="0" multipleFieldFilters="0" chartFormat="8">
  <location ref="H15:L62" firstHeaderRow="0" firstDataRow="1" firstDataCol="3"/>
  <pivotFields count="15">
    <pivotField dataField="1" compact="0" showAll="0" insertBlankRow="1"/>
    <pivotField compact="0" showAll="0" insertBlankRow="1"/>
    <pivotField compact="0" showAll="0" insertBlankRow="1"/>
    <pivotField compact="0" showAll="0" insertBlankRow="1"/>
    <pivotField compact="0" showAll="0" insertBlankRow="1"/>
    <pivotField dataField="1" compact="0" showAll="0" insertBlankRow="1"/>
    <pivotField compact="0" showAll="0" insertBlankRow="1"/>
    <pivotField axis="axisRow" compact="0" showAll="0" insertBlankRow="1">
      <items count="10">
        <item x="0"/>
        <item x="1"/>
        <item m="1" x="8"/>
        <item x="3"/>
        <item m="1" x="7"/>
        <item x="2"/>
        <item x="5"/>
        <item x="4"/>
        <item x="6"/>
        <item t="default"/>
      </items>
    </pivotField>
    <pivotField axis="axisRow" compact="0" showAll="0" insertBlankRow="1">
      <items count="10">
        <item x="2"/>
        <item x="1"/>
        <item m="1" x="8"/>
        <item m="1" x="7"/>
        <item m="1" x="6"/>
        <item x="0"/>
        <item x="3"/>
        <item x="5"/>
        <item x="4"/>
        <item t="default"/>
      </items>
    </pivotField>
    <pivotField axis="axisRow" compact="0" showAll="0" insertBlankRow="1">
      <items count="13">
        <item x="5"/>
        <item x="3"/>
        <item x="1"/>
        <item m="1" x="10"/>
        <item m="1" x="11"/>
        <item x="0"/>
        <item x="2"/>
        <item x="7"/>
        <item x="4"/>
        <item x="8"/>
        <item x="6"/>
        <item x="9"/>
        <item t="default"/>
      </items>
    </pivotField>
    <pivotField compact="0" showAll="0" defaultSubtotal="0"/>
    <pivotField compact="0" showAll="0" defaultSubtotal="0"/>
    <pivotField compact="0" showAll="0" defaultSubtotal="0"/>
    <pivotField compact="0" showAll="0" defaultSubtotal="0"/>
    <pivotField compact="0" showAll="0" defaultSubtotal="0"/>
  </pivotFields>
  <rowFields count="3">
    <field x="7"/>
    <field x="8"/>
    <field x="9"/>
  </rowFields>
  <rowItems count="47">
    <i>
      <x/>
    </i>
    <i r="1">
      <x v="1"/>
    </i>
    <i r="2">
      <x v="2"/>
    </i>
    <i t="blank" r="1">
      <x v="1"/>
    </i>
    <i r="1">
      <x v="5"/>
    </i>
    <i r="2">
      <x v="5"/>
    </i>
    <i r="2">
      <x v="6"/>
    </i>
    <i t="blank" r="1">
      <x v="5"/>
    </i>
    <i>
      <x v="1"/>
    </i>
    <i r="1">
      <x/>
    </i>
    <i r="2">
      <x v="1"/>
    </i>
    <i t="blank" r="1">
      <x/>
    </i>
    <i r="1">
      <x v="1"/>
    </i>
    <i r="2">
      <x v="1"/>
    </i>
    <i t="blank" r="1">
      <x v="1"/>
    </i>
    <i r="1">
      <x v="5"/>
    </i>
    <i r="2">
      <x v="8"/>
    </i>
    <i t="blank" r="1">
      <x v="5"/>
    </i>
    <i>
      <x v="3"/>
    </i>
    <i r="1">
      <x v="1"/>
    </i>
    <i r="2">
      <x v="1"/>
    </i>
    <i t="blank" r="1">
      <x v="1"/>
    </i>
    <i>
      <x v="5"/>
    </i>
    <i r="1">
      <x/>
    </i>
    <i r="2">
      <x/>
    </i>
    <i t="blank" r="1">
      <x/>
    </i>
    <i r="1">
      <x v="5"/>
    </i>
    <i r="2">
      <x v="10"/>
    </i>
    <i t="blank" r="1">
      <x v="5"/>
    </i>
    <i>
      <x v="6"/>
    </i>
    <i r="1">
      <x v="1"/>
    </i>
    <i r="2">
      <x v="1"/>
    </i>
    <i t="blank" r="1">
      <x v="1"/>
    </i>
    <i r="1">
      <x v="7"/>
    </i>
    <i r="2">
      <x v="11"/>
    </i>
    <i t="blank" r="1">
      <x v="7"/>
    </i>
    <i>
      <x v="7"/>
    </i>
    <i r="1">
      <x v="6"/>
    </i>
    <i r="2">
      <x v="7"/>
    </i>
    <i t="blank" r="1">
      <x v="6"/>
    </i>
    <i r="1">
      <x v="8"/>
    </i>
    <i r="2">
      <x v="9"/>
    </i>
    <i t="blank" r="1">
      <x v="8"/>
    </i>
    <i>
      <x v="8"/>
    </i>
    <i r="1">
      <x v="7"/>
    </i>
    <i r="2">
      <x v="7"/>
    </i>
    <i t="blank" r="1">
      <x v="7"/>
    </i>
  </rowItems>
  <colFields count="1">
    <field x="-2"/>
  </colFields>
  <colItems count="2">
    <i>
      <x/>
    </i>
    <i i="1">
      <x v="1"/>
    </i>
  </colItems>
  <dataFields count="2">
    <dataField name="Antal av KURSNAMN" fld="0" subtotal="count" baseField="0" baseItem="0"/>
    <dataField name="Summa av POÄNG" fld="5" baseField="0" baseItem="0"/>
  </dataFields>
  <formats count="11">
    <format dxfId="32">
      <pivotArea outline="0" collapsedLevelsAreSubtotals="1" fieldPosition="0"/>
    </format>
    <format dxfId="31">
      <pivotArea type="all" dataOnly="0" outline="0" fieldPosition="0"/>
    </format>
    <format dxfId="30">
      <pivotArea outline="0" collapsedLevelsAreSubtotals="1" fieldPosition="0"/>
    </format>
    <format dxfId="29">
      <pivotArea dataOnly="0" labelOnly="1" outline="0" fieldPosition="0">
        <references count="1">
          <reference field="7" count="0"/>
        </references>
      </pivotArea>
    </format>
    <format dxfId="28">
      <pivotArea dataOnly="0" labelOnly="1" outline="0" fieldPosition="0">
        <references count="2">
          <reference field="7" count="0" selected="0"/>
          <reference field="8" count="0"/>
        </references>
      </pivotArea>
    </format>
    <format dxfId="27">
      <pivotArea dataOnly="0" labelOnly="1" outline="0" fieldPosition="0">
        <references count="3">
          <reference field="7" count="0" selected="0"/>
          <reference field="8" count="0" selected="0"/>
          <reference field="9" count="0"/>
        </references>
      </pivotArea>
    </format>
    <format dxfId="26">
      <pivotArea dataOnly="0" labelOnly="1" outline="0" fieldPosition="0">
        <references count="1">
          <reference field="4294967294" count="2">
            <x v="0"/>
            <x v="1"/>
          </reference>
        </references>
      </pivotArea>
    </format>
    <format dxfId="25">
      <pivotArea dataOnly="0" labelOnly="1" outline="0" fieldPosition="0">
        <references count="1">
          <reference field="4294967294" count="2">
            <x v="0"/>
            <x v="1"/>
          </reference>
        </references>
      </pivotArea>
    </format>
    <format dxfId="24">
      <pivotArea field="7" type="button" dataOnly="0" labelOnly="1" outline="0" axis="axisRow" fieldPosition="0"/>
    </format>
    <format dxfId="23">
      <pivotArea dataOnly="0" outline="0" fieldPosition="0">
        <references count="1">
          <reference field="4294967294" count="2">
            <x v="0"/>
            <x v="1"/>
          </reference>
        </references>
      </pivotArea>
    </format>
    <format dxfId="22">
      <pivotArea dataOnly="0" labelOnly="1" outline="0" fieldPosition="0">
        <references count="1">
          <reference field="4294967294" count="2">
            <x v="0"/>
            <x v="1"/>
          </reference>
        </references>
      </pivotArea>
    </format>
  </formats>
  <pivotTableStyleInfo name="PivotStyleMedium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Externadata_203" connectionId="81"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Externadata_404" connectionId="304"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Externadata_206" connectionId="84"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Externadata_75" connectionId="392"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Externadata_280" connectionId="166"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Externadata_376" connectionId="273"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Externadata_218" connectionId="97"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Externadata_216" connectionId="95"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Externadata_264" connectionId="149"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Externadata_177" connectionId="52"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Externadata_166" connectionId="40"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Externadata_112" connectionId="80"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Externadata_375" connectionId="272"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Externadata_210" connectionId="88"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Externadata_128" connectionId="415"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Externadata_257" connectionId="141"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Externadata_82" connectionId="400"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Externadata_392" connectionId="290"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Externadata_34" connectionId="258"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Externadata_403" connectionId="303"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Externadata_275" connectionId="161"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Externadata_315" connectionId="205"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Externadata_208" connectionId="86"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Externadata_356" connectionId="251"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Externadata_299" connectionId="187"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Externadata_281" connectionId="167"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Externadata_365" connectionId="261"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Externadata_372" connectionId="26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Externadata_59" connectionId="374"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Externadata_288" connectionId="175"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Externadata_156" connectionId="29"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Externadata_173" connectionId="48"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Externadata_189" connectionId="65"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Externadata_430" connectionId="332"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Externadata_212" connectionId="9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Externadata_168" connectionId="42"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Externadata_390" connectionId="288"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Externadata_304" connectionId="193"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Externadata_105" connectionId="3"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Externadata_379" connectionId="276"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Externadata_318" connectionId="208"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Externadata_369" connectionId="265"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Externadata_57" connectionId="372"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Externadata_224" connectionId="104"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Externadata_442" connectionId="346"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Externadata_119" connectionId="158"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Externadata_391" connectionId="289"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Externadata_127" connectionId="414"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Externadata_74" connectionId="391"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Externadata_55" connectionId="37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Externadata_242" connectionId="124"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Externadata_444" connectionId="349"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Externadata_144" connectionId="16"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Externadata_154" connectionId="27"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Externadata_345" connectionId="239"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Externadata_293" connectionId="181"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Externadata_247" connectionId="130"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Externadata_89" connectionId="407"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Externadata_215" connectionId="94"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Externadata_433" connectionId="337"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Externadata_377" connectionId="274"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Externadata_68" connectionId="384"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Externadata_169" connectionId="43"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Externadata_240" connectionId="122"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Externadata_161" connectionId="34"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Externadata_246" connectionId="129"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Externadata_446" connectionId="351"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Externadata_385" connectionId="283"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Externadata_118" connectionId="147"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Externadata_139" connectionId="10"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Externadata_342" connectionId="235"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Externadata_160" connectionId="33"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Externadata_245" connectionId="128"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Externadata_313" connectionId="203"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Externadata_260" connectionId="144"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Externadata_360" connectionId="255"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Externadata_190" connectionId="66"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Externadata_329" connectionId="220"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Externadata_282" connectionId="168"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Externadata_402" connectionId="301"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Externadata_107" connectionId="25"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Externadata_400" connectionId="299"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Externadata_359" connectionId="254"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Externadata_322" connectionId="212"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Externadata_386" connectionId="284"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Externadata_348" connectionId="242"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Externadata_292" connectionId="179"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Externadata_31" connectionId="225"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Externadata_101" connectionId="376"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Externadata_307" connectionId="196"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Externadata_237" connectionId="119"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Externadata_278" connectionId="164"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Externadata_232" connectionId="112"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Externadata_45" connectionId="359"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Externadata_187" connectionId="63"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Externadata_384" connectionId="282"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Externadata_88" connectionId="406"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Externadata_147" connectionId="19"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Externadata_366" connectionId="262"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Externadata_129" connectionId="416"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Externadata_437" connectionId="341"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Externadata_29" connectionId="202"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Externadata_382" connectionId="279"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Externadata_324" connectionId="215"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Externadata_249" connectionId="132"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Externadata_436" connectionId="340"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Externadata_301" connectionId="189"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Externadata_423" connectionId="325"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Externadata_449" connectionId="354"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Externadata_321" connectionId="211"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Externadata_221" connectionId="100"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Externadata_200" connectionId="77"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Externadata_347" connectionId="241"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Externadata_279" connectionId="165"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Externadata_233" connectionId="115"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Externadata_231" connectionId="111"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Externadata_305" connectionId="194"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Externadata_397" connectionId="296"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Externadata_186" connectionId="62"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Externadata_106" connectionId="14"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Externadata_358" connectionId="253"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Externadata_330" connectionId="221"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Externadata_253" connectionId="137"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Externadata_110" connectionId="58"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Externadata_429" connectionId="331"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Externadata_367" connectionId="263"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Externadata_148" connectionId="20"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Externadata_30" connectionId="213"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Externadata_162" connectionId="35"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Externadata_272" connectionId="157"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Externadata_333" connectionId="226"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Externadata_96" connectionId="2"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Externadata_182" connectionId="57"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Externadata_117" connectionId="136"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Externadata_194" connectionId="71"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Externadata_65" connectionId="381"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Externadata_297" connectionId="185"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Externadata_294" connectionId="182"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Externadata_354" connectionId="249"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Externadata_273" connectionId="159"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Externadata_58" connectionId="373"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Externadata_353" connectionId="248"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Externadata_109" connectionId="47"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Externadata_81" connectionId="399"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Externadata_311" connectionId="200"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Externadata_191" connectionId="67"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Externadata_267" connectionId="152"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Externadata_371" connectionId="267"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Externadata_312" connectionId="201"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Externadata_351" connectionId="245"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Externadata_197" connectionId="74"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Externadata_85" connectionId="403"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Externadata_228" connectionId="108"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Externadata_334" connectionId="227"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Externadata_271" connectionId="156"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Externadata_238" connectionId="120"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Externadata_76" connectionId="393"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Externadata_420" connectionId="321"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Externadata_134" connectionId="5"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Externadata_87" connectionId="405"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Externadata_254" connectionId="138"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Externadata_438" connectionId="342"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Externadata_84" connectionId="402"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Externadata_111" connectionId="69"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Externadata_440" connectionId="344"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Externadata_364" connectionId="260"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Externadata_399" connectionId="298"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Externadata_141" connectionId="12"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Externadata_50" connectionId="364"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Externadata_196" connectionId="73"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Externadata_378" connectionId="275"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Externadata_409" connectionId="309"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Externadata_425" connectionId="327"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Externadata_41" connectionId="336"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Externadata_374" connectionId="271"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Externadata_207" connectionId="85"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Externadata_381" connectionId="278"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Externadata_230" connectionId="110"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Externadata_396" connectionId="295"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Externadata_424" connectionId="326"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Externadata_184" connectionId="60"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Externadata_310" connectionId="199"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Externadata_266" connectionId="151"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Externadata_124" connectionId="302"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Externadata_363" connectionId="259"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Externadata_51" connectionId="366"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Externadata_323" connectionId="214"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Externadata_340" connectionId="233"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Externadata_120" connectionId="169"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Externadata_405" connectionId="305"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Externadata_222" connectionId="101"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Externadata_67" connectionId="383"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Externadata_431" connectionId="333"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Externadata_72" connectionId="389"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Externadata_388" connectionId="286"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Externadata_227" connectionId="107"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Externadata_213" connectionId="92"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Externadata_263" connectionId="148"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Externadata_344" connectionId="238"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Externadata_70" connectionId="386"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Externadata_251" connectionId="134"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Externadata_286" connectionId="173"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Externadata_328" connectionId="219"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Externadata_130" connectionId="417"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Externadata_234" connectionId="116"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Externadata_99" connectionId="335"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Externadata_195" connectionId="72"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Externadata_95" connectionId="1"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Externadata_415" connectionId="316"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Externadata_435" connectionId="339"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Externadata_411" connectionId="311"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Externadata_450" connectionId="355"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Externadata_172" connectionId="46"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Externadata_252" connectionId="135"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Externadata_61" connectionId="377"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Externadata_395" connectionId="294"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Externadata_121" connectionId="180"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Externadata_283" connectionId="170"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Externadata_146" connectionId="18"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Externadata_248" connectionId="131"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Externadata_235" connectionId="117"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Externadata_152" connectionId="24"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Externadata_289" connectionId="176"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Externadata_126" connectionId="324"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Externadata_317" connectionId="207"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Externadata_393" connectionId="292"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Externadata_298" connectionId="186"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Externadata_149" connectionId="21"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Externadata_383" connectionId="281"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Externadata_346" connectionId="240"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Externadata_138" connectionId="9"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Externadata_341" connectionId="234"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Externadata_52" connectionId="367"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Externadata_255" connectionId="139"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Externadata_133" connectionId="4"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Externadata_314" connectionId="204"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Externadata_352" connectionId="246"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Externadata_277" connectionId="163"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Externadata_153" connectionId="26"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Externadata_290" connectionId="177"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Externadata_447" connectionId="352"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Externadata_319" connectionId="209"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Externadata_335" connectionId="228"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Externadata_137" connectionId="8"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Externadata_439" connectionId="343"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Externadata_427" connectionId="329"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Externadata_407" connectionId="307"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Externadata_414" connectionId="315"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Externadata_357" connectionId="252"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Externadata_102" connectionId="387"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Externadata_326" connectionId="217"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Externadata_35" connectionId="269"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Externadata_451" connectionId="356"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Externadata_296" connectionId="184"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Externadata_300" connectionId="188"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Externadata_408" connectionId="308"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Externadata_63" connectionId="379"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Externadata_165" connectionId="39"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Externadata_46" connectionId="360"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Externadata_164" connectionId="38"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Externadata_150" connectionId="22"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Externadata_193" connectionId="70"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Externadata_209" connectionId="87"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Externadata_316" connectionId="206"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Externadata_394" connectionId="293"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Externadata_54" connectionId="369"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Externadata_115" connectionId="114"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Externadata_91" connectionId="410"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Externadata_343" connectionId="237"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Externadata_42" connectionId="347"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Externadata_428" connectionId="330"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Externadata_183" connectionId="59"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Externadata_320" connectionId="210"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Externadata_331" connectionId="222"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Externadata_250" connectionId="133"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Externadata_219" connectionId="98"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Externadata_243" connectionId="126"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Externadata_167" connectionId="41"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Externadata_90" connectionId="408"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Externadata_337" connectionId="230"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Externadata_441" connectionId="345"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Externadata_349" connectionId="243"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Externadata_419" connectionId="320"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Externadata_362" connectionId="257"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Externadata_32" connectionId="236"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Externadata_306" connectionId="195"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Externadata_370" connectionId="266"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Externadata_259" connectionId="143"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Externadata_94" connectionId="413"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Externadata_434" connectionId="338"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Externadata_268" connectionId="153"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Externadata_176" connectionId="51"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Externadata_71" connectionId="388"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Externadata_28" connectionId="191"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Externadata_410" connectionId="310"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Externadata_104" connectionId="409"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Externadata_270" connectionId="155"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Externadata_202" connectionId="79"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Externadata_426" connectionId="328"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Externadata_69" connectionId="385"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Externadata_325" connectionId="216"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Externadata_151" connectionId="23"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Externadata_406" connectionId="306"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Externadata_398" connectionId="297"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Externadata_269" connectionId="154"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Externadata_295" connectionId="183"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Externadata_56" connectionId="371"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Externadata_135" connectionId="6"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Externadata_77" connectionId="394"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Externadata_155" connectionId="28"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Externadata_93" connectionId="412"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Externadata_180" connectionId="55"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Externadata_48" connectionId="362"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Externadata_98" connectionId="224"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Externadata_116" connectionId="125"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Externadata_308" connectionId="197"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Externadata_201" connectionId="78"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Externadata_291" connectionId="178"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Externadata_143" connectionId="15"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Externadata_80" connectionId="397"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Externadata_97" connectionId="113"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Externadata_413" connectionId="314"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Externadata_62" connectionId="378"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Externadata_287" connectionId="174"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Externadata_131" connectionId="418"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Externadata_302" connectionId="190"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Externadata_204" connectionId="82"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Externadata_303" connectionId="192"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Externadata_432" connectionId="334"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Externadata_338" connectionId="231"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Externadata_175" connectionId="50"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Externadata_309" connectionId="198"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Externadata_181" connectionId="56"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Externadata_211" connectionId="89"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Externadata_113" connectionId="91"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Externadata_43" connectionId="357"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Externadata_92" connectionId="411"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Externadata_145" connectionId="17"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Externadata_132" connectionId="419"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Externadata_339" connectionId="232"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Externadata_418" connectionId="319"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Externadata_421" connectionId="322"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Externadata_350" connectionId="244"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Externadata_214" connectionId="93"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Externadata_53" connectionId="368"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Externadata_49" connectionId="363"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Externadata_44" connectionId="358"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Externadata_274" connectionId="160"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Externadata_158" connectionId="31"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Externadata_226" connectionId="106"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Externadata_136" connectionId="7"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Externadata_223" connectionId="103"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Externadata_33" connectionId="247"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Externadata_188" connectionId="64"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Externadata_185" connectionId="61"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Externadata_66" connectionId="382"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Externadata_198" connectionId="75"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Externadata_276" connectionId="162"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Externadata_140" connectionId="11"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Externadata_445" connectionId="350"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Externadata_122" connectionId="280"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Externadata_159" connectionId="32"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Externadata_163" connectionId="37"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Externadata_422" connectionId="323"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Externadata_239" connectionId="121"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Externadata_373" connectionId="270"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Externadata_100" connectionId="365"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Externadata_284" connectionId="171"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Externadata_262" connectionId="146"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Externadata_416" connectionId="317"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Externadata_199" connectionId="76"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Externadata_205" connectionId="83"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Externadata_114" connectionId="102"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Externadata_64" connectionId="380"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Externadata_389" connectionId="287"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Externadata_368" connectionId="264"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Externadata_261" connectionId="145"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Externadata_103" connectionId="398"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Externadata_401" connectionId="300"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Externadata_380" connectionId="277"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Externadata_86" connectionId="404"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Externadata_79" connectionId="396"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Externadata_217" connectionId="96"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Externadata_336" connectionId="229"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Externadata_108" connectionId="36"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Externadata_179" connectionId="54"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Externadata_157" connectionId="30"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Externadata_73" connectionId="390"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Externadata_174" connectionId="49"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Externadata_220" connectionId="99"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Externadata_236" connectionId="118"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Externadata_170" connectionId="44"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Externadata_192" connectionId="68"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Externadata_443" connectionId="348"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Externadata_142" connectionId="13"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Externadata_125" connectionId="313"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Externadata_225" connectionId="105"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Externadata_361" connectionId="256"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Externadata_412" connectionId="312"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Externadata_285" connectionId="172"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Externadata_244" connectionId="127"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Externadata_60" connectionId="375"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Externadata_178" connectionId="53"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Externadata_327" connectionId="218"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Externadata_417" connectionId="318"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Externadata_258" connectionId="142"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Externadata_387" connectionId="285"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Externadata_448" connectionId="353"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Externadata_355" connectionId="250"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Externadata_83" connectionId="401"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Externadata_265" connectionId="150"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Externadata_47" connectionId="361"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Externadata_256" connectionId="140"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Externadata_123" connectionId="291"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Externadata_229" connectionId="109"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Externadata_241" connectionId="123"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Externadata_78" connectionId="395"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Externadata_171" connectionId="45"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Externadata_332" connectionId="223" autoFormatId="16" applyNumberFormats="0" applyBorderFormats="0" applyFontFormats="1" applyPatternFormats="1" applyAlignmentFormats="0" applyWidthHeightFormats="0"/>
</file>

<file path=xl/tables/table1.xml><?xml version="1.0" encoding="utf-8"?>
<table xmlns="http://schemas.openxmlformats.org/spreadsheetml/2006/main" id="1" name="Examenskrav" displayName="Examenskrav" ref="K6:O9" headerRowDxfId="124" dataDxfId="123" totalsRowDxfId="122">
  <autoFilter ref="K6:O9">
    <filterColumn colId="0" hiddenButton="1"/>
    <filterColumn colId="1" hiddenButton="1"/>
    <filterColumn colId="2" hiddenButton="1"/>
    <filterColumn colId="3" hiddenButton="1"/>
    <filterColumn colId="4" hiddenButton="1"/>
  </autoFilter>
  <tableColumns count="5">
    <tableColumn id="1" name="KURSPOÄNGSKRAV" dataDxfId="121" totalsRowDxfId="120"/>
    <tableColumn id="2" name="GODTYCKLIGA" dataDxfId="119" totalsRowDxfId="118"/>
    <tableColumn id="5" name="AVANCERADE" dataDxfId="117" totalsRowDxfId="116"/>
    <tableColumn id="3" name="GRUNDLÄGGANDE" dataDxfId="115" totalsRowDxfId="114">
      <calculatedColumnFormula>IFERROR(Examenskrav[[#This Row],[GODTYCKLIGA]]-SUMIFS(Programplan[POÄNG],Programplan[NIVÅ],"Avancerad"),"")</calculatedColumnFormula>
    </tableColumn>
    <tableColumn id="4" name="AVANCERADE KVAR" dataDxfId="113" totalsRowDxfId="112">
      <calculatedColumnFormula>IFERROR(Examenskrav[[#This Row],[AVANCERADE]]-I8,"")</calculatedColumnFormula>
    </tableColumn>
  </tableColumns>
  <tableStyleInfo name="Credit Requirements Summary" showFirstColumn="0" showLastColumn="0" showRowStripes="0" showColumnStripes="1"/>
  <extLst>
    <ext xmlns:x14="http://schemas.microsoft.com/office/spreadsheetml/2009/9/main" uri="{504A1905-F514-4f6f-8877-14C23A59335A}">
      <x14:table altText="Examenskrav" altTextSummary="Lista med poängkrav, till exempel huvudämne, samt totalt antal poäng, intjänade poäng och återstående poäng."/>
    </ext>
  </extLst>
</table>
</file>

<file path=xl/tables/table2.xml><?xml version="1.0" encoding="utf-8"?>
<table xmlns="http://schemas.openxmlformats.org/spreadsheetml/2006/main" id="5" name="Programplan" displayName="Programplan" ref="B15:P30" totalsRowShown="0" headerRowDxfId="111" dataDxfId="110" tableBorderDxfId="109">
  <autoFilter ref="B15:P30"/>
  <sortState ref="B16:P30">
    <sortCondition ref="I15:I30"/>
  </sortState>
  <tableColumns count="15">
    <tableColumn id="1" name="KURSNAMN" dataDxfId="108"/>
    <tableColumn id="9" name="BETYG" dataDxfId="107"/>
    <tableColumn id="2" name="KURSKOD" dataDxfId="106"/>
    <tableColumn id="3" name="INRIKTNING" dataDxfId="105"/>
    <tableColumn id="4" name="NIVÅ" dataDxfId="104"/>
    <tableColumn id="5" name="POÄNG" dataDxfId="103"/>
    <tableColumn id="11" name="ÅRSKURS" dataDxfId="102"/>
    <tableColumn id="6" name="TERMIN" dataDxfId="101"/>
    <tableColumn id="7" name="PERIOD" dataDxfId="100"/>
    <tableColumn id="10" name="BLOCK" dataDxfId="99"/>
    <tableColumn id="8" name="Block 1" dataDxfId="98">
      <calculatedColumnFormula>IFERROR(IF(SEARCH("1",Programplan[[#This Row],[BLOCK]])&gt;0,COUNTA(Programplan[[#This Row],[BLOCK]]),""),"")</calculatedColumnFormula>
    </tableColumn>
    <tableColumn id="12" name="Block 2" dataDxfId="97">
      <calculatedColumnFormula>IFERROR(IF(SEARCH("2",Programplan[[#This Row],[BLOCK]],1)&gt;0,COUNTA(Programplan[[#This Row],[BLOCK]]),""),"")</calculatedColumnFormula>
    </tableColumn>
    <tableColumn id="13" name="Block 3" dataDxfId="96">
      <calculatedColumnFormula>IFERROR(IF(SEARCH("3",Programplan[[#This Row],[BLOCK]],1)&gt;0,COUNTA(Programplan[[#This Row],[BLOCK]]),""),"")</calculatedColumnFormula>
    </tableColumn>
    <tableColumn id="14" name="Block 4" dataDxfId="95">
      <calculatedColumnFormula>IFERROR(IF(SEARCH("4",Programplan[[#This Row],[BLOCK]],1)&gt;0,COUNTA(Programplan[[#This Row],[BLOCK]]),""),"")</calculatedColumnFormula>
    </tableColumn>
    <tableColumn id="15" name="GRADES" dataDxfId="94">
      <calculatedColumnFormula>COUNTIF(Programplan[[#This Row],[BETYG]],"G")+COUNTIF(Programplan[[#This Row],[BETYG]],"3")+COUNTIF(Programplan[[#This Row],[BETYG]],"4")+COUNTIF(Programplan[[#This Row],[BETYG]],"5")</calculatedColumnFormula>
    </tableColumn>
  </tableColumns>
  <tableStyleInfo name="Course Listing" showFirstColumn="0" showLastColumn="0" showRowStripes="1" showColumnStripes="0"/>
</table>
</file>

<file path=xl/tables/table3.xml><?xml version="1.0" encoding="utf-8"?>
<table xmlns="http://schemas.openxmlformats.org/spreadsheetml/2006/main" id="2" name="Utlandsstudier" displayName="Utlandsstudier" ref="B39:J50" totalsRowCount="1" headerRowDxfId="93" dataDxfId="92" tableBorderDxfId="91">
  <autoFilter ref="B39:J49"/>
  <tableColumns count="9">
    <tableColumn id="1" name="KURSNAMN" dataDxfId="90" totalsRowDxfId="89"/>
    <tableColumn id="2" name="BETYG" dataDxfId="88" totalsRowDxfId="87"/>
    <tableColumn id="3" name="KURSKOD" dataDxfId="86" totalsRowDxfId="85"/>
    <tableColumn id="4" name="INRIKTNING" dataDxfId="84" totalsRowDxfId="83"/>
    <tableColumn id="5" name="NIVÅ" dataDxfId="82" totalsRowDxfId="81"/>
    <tableColumn id="6" name="CREDITS" totalsRowLabel="SUMMA HP" dataDxfId="80" totalsRowDxfId="79"/>
    <tableColumn id="7" name="HÖGSKOLEPOÄNG" totalsRowFunction="sum" dataDxfId="78" totalsRowDxfId="77">
      <calculatedColumnFormula>HPKVOT*Utlandsstudier[[#This Row],[CREDITS]]</calculatedColumnFormula>
    </tableColumn>
    <tableColumn id="8" name="APPROVED" dataDxfId="76" totalsRowDxfId="75"/>
    <tableColumn id="9" name="REGISTRERAD" dataDxfId="74" totalsRowDxfId="73"/>
  </tableColumns>
  <tableStyleInfo name="Course Listing" showFirstColumn="0" showLastColumn="0" showRowStripes="1" showColumnStripes="0"/>
</table>
</file>

<file path=xl/tables/table4.xml><?xml version="1.0" encoding="utf-8"?>
<table xmlns="http://schemas.openxmlformats.org/spreadsheetml/2006/main" id="6" name="ProgramKurser" displayName="ProgramKurser" ref="A15:L1392" headerRowDxfId="72">
  <autoFilter ref="A15:L1392"/>
  <tableColumns count="12">
    <tableColumn id="1" name="KURSNAMN" totalsRowLabel="Summa" dataDxfId="71" totalsRowDxfId="70"/>
    <tableColumn id="13" name="INGÅR I KURSPLAN" dataDxfId="69"/>
    <tableColumn id="2" name="KURSKOD" dataDxfId="68" totalsRowDxfId="67"/>
    <tableColumn id="3" name="INRIKTNING" dataDxfId="66" totalsRowDxfId="65"/>
    <tableColumn id="4" name="NIVÅ" dataDxfId="64" totalsRowDxfId="63"/>
    <tableColumn id="5" name="KURSPOÄNG" dataDxfId="62" totalsRowDxfId="61"/>
    <tableColumn id="7" name="TERMIN" totalsRowFunction="sum" dataDxfId="60" totalsRowDxfId="59"/>
    <tableColumn id="6" name="PERIOD" dataDxfId="58"/>
    <tableColumn id="8" name="ÅRSKURS" dataDxfId="57"/>
    <tableColumn id="9" name="BLOCK" dataDxfId="56"/>
    <tableColumn id="11" name="PROGRAM" dataDxfId="55"/>
    <tableColumn id="10" name="ÅR" dataDxfId="54"/>
  </tableColumns>
  <tableStyleInfo name="Course Listing" showFirstColumn="0" showLastColumn="0" showRowStripes="1" showColumnStripes="1"/>
  <extLst>
    <ext xmlns:x14="http://schemas.microsoft.com/office/spreadsheetml/2009/9/main" uri="{504A1905-F514-4f6f-8877-14C23A59335A}">
      <x14:table altText="Kurstabell" altTextSummary="Kurslista, kursnummer, examenskrav, poängtimmar, slutförande av kurs och termin."/>
    </ext>
  </extLst>
</table>
</file>

<file path=xl/tables/table5.xml><?xml version="1.0" encoding="utf-8"?>
<table xmlns="http://schemas.openxmlformats.org/spreadsheetml/2006/main" id="16" name="PoängTabell" displayName="PoängTabell" ref="B7:E15" totalsRowShown="0" headerRowDxfId="53" dataDxfId="52">
  <autoFilter ref="B7:E15"/>
  <sortState ref="B8:E15">
    <sortCondition ref="C7:C15"/>
  </sortState>
  <tableColumns count="4">
    <tableColumn id="1" name="Program" dataDxfId="51"/>
    <tableColumn id="2" name="Antagningsår" dataDxfId="50"/>
    <tableColumn id="3" name="Godtyckliga" dataDxfId="49">
      <calculatedColumnFormula>VLOOKUP(PoängTabell[[#This Row],[Program]],AvailablePrograms[],2,FALSE)</calculatedColumnFormula>
    </tableColumn>
    <tableColumn id="4" name="Avancerade" dataDxfId="48"/>
  </tableColumns>
  <tableStyleInfo name="Credit Requirements Summary" showFirstColumn="0" showLastColumn="0" showRowStripes="1" showColumnStripes="0"/>
</table>
</file>

<file path=xl/tables/table6.xml><?xml version="1.0" encoding="utf-8"?>
<table xmlns="http://schemas.openxmlformats.org/spreadsheetml/2006/main" id="19" name="Inriktningskrav" displayName="Inriktningskrav" ref="G7:K20" totalsRowShown="0" headerRowDxfId="47" dataDxfId="46">
  <autoFilter ref="G7:K20"/>
  <tableColumns count="5">
    <tableColumn id="1" name="Program" dataDxfId="45"/>
    <tableColumn id="2" name="Profilnamn" dataDxfId="44"/>
    <tableColumn id="3" name="Antagningsår" dataDxfId="43"/>
    <tableColumn id="4" name="Grundläggande poäng" dataDxfId="42"/>
    <tableColumn id="5" name="Avancerade poäng" dataDxfId="41"/>
  </tableColumns>
  <tableStyleInfo name="Credit Requirements Summary" showFirstColumn="0" showLastColumn="0" showRowStripes="1" showColumnStripes="0"/>
</table>
</file>

<file path=xl/tables/table7.xml><?xml version="1.0" encoding="utf-8"?>
<table xmlns="http://schemas.openxmlformats.org/spreadsheetml/2006/main" id="13" name="AvailablePrograms" displayName="AvailablePrograms" ref="E5:G16" headerRowDxfId="40" dataDxfId="39">
  <autoFilter ref="E5:G16"/>
  <sortState ref="E6:G14">
    <sortCondition ref="E5:E14"/>
  </sortState>
  <tableColumns count="3">
    <tableColumn id="1" name="PROGRAMNAMN" totalsRowLabel="Summa" dataDxfId="38"/>
    <tableColumn id="2" name="HÖGSKOLEPOÄNG" dataDxfId="37"/>
    <tableColumn id="3" name="ÅR" totalsRowFunction="count" dataDxfId="36"/>
  </tableColumns>
  <tableStyleInfo name="Course Listing" showFirstColumn="1" showLastColumn="0" showRowStripes="1" showColumnStripes="1"/>
</table>
</file>

<file path=xl/tables/table8.xml><?xml version="1.0" encoding="utf-8"?>
<table xmlns="http://schemas.openxmlformats.org/spreadsheetml/2006/main" id="18" name="Spec" displayName="Spec" ref="E28:F76" totalsRowShown="0" dataDxfId="35">
  <autoFilter ref="E28:F76">
    <filterColumn colId="0">
      <filters>
        <filter val="Civilingenjör i Medicinsk teknik"/>
      </filters>
    </filterColumn>
  </autoFilter>
  <sortState ref="E41:F69">
    <sortCondition ref="F26:F69"/>
  </sortState>
  <tableColumns count="2">
    <tableColumn id="1" name="PROGRAM" dataDxfId="34"/>
    <tableColumn id="2" name="INRIKTNING" dataDxfId="33"/>
  </tableColumns>
  <tableStyleInfo name="Course Listing" showFirstColumn="0" showLastColumn="0" showRowStripes="1" showColumnStripes="0"/>
</table>
</file>

<file path=xl/tables/table9.xml><?xml version="1.0" encoding="utf-8"?>
<table xmlns="http://schemas.openxmlformats.org/spreadsheetml/2006/main" id="7" name="SearchTable" displayName="SearchTable" ref="N5:P154" totalsRowShown="0" headerRowDxfId="21" dataDxfId="20">
  <autoFilter ref="N5:P154"/>
  <tableColumns count="3">
    <tableColumn id="1" name="SearchRank" dataDxfId="19">
      <calculatedColumnFormula>IFERROR(_xlfn.RANK.EQ(O6,ProgramKurser[],1),"FEL")</calculatedColumnFormula>
    </tableColumn>
    <tableColumn id="2" name="Search" dataDxfId="18">
      <calculatedColumnFormula>IFERROR(SEARCH(SearchField,Programkurser!#REF!)+ROW()/100000,"")</calculatedColumnFormula>
    </tableColumn>
    <tableColumn id="3" name="NAME" dataDxfId="17">
      <calculatedColumnFormula>ProgramKurser[KURSNAMN]</calculatedColumnFormula>
    </tableColumn>
  </tableColumns>
  <tableStyleInfo name="Course Listing" showFirstColumn="0" showLastColumn="0" showRowStripes="1" showColumnStripes="0"/>
</table>
</file>

<file path=xl/tables/table10.xml><?xml version="1.0" encoding="utf-8"?>
<table xmlns="http://schemas.openxmlformats.org/spreadsheetml/2006/main" id="3" name="Antagningsår" displayName="Antagningsår" ref="D5:D13" totalsRowShown="0" headerRowDxfId="16" dataDxfId="15">
  <autoFilter ref="D5:D13"/>
  <tableColumns count="1">
    <tableColumn id="1" name="Antagningsår" dataDxfId="14"/>
  </tableColumns>
  <tableStyleInfo name="TableStyleLight3" showFirstColumn="0" showLastColumn="0" showRowStripes="1" showColumnStripes="0"/>
</table>
</file>

<file path=xl/tables/table11.xml><?xml version="1.0" encoding="utf-8"?>
<table xmlns="http://schemas.openxmlformats.org/spreadsheetml/2006/main" id="4" name="Tabell4" displayName="Tabell4" ref="B5:B10" totalsRowShown="0" dataDxfId="13" headerRowCellStyle="Dekorfärg3">
  <autoFilter ref="B5:B10"/>
  <tableColumns count="1">
    <tableColumn id="1" name="Möjliga betyg" dataDxfId="12"/>
  </tableColumns>
  <tableStyleInfo name="TableStyleLight1" showFirstColumn="0" showLastColumn="0" showRowStripes="1" showColumnStripes="0"/>
</table>
</file>

<file path=xl/tables/table12.xml><?xml version="1.0" encoding="utf-8"?>
<table xmlns="http://schemas.openxmlformats.org/spreadsheetml/2006/main" id="8" name="Tabell8" displayName="Tabell8" ref="F5:F8" totalsRowShown="0" headerRowDxfId="11" dataDxfId="10">
  <autoFilter ref="F5:F8"/>
  <tableColumns count="1">
    <tableColumn id="1" name="Nivåer" dataDxfId="9"/>
  </tableColumns>
  <tableStyleInfo name="Course Listing" showFirstColumn="0" showLastColumn="0" showRowStripes="1" showColumnStripes="0"/>
</table>
</file>

<file path=xl/tables/table13.xml><?xml version="1.0" encoding="utf-8"?>
<table xmlns="http://schemas.openxmlformats.org/spreadsheetml/2006/main" id="9" name="Tabell9" displayName="Tabell9" ref="H5:H15" totalsRowShown="0" headerRowDxfId="8" dataDxfId="7">
  <autoFilter ref="H5:H15"/>
  <tableColumns count="1">
    <tableColumn id="1" name="Terminer" dataDxfId="6"/>
  </tableColumns>
  <tableStyleInfo name="Course Listing" showFirstColumn="0" showLastColumn="0" showRowStripes="1" showColumnStripes="0"/>
</table>
</file>

<file path=xl/tables/table14.xml><?xml version="1.0" encoding="utf-8"?>
<table xmlns="http://schemas.openxmlformats.org/spreadsheetml/2006/main" id="10" name="Tabell10" displayName="Tabell10" ref="J5:J8" totalsRowShown="0" headerRowDxfId="5" dataDxfId="4">
  <autoFilter ref="J5:J8"/>
  <tableColumns count="1">
    <tableColumn id="1" name="Perioder" dataDxfId="3"/>
  </tableColumns>
  <tableStyleInfo name="Course Listing" showFirstColumn="0" showLastColumn="0" showRowStripes="1" showColumnStripes="0"/>
</table>
</file>

<file path=xl/tables/table15.xml><?xml version="1.0" encoding="utf-8"?>
<table xmlns="http://schemas.openxmlformats.org/spreadsheetml/2006/main" id="11" name="Tabell11" displayName="Tabell11" ref="L5:L10" totalsRowShown="0" headerRowDxfId="2" dataDxfId="1">
  <autoFilter ref="L5:L10"/>
  <tableColumns count="1">
    <tableColumn id="1" name="År" dataDxfId="0"/>
  </tableColumns>
  <tableStyleInfo name="Course Listing" showFirstColumn="0" showLastColumn="0" showRowStripes="1" showColumnStripes="0"/>
</table>
</file>

<file path=xl/theme/theme1.xml><?xml version="1.0" encoding="utf-8"?>
<a:theme xmlns:a="http://schemas.openxmlformats.org/drawingml/2006/main" name="Office Theme">
  <a:themeElements>
    <a:clrScheme name="College Credit Tracker">
      <a:dk1>
        <a:sysClr val="windowText" lastClr="000000"/>
      </a:dk1>
      <a:lt1>
        <a:sysClr val="window" lastClr="FFFFFF"/>
      </a:lt1>
      <a:dk2>
        <a:srgbClr val="000000"/>
      </a:dk2>
      <a:lt2>
        <a:srgbClr val="F2F2F2"/>
      </a:lt2>
      <a:accent1>
        <a:srgbClr val="EBB828"/>
      </a:accent1>
      <a:accent2>
        <a:srgbClr val="269E6F"/>
      </a:accent2>
      <a:accent3>
        <a:srgbClr val="2699BA"/>
      </a:accent3>
      <a:accent4>
        <a:srgbClr val="EA8B23"/>
      </a:accent4>
      <a:accent5>
        <a:srgbClr val="8163A7"/>
      </a:accent5>
      <a:accent6>
        <a:srgbClr val="DB5368"/>
      </a:accent6>
      <a:hlink>
        <a:srgbClr val="269EBA"/>
      </a:hlink>
      <a:folHlink>
        <a:srgbClr val="8163A7"/>
      </a:folHlink>
    </a:clrScheme>
    <a:fontScheme name="College Credit Tracker">
      <a:majorFont>
        <a:latin typeface="Bookman Old Style"/>
        <a:ea typeface=""/>
        <a:cs typeface=""/>
      </a:majorFont>
      <a:minorFont>
        <a:latin typeface="Franklin Gothic Medium"/>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table" Target="../tables/table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2.vml"/><Relationship Id="rId7" Type="http://schemas.openxmlformats.org/officeDocument/2006/relationships/ctrlProp" Target="../ctrlProps/ctrlProp13.xml"/><Relationship Id="rId2" Type="http://schemas.openxmlformats.org/officeDocument/2006/relationships/drawing" Target="../drawings/drawing4.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 Id="rId9"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table" Target="../tables/table4.xml"/><Relationship Id="rId2" Type="http://schemas.openxmlformats.org/officeDocument/2006/relationships/drawing" Target="../drawings/drawing5.xml"/><Relationship Id="rId1" Type="http://schemas.openxmlformats.org/officeDocument/2006/relationships/printerSettings" Target="../printerSettings/printerSettings3.bin"/><Relationship Id="rId6" Type="http://schemas.openxmlformats.org/officeDocument/2006/relationships/ctrlProp" Target="../ctrlProps/ctrlProp14.xml"/><Relationship Id="rId5" Type="http://schemas.openxmlformats.org/officeDocument/2006/relationships/image" Target="../media/image1.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vmlDrawing" Target="../drawings/vmlDrawing4.vml"/><Relationship Id="rId7" Type="http://schemas.openxmlformats.org/officeDocument/2006/relationships/image" Target="../media/image3.emf"/><Relationship Id="rId2" Type="http://schemas.openxmlformats.org/officeDocument/2006/relationships/drawing" Target="../drawings/drawing6.xml"/><Relationship Id="rId1" Type="http://schemas.openxmlformats.org/officeDocument/2006/relationships/printerSettings" Target="../printerSettings/printerSettings4.bin"/><Relationship Id="rId6" Type="http://schemas.openxmlformats.org/officeDocument/2006/relationships/control" Target="../activeX/activeX3.xml"/><Relationship Id="rId5" Type="http://schemas.openxmlformats.org/officeDocument/2006/relationships/image" Target="../media/image2.emf"/><Relationship Id="rId10" Type="http://schemas.openxmlformats.org/officeDocument/2006/relationships/table" Target="../tables/table8.xml"/><Relationship Id="rId4" Type="http://schemas.openxmlformats.org/officeDocument/2006/relationships/control" Target="../activeX/activeX2.xml"/><Relationship Id="rId9" Type="http://schemas.openxmlformats.org/officeDocument/2006/relationships/table" Target="../tables/table7.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8.xml"/><Relationship Id="rId3" Type="http://schemas.openxmlformats.org/officeDocument/2006/relationships/vmlDrawing" Target="../drawings/vmlDrawing5.vml"/><Relationship Id="rId7" Type="http://schemas.openxmlformats.org/officeDocument/2006/relationships/ctrlProp" Target="../ctrlProps/ctrlProp17.xml"/><Relationship Id="rId2" Type="http://schemas.openxmlformats.org/officeDocument/2006/relationships/drawing" Target="../drawings/drawing7.xml"/><Relationship Id="rId1" Type="http://schemas.openxmlformats.org/officeDocument/2006/relationships/printerSettings" Target="../printerSettings/printerSettings5.bin"/><Relationship Id="rId6" Type="http://schemas.openxmlformats.org/officeDocument/2006/relationships/ctrlProp" Target="../ctrlProps/ctrlProp16.xml"/><Relationship Id="rId5" Type="http://schemas.openxmlformats.org/officeDocument/2006/relationships/image" Target="../media/image4.emf"/><Relationship Id="rId4" Type="http://schemas.openxmlformats.org/officeDocument/2006/relationships/control" Target="../activeX/activeX4.xml"/><Relationship Id="rId9" Type="http://schemas.openxmlformats.org/officeDocument/2006/relationships/ctrlProp" Target="../ctrlProps/ctrlProp19.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3" Type="http://schemas.openxmlformats.org/officeDocument/2006/relationships/table" Target="../tables/table11.xml"/><Relationship Id="rId7" Type="http://schemas.openxmlformats.org/officeDocument/2006/relationships/table" Target="../tables/table15.xml"/><Relationship Id="rId2" Type="http://schemas.openxmlformats.org/officeDocument/2006/relationships/table" Target="../tables/table10.xml"/><Relationship Id="rId1" Type="http://schemas.openxmlformats.org/officeDocument/2006/relationships/table" Target="../tables/table9.xml"/><Relationship Id="rId6" Type="http://schemas.openxmlformats.org/officeDocument/2006/relationships/table" Target="../tables/table14.xml"/><Relationship Id="rId5" Type="http://schemas.openxmlformats.org/officeDocument/2006/relationships/table" Target="../tables/table13.xml"/><Relationship Id="rId4" Type="http://schemas.openxmlformats.org/officeDocument/2006/relationships/table" Target="../tables/table12.xml"/></Relationships>
</file>

<file path=xl/worksheets/_rels/sheet10.xml.rels><?xml version="1.0" encoding="UTF-8" standalone="yes"?>
<Relationships xmlns="http://schemas.openxmlformats.org/package/2006/relationships"><Relationship Id="rId117" Type="http://schemas.openxmlformats.org/officeDocument/2006/relationships/queryTable" Target="../queryTables/queryTable71.xml"/><Relationship Id="rId299" Type="http://schemas.openxmlformats.org/officeDocument/2006/relationships/queryTable" Target="../queryTables/queryTable253.xml"/><Relationship Id="rId21" Type="http://schemas.openxmlformats.org/officeDocument/2006/relationships/hyperlink" Target="http://kdb-5.liu.se/liu/lith/studiehandboken/svkursplan.lasso?&amp;k_budget_year=2014&amp;k_kurskod=TBMT32" TargetMode="External"/><Relationship Id="rId63" Type="http://schemas.openxmlformats.org/officeDocument/2006/relationships/queryTable" Target="../queryTables/queryTable17.xml"/><Relationship Id="rId159" Type="http://schemas.openxmlformats.org/officeDocument/2006/relationships/queryTable" Target="../queryTables/queryTable113.xml"/><Relationship Id="rId324" Type="http://schemas.openxmlformats.org/officeDocument/2006/relationships/queryTable" Target="../queryTables/queryTable278.xml"/><Relationship Id="rId366" Type="http://schemas.openxmlformats.org/officeDocument/2006/relationships/queryTable" Target="../queryTables/queryTable320.xml"/><Relationship Id="rId170" Type="http://schemas.openxmlformats.org/officeDocument/2006/relationships/queryTable" Target="../queryTables/queryTable124.xml"/><Relationship Id="rId226" Type="http://schemas.openxmlformats.org/officeDocument/2006/relationships/queryTable" Target="../queryTables/queryTable180.xml"/><Relationship Id="rId433" Type="http://schemas.openxmlformats.org/officeDocument/2006/relationships/queryTable" Target="../queryTables/queryTable387.xml"/><Relationship Id="rId268" Type="http://schemas.openxmlformats.org/officeDocument/2006/relationships/queryTable" Target="../queryTables/queryTable222.xml"/><Relationship Id="rId32" Type="http://schemas.openxmlformats.org/officeDocument/2006/relationships/hyperlink" Target="http://kdb-5.liu.se/liu/lith/studiehandboken/svkursplan.lasso?&amp;k_budget_year=2014&amp;k_kurskod=TAMS14" TargetMode="External"/><Relationship Id="rId74" Type="http://schemas.openxmlformats.org/officeDocument/2006/relationships/queryTable" Target="../queryTables/queryTable28.xml"/><Relationship Id="rId128" Type="http://schemas.openxmlformats.org/officeDocument/2006/relationships/queryTable" Target="../queryTables/queryTable82.xml"/><Relationship Id="rId335" Type="http://schemas.openxmlformats.org/officeDocument/2006/relationships/queryTable" Target="../queryTables/queryTable289.xml"/><Relationship Id="rId377" Type="http://schemas.openxmlformats.org/officeDocument/2006/relationships/queryTable" Target="../queryTables/queryTable331.xml"/><Relationship Id="rId5" Type="http://schemas.openxmlformats.org/officeDocument/2006/relationships/hyperlink" Target="http://kdb-5.liu.se/liu/lith/studiehandboken/svkursplan.lasso?&amp;k_budget_year=2014&amp;k_kurskod=TATA24" TargetMode="External"/><Relationship Id="rId181" Type="http://schemas.openxmlformats.org/officeDocument/2006/relationships/queryTable" Target="../queryTables/queryTable135.xml"/><Relationship Id="rId237" Type="http://schemas.openxmlformats.org/officeDocument/2006/relationships/queryTable" Target="../queryTables/queryTable191.xml"/><Relationship Id="rId402" Type="http://schemas.openxmlformats.org/officeDocument/2006/relationships/queryTable" Target="../queryTables/queryTable356.xml"/><Relationship Id="rId279" Type="http://schemas.openxmlformats.org/officeDocument/2006/relationships/queryTable" Target="../queryTables/queryTable233.xml"/><Relationship Id="rId444" Type="http://schemas.openxmlformats.org/officeDocument/2006/relationships/queryTable" Target="../queryTables/queryTable398.xml"/><Relationship Id="rId43" Type="http://schemas.openxmlformats.org/officeDocument/2006/relationships/hyperlink" Target="http://kdb-5.liu.se/liu/lith/studiehandboken/svkursplan.lasso?&amp;k_budget_year=2014&amp;k_kurskod=TVFA02" TargetMode="External"/><Relationship Id="rId139" Type="http://schemas.openxmlformats.org/officeDocument/2006/relationships/queryTable" Target="../queryTables/queryTable93.xml"/><Relationship Id="rId290" Type="http://schemas.openxmlformats.org/officeDocument/2006/relationships/queryTable" Target="../queryTables/queryTable244.xml"/><Relationship Id="rId304" Type="http://schemas.openxmlformats.org/officeDocument/2006/relationships/queryTable" Target="../queryTables/queryTable258.xml"/><Relationship Id="rId346" Type="http://schemas.openxmlformats.org/officeDocument/2006/relationships/queryTable" Target="../queryTables/queryTable300.xml"/><Relationship Id="rId388" Type="http://schemas.openxmlformats.org/officeDocument/2006/relationships/queryTable" Target="../queryTables/queryTable342.xml"/><Relationship Id="rId85" Type="http://schemas.openxmlformats.org/officeDocument/2006/relationships/queryTable" Target="../queryTables/queryTable39.xml"/><Relationship Id="rId150" Type="http://schemas.openxmlformats.org/officeDocument/2006/relationships/queryTable" Target="../queryTables/queryTable104.xml"/><Relationship Id="rId192" Type="http://schemas.openxmlformats.org/officeDocument/2006/relationships/queryTable" Target="../queryTables/queryTable146.xml"/><Relationship Id="rId206" Type="http://schemas.openxmlformats.org/officeDocument/2006/relationships/queryTable" Target="../queryTables/queryTable160.xml"/><Relationship Id="rId413" Type="http://schemas.openxmlformats.org/officeDocument/2006/relationships/queryTable" Target="../queryTables/queryTable367.xml"/><Relationship Id="rId248" Type="http://schemas.openxmlformats.org/officeDocument/2006/relationships/queryTable" Target="../queryTables/queryTable202.xml"/><Relationship Id="rId455" Type="http://schemas.openxmlformats.org/officeDocument/2006/relationships/queryTable" Target="../queryTables/queryTable409.xml"/><Relationship Id="rId12" Type="http://schemas.openxmlformats.org/officeDocument/2006/relationships/hyperlink" Target="http://kdb-5.liu.se/liu/lith/studiehandboken/svkursplan.lasso?&amp;k_budget_year=2014&amp;k_kurskod=TGTU35" TargetMode="External"/><Relationship Id="rId108" Type="http://schemas.openxmlformats.org/officeDocument/2006/relationships/queryTable" Target="../queryTables/queryTable62.xml"/><Relationship Id="rId315" Type="http://schemas.openxmlformats.org/officeDocument/2006/relationships/queryTable" Target="../queryTables/queryTable269.xml"/><Relationship Id="rId357" Type="http://schemas.openxmlformats.org/officeDocument/2006/relationships/queryTable" Target="../queryTables/queryTable311.xml"/><Relationship Id="rId54" Type="http://schemas.openxmlformats.org/officeDocument/2006/relationships/queryTable" Target="../queryTables/queryTable8.xml"/><Relationship Id="rId96" Type="http://schemas.openxmlformats.org/officeDocument/2006/relationships/queryTable" Target="../queryTables/queryTable50.xml"/><Relationship Id="rId161" Type="http://schemas.openxmlformats.org/officeDocument/2006/relationships/queryTable" Target="../queryTables/queryTable115.xml"/><Relationship Id="rId217" Type="http://schemas.openxmlformats.org/officeDocument/2006/relationships/queryTable" Target="../queryTables/queryTable171.xml"/><Relationship Id="rId399" Type="http://schemas.openxmlformats.org/officeDocument/2006/relationships/queryTable" Target="../queryTables/queryTable353.xml"/><Relationship Id="rId259" Type="http://schemas.openxmlformats.org/officeDocument/2006/relationships/queryTable" Target="../queryTables/queryTable213.xml"/><Relationship Id="rId424" Type="http://schemas.openxmlformats.org/officeDocument/2006/relationships/queryTable" Target="../queryTables/queryTable378.xml"/><Relationship Id="rId23" Type="http://schemas.openxmlformats.org/officeDocument/2006/relationships/hyperlink" Target="http://kdb-5.liu.se/liu/lith/studiehandboken/svkursplan.lasso?&amp;k_budget_year=2014&amp;k_kurskod=TFYA76" TargetMode="External"/><Relationship Id="rId119" Type="http://schemas.openxmlformats.org/officeDocument/2006/relationships/queryTable" Target="../queryTables/queryTable73.xml"/><Relationship Id="rId270" Type="http://schemas.openxmlformats.org/officeDocument/2006/relationships/queryTable" Target="../queryTables/queryTable224.xml"/><Relationship Id="rId326" Type="http://schemas.openxmlformats.org/officeDocument/2006/relationships/queryTable" Target="../queryTables/queryTable280.xml"/><Relationship Id="rId44" Type="http://schemas.openxmlformats.org/officeDocument/2006/relationships/hyperlink" Target="http://kdb-5.liu.se/liu/lith/studiehandboken/svkursplan.lasso?&amp;k_budget_year=2014&amp;k_kurskod=TBMT41" TargetMode="External"/><Relationship Id="rId65" Type="http://schemas.openxmlformats.org/officeDocument/2006/relationships/queryTable" Target="../queryTables/queryTable19.xml"/><Relationship Id="rId86" Type="http://schemas.openxmlformats.org/officeDocument/2006/relationships/queryTable" Target="../queryTables/queryTable40.xml"/><Relationship Id="rId130" Type="http://schemas.openxmlformats.org/officeDocument/2006/relationships/queryTable" Target="../queryTables/queryTable84.xml"/><Relationship Id="rId151" Type="http://schemas.openxmlformats.org/officeDocument/2006/relationships/queryTable" Target="../queryTables/queryTable105.xml"/><Relationship Id="rId368" Type="http://schemas.openxmlformats.org/officeDocument/2006/relationships/queryTable" Target="../queryTables/queryTable322.xml"/><Relationship Id="rId389" Type="http://schemas.openxmlformats.org/officeDocument/2006/relationships/queryTable" Target="../queryTables/queryTable343.xml"/><Relationship Id="rId172" Type="http://schemas.openxmlformats.org/officeDocument/2006/relationships/queryTable" Target="../queryTables/queryTable126.xml"/><Relationship Id="rId193" Type="http://schemas.openxmlformats.org/officeDocument/2006/relationships/queryTable" Target="../queryTables/queryTable147.xml"/><Relationship Id="rId207" Type="http://schemas.openxmlformats.org/officeDocument/2006/relationships/queryTable" Target="../queryTables/queryTable161.xml"/><Relationship Id="rId228" Type="http://schemas.openxmlformats.org/officeDocument/2006/relationships/queryTable" Target="../queryTables/queryTable182.xml"/><Relationship Id="rId249" Type="http://schemas.openxmlformats.org/officeDocument/2006/relationships/queryTable" Target="../queryTables/queryTable203.xml"/><Relationship Id="rId414" Type="http://schemas.openxmlformats.org/officeDocument/2006/relationships/queryTable" Target="../queryTables/queryTable368.xml"/><Relationship Id="rId435" Type="http://schemas.openxmlformats.org/officeDocument/2006/relationships/queryTable" Target="../queryTables/queryTable389.xml"/><Relationship Id="rId456" Type="http://schemas.openxmlformats.org/officeDocument/2006/relationships/queryTable" Target="../queryTables/queryTable410.xml"/><Relationship Id="rId13" Type="http://schemas.openxmlformats.org/officeDocument/2006/relationships/hyperlink" Target="http://kdb-5.liu.se/liu/lith/studiehandboken/svkursplan.lasso?&amp;k_budget_year=2014&amp;k_kurskod=TATA42" TargetMode="External"/><Relationship Id="rId109" Type="http://schemas.openxmlformats.org/officeDocument/2006/relationships/queryTable" Target="../queryTables/queryTable63.xml"/><Relationship Id="rId260" Type="http://schemas.openxmlformats.org/officeDocument/2006/relationships/queryTable" Target="../queryTables/queryTable214.xml"/><Relationship Id="rId281" Type="http://schemas.openxmlformats.org/officeDocument/2006/relationships/queryTable" Target="../queryTables/queryTable235.xml"/><Relationship Id="rId316" Type="http://schemas.openxmlformats.org/officeDocument/2006/relationships/queryTable" Target="../queryTables/queryTable270.xml"/><Relationship Id="rId337" Type="http://schemas.openxmlformats.org/officeDocument/2006/relationships/queryTable" Target="../queryTables/queryTable291.xml"/><Relationship Id="rId34" Type="http://schemas.openxmlformats.org/officeDocument/2006/relationships/hyperlink" Target="http://kdb-5.liu.se/liu/lith/studiehandboken/svkursplan.lasso?&amp;k_budget_year=2014&amp;k_kurskod=TFYA63" TargetMode="External"/><Relationship Id="rId55" Type="http://schemas.openxmlformats.org/officeDocument/2006/relationships/queryTable" Target="../queryTables/queryTable9.xml"/><Relationship Id="rId76" Type="http://schemas.openxmlformats.org/officeDocument/2006/relationships/queryTable" Target="../queryTables/queryTable30.xml"/><Relationship Id="rId97" Type="http://schemas.openxmlformats.org/officeDocument/2006/relationships/queryTable" Target="../queryTables/queryTable51.xml"/><Relationship Id="rId120" Type="http://schemas.openxmlformats.org/officeDocument/2006/relationships/queryTable" Target="../queryTables/queryTable74.xml"/><Relationship Id="rId141" Type="http://schemas.openxmlformats.org/officeDocument/2006/relationships/queryTable" Target="../queryTables/queryTable95.xml"/><Relationship Id="rId358" Type="http://schemas.openxmlformats.org/officeDocument/2006/relationships/queryTable" Target="../queryTables/queryTable312.xml"/><Relationship Id="rId379" Type="http://schemas.openxmlformats.org/officeDocument/2006/relationships/queryTable" Target="../queryTables/queryTable333.xml"/><Relationship Id="rId7" Type="http://schemas.openxmlformats.org/officeDocument/2006/relationships/hyperlink" Target="http://kdb-5.liu.se/liu/lith/studiehandboken/svkursplan.lasso?&amp;k_budget_year=2014&amp;k_kurskod=TBME11" TargetMode="External"/><Relationship Id="rId162" Type="http://schemas.openxmlformats.org/officeDocument/2006/relationships/queryTable" Target="../queryTables/queryTable116.xml"/><Relationship Id="rId183" Type="http://schemas.openxmlformats.org/officeDocument/2006/relationships/queryTable" Target="../queryTables/queryTable137.xml"/><Relationship Id="rId218" Type="http://schemas.openxmlformats.org/officeDocument/2006/relationships/queryTable" Target="../queryTables/queryTable172.xml"/><Relationship Id="rId239" Type="http://schemas.openxmlformats.org/officeDocument/2006/relationships/queryTable" Target="../queryTables/queryTable193.xml"/><Relationship Id="rId390" Type="http://schemas.openxmlformats.org/officeDocument/2006/relationships/queryTable" Target="../queryTables/queryTable344.xml"/><Relationship Id="rId404" Type="http://schemas.openxmlformats.org/officeDocument/2006/relationships/queryTable" Target="../queryTables/queryTable358.xml"/><Relationship Id="rId425" Type="http://schemas.openxmlformats.org/officeDocument/2006/relationships/queryTable" Target="../queryTables/queryTable379.xml"/><Relationship Id="rId446" Type="http://schemas.openxmlformats.org/officeDocument/2006/relationships/queryTable" Target="../queryTables/queryTable400.xml"/><Relationship Id="rId250" Type="http://schemas.openxmlformats.org/officeDocument/2006/relationships/queryTable" Target="../queryTables/queryTable204.xml"/><Relationship Id="rId271" Type="http://schemas.openxmlformats.org/officeDocument/2006/relationships/queryTable" Target="../queryTables/queryTable225.xml"/><Relationship Id="rId292" Type="http://schemas.openxmlformats.org/officeDocument/2006/relationships/queryTable" Target="../queryTables/queryTable246.xml"/><Relationship Id="rId306" Type="http://schemas.openxmlformats.org/officeDocument/2006/relationships/queryTable" Target="../queryTables/queryTable260.xml"/><Relationship Id="rId24" Type="http://schemas.openxmlformats.org/officeDocument/2006/relationships/hyperlink" Target="http://kdb-5.liu.se/liu/lith/studiehandboken/svkursplan.lasso?&amp;k_budget_year=2014&amp;k_kurskod=TSTE05" TargetMode="External"/><Relationship Id="rId45" Type="http://schemas.openxmlformats.org/officeDocument/2006/relationships/hyperlink" Target="http://kdb-5.liu.se/liu/lith/studiehandboken/svkursplan.lasso?&amp;k_budget_year=2014&amp;k_kurskod=TSRT03" TargetMode="External"/><Relationship Id="rId66" Type="http://schemas.openxmlformats.org/officeDocument/2006/relationships/queryTable" Target="../queryTables/queryTable20.xml"/><Relationship Id="rId87" Type="http://schemas.openxmlformats.org/officeDocument/2006/relationships/queryTable" Target="../queryTables/queryTable41.xml"/><Relationship Id="rId110" Type="http://schemas.openxmlformats.org/officeDocument/2006/relationships/queryTable" Target="../queryTables/queryTable64.xml"/><Relationship Id="rId131" Type="http://schemas.openxmlformats.org/officeDocument/2006/relationships/queryTable" Target="../queryTables/queryTable85.xml"/><Relationship Id="rId327" Type="http://schemas.openxmlformats.org/officeDocument/2006/relationships/queryTable" Target="../queryTables/queryTable281.xml"/><Relationship Id="rId348" Type="http://schemas.openxmlformats.org/officeDocument/2006/relationships/queryTable" Target="../queryTables/queryTable302.xml"/><Relationship Id="rId369" Type="http://schemas.openxmlformats.org/officeDocument/2006/relationships/queryTable" Target="../queryTables/queryTable323.xml"/><Relationship Id="rId152" Type="http://schemas.openxmlformats.org/officeDocument/2006/relationships/queryTable" Target="../queryTables/queryTable106.xml"/><Relationship Id="rId173" Type="http://schemas.openxmlformats.org/officeDocument/2006/relationships/queryTable" Target="../queryTables/queryTable127.xml"/><Relationship Id="rId194" Type="http://schemas.openxmlformats.org/officeDocument/2006/relationships/queryTable" Target="../queryTables/queryTable148.xml"/><Relationship Id="rId208" Type="http://schemas.openxmlformats.org/officeDocument/2006/relationships/queryTable" Target="../queryTables/queryTable162.xml"/><Relationship Id="rId229" Type="http://schemas.openxmlformats.org/officeDocument/2006/relationships/queryTable" Target="../queryTables/queryTable183.xml"/><Relationship Id="rId380" Type="http://schemas.openxmlformats.org/officeDocument/2006/relationships/queryTable" Target="../queryTables/queryTable334.xml"/><Relationship Id="rId415" Type="http://schemas.openxmlformats.org/officeDocument/2006/relationships/queryTable" Target="../queryTables/queryTable369.xml"/><Relationship Id="rId436" Type="http://schemas.openxmlformats.org/officeDocument/2006/relationships/queryTable" Target="../queryTables/queryTable390.xml"/><Relationship Id="rId457" Type="http://schemas.openxmlformats.org/officeDocument/2006/relationships/queryTable" Target="../queryTables/queryTable411.xml"/><Relationship Id="rId240" Type="http://schemas.openxmlformats.org/officeDocument/2006/relationships/queryTable" Target="../queryTables/queryTable194.xml"/><Relationship Id="rId261" Type="http://schemas.openxmlformats.org/officeDocument/2006/relationships/queryTable" Target="../queryTables/queryTable215.xml"/><Relationship Id="rId14" Type="http://schemas.openxmlformats.org/officeDocument/2006/relationships/hyperlink" Target="http://kdb-5.liu.se/liu/lith/studiehandboken/svkursplan.lasso?&amp;k_budget_year=2014&amp;k_kurskod=TDDC74" TargetMode="External"/><Relationship Id="rId35" Type="http://schemas.openxmlformats.org/officeDocument/2006/relationships/hyperlink" Target="http://kdb-5.liu.se/liu/lith/studiehandboken/svkursplan.lasso?&amp;k_budget_year=2014&amp;k_kurskod=TPTE06" TargetMode="External"/><Relationship Id="rId56" Type="http://schemas.openxmlformats.org/officeDocument/2006/relationships/queryTable" Target="../queryTables/queryTable10.xml"/><Relationship Id="rId77" Type="http://schemas.openxmlformats.org/officeDocument/2006/relationships/queryTable" Target="../queryTables/queryTable31.xml"/><Relationship Id="rId100" Type="http://schemas.openxmlformats.org/officeDocument/2006/relationships/queryTable" Target="../queryTables/queryTable54.xml"/><Relationship Id="rId282" Type="http://schemas.openxmlformats.org/officeDocument/2006/relationships/queryTable" Target="../queryTables/queryTable236.xml"/><Relationship Id="rId317" Type="http://schemas.openxmlformats.org/officeDocument/2006/relationships/queryTable" Target="../queryTables/queryTable271.xml"/><Relationship Id="rId338" Type="http://schemas.openxmlformats.org/officeDocument/2006/relationships/queryTable" Target="../queryTables/queryTable292.xml"/><Relationship Id="rId359" Type="http://schemas.openxmlformats.org/officeDocument/2006/relationships/queryTable" Target="../queryTables/queryTable313.xml"/><Relationship Id="rId8" Type="http://schemas.openxmlformats.org/officeDocument/2006/relationships/hyperlink" Target="http://kdb-5.liu.se/liu/lith/studiehandboken/svkursplan.lasso?&amp;k_budget_year=2014&amp;k_kurskod=TFYY51" TargetMode="External"/><Relationship Id="rId98" Type="http://schemas.openxmlformats.org/officeDocument/2006/relationships/queryTable" Target="../queryTables/queryTable52.xml"/><Relationship Id="rId121" Type="http://schemas.openxmlformats.org/officeDocument/2006/relationships/queryTable" Target="../queryTables/queryTable75.xml"/><Relationship Id="rId142" Type="http://schemas.openxmlformats.org/officeDocument/2006/relationships/queryTable" Target="../queryTables/queryTable96.xml"/><Relationship Id="rId163" Type="http://schemas.openxmlformats.org/officeDocument/2006/relationships/queryTable" Target="../queryTables/queryTable117.xml"/><Relationship Id="rId184" Type="http://schemas.openxmlformats.org/officeDocument/2006/relationships/queryTable" Target="../queryTables/queryTable138.xml"/><Relationship Id="rId219" Type="http://schemas.openxmlformats.org/officeDocument/2006/relationships/queryTable" Target="../queryTables/queryTable173.xml"/><Relationship Id="rId370" Type="http://schemas.openxmlformats.org/officeDocument/2006/relationships/queryTable" Target="../queryTables/queryTable324.xml"/><Relationship Id="rId391" Type="http://schemas.openxmlformats.org/officeDocument/2006/relationships/queryTable" Target="../queryTables/queryTable345.xml"/><Relationship Id="rId405" Type="http://schemas.openxmlformats.org/officeDocument/2006/relationships/queryTable" Target="../queryTables/queryTable359.xml"/><Relationship Id="rId426" Type="http://schemas.openxmlformats.org/officeDocument/2006/relationships/queryTable" Target="../queryTables/queryTable380.xml"/><Relationship Id="rId447" Type="http://schemas.openxmlformats.org/officeDocument/2006/relationships/queryTable" Target="../queryTables/queryTable401.xml"/><Relationship Id="rId230" Type="http://schemas.openxmlformats.org/officeDocument/2006/relationships/queryTable" Target="../queryTables/queryTable184.xml"/><Relationship Id="rId251" Type="http://schemas.openxmlformats.org/officeDocument/2006/relationships/queryTable" Target="../queryTables/queryTable205.xml"/><Relationship Id="rId25" Type="http://schemas.openxmlformats.org/officeDocument/2006/relationships/hyperlink" Target="http://kdb-5.liu.se/liu/lith/studiehandboken/svkursplan.lasso?&amp;k_budget_year=2014&amp;k_kurskod=TBME03" TargetMode="External"/><Relationship Id="rId46" Type="http://schemas.openxmlformats.org/officeDocument/2006/relationships/hyperlink" Target="http://kdb-5.liu.se/liu/lith/studiehandboken/svkursplan.lasso?&amp;k_budget_year=2014&amp;k_kurskod=TVFA02" TargetMode="External"/><Relationship Id="rId67" Type="http://schemas.openxmlformats.org/officeDocument/2006/relationships/queryTable" Target="../queryTables/queryTable21.xml"/><Relationship Id="rId272" Type="http://schemas.openxmlformats.org/officeDocument/2006/relationships/queryTable" Target="../queryTables/queryTable226.xml"/><Relationship Id="rId293" Type="http://schemas.openxmlformats.org/officeDocument/2006/relationships/queryTable" Target="../queryTables/queryTable247.xml"/><Relationship Id="rId307" Type="http://schemas.openxmlformats.org/officeDocument/2006/relationships/queryTable" Target="../queryTables/queryTable261.xml"/><Relationship Id="rId328" Type="http://schemas.openxmlformats.org/officeDocument/2006/relationships/queryTable" Target="../queryTables/queryTable282.xml"/><Relationship Id="rId349" Type="http://schemas.openxmlformats.org/officeDocument/2006/relationships/queryTable" Target="../queryTables/queryTable303.xml"/><Relationship Id="rId88" Type="http://schemas.openxmlformats.org/officeDocument/2006/relationships/queryTable" Target="../queryTables/queryTable42.xml"/><Relationship Id="rId111" Type="http://schemas.openxmlformats.org/officeDocument/2006/relationships/queryTable" Target="../queryTables/queryTable65.xml"/><Relationship Id="rId132" Type="http://schemas.openxmlformats.org/officeDocument/2006/relationships/queryTable" Target="../queryTables/queryTable86.xml"/><Relationship Id="rId153" Type="http://schemas.openxmlformats.org/officeDocument/2006/relationships/queryTable" Target="../queryTables/queryTable107.xml"/><Relationship Id="rId174" Type="http://schemas.openxmlformats.org/officeDocument/2006/relationships/queryTable" Target="../queryTables/queryTable128.xml"/><Relationship Id="rId195" Type="http://schemas.openxmlformats.org/officeDocument/2006/relationships/queryTable" Target="../queryTables/queryTable149.xml"/><Relationship Id="rId209" Type="http://schemas.openxmlformats.org/officeDocument/2006/relationships/queryTable" Target="../queryTables/queryTable163.xml"/><Relationship Id="rId360" Type="http://schemas.openxmlformats.org/officeDocument/2006/relationships/queryTable" Target="../queryTables/queryTable314.xml"/><Relationship Id="rId381" Type="http://schemas.openxmlformats.org/officeDocument/2006/relationships/queryTable" Target="../queryTables/queryTable335.xml"/><Relationship Id="rId416" Type="http://schemas.openxmlformats.org/officeDocument/2006/relationships/queryTable" Target="../queryTables/queryTable370.xml"/><Relationship Id="rId220" Type="http://schemas.openxmlformats.org/officeDocument/2006/relationships/queryTable" Target="../queryTables/queryTable174.xml"/><Relationship Id="rId241" Type="http://schemas.openxmlformats.org/officeDocument/2006/relationships/queryTable" Target="../queryTables/queryTable195.xml"/><Relationship Id="rId437" Type="http://schemas.openxmlformats.org/officeDocument/2006/relationships/queryTable" Target="../queryTables/queryTable391.xml"/><Relationship Id="rId458" Type="http://schemas.openxmlformats.org/officeDocument/2006/relationships/queryTable" Target="../queryTables/queryTable412.xml"/><Relationship Id="rId15" Type="http://schemas.openxmlformats.org/officeDocument/2006/relationships/hyperlink" Target="http://kdb-5.liu.se/liu/lith/studiehandboken/svkursplan.lasso?&amp;k_budget_year=2014&amp;k_kurskod=TFYA59" TargetMode="External"/><Relationship Id="rId36" Type="http://schemas.openxmlformats.org/officeDocument/2006/relationships/hyperlink" Target="http://kdb-5.liu.se/liu/lith/studiehandboken/svkursplan.lasso?&amp;k_budget_year=2014&amp;k_kurskod=TAMS24" TargetMode="External"/><Relationship Id="rId57" Type="http://schemas.openxmlformats.org/officeDocument/2006/relationships/queryTable" Target="../queryTables/queryTable11.xml"/><Relationship Id="rId262" Type="http://schemas.openxmlformats.org/officeDocument/2006/relationships/queryTable" Target="../queryTables/queryTable216.xml"/><Relationship Id="rId283" Type="http://schemas.openxmlformats.org/officeDocument/2006/relationships/queryTable" Target="../queryTables/queryTable237.xml"/><Relationship Id="rId318" Type="http://schemas.openxmlformats.org/officeDocument/2006/relationships/queryTable" Target="../queryTables/queryTable272.xml"/><Relationship Id="rId339" Type="http://schemas.openxmlformats.org/officeDocument/2006/relationships/queryTable" Target="../queryTables/queryTable293.xml"/><Relationship Id="rId78" Type="http://schemas.openxmlformats.org/officeDocument/2006/relationships/queryTable" Target="../queryTables/queryTable32.xml"/><Relationship Id="rId99" Type="http://schemas.openxmlformats.org/officeDocument/2006/relationships/queryTable" Target="../queryTables/queryTable53.xml"/><Relationship Id="rId101" Type="http://schemas.openxmlformats.org/officeDocument/2006/relationships/queryTable" Target="../queryTables/queryTable55.xml"/><Relationship Id="rId122" Type="http://schemas.openxmlformats.org/officeDocument/2006/relationships/queryTable" Target="../queryTables/queryTable76.xml"/><Relationship Id="rId143" Type="http://schemas.openxmlformats.org/officeDocument/2006/relationships/queryTable" Target="../queryTables/queryTable97.xml"/><Relationship Id="rId164" Type="http://schemas.openxmlformats.org/officeDocument/2006/relationships/queryTable" Target="../queryTables/queryTable118.xml"/><Relationship Id="rId185" Type="http://schemas.openxmlformats.org/officeDocument/2006/relationships/queryTable" Target="../queryTables/queryTable139.xml"/><Relationship Id="rId350" Type="http://schemas.openxmlformats.org/officeDocument/2006/relationships/queryTable" Target="../queryTables/queryTable304.xml"/><Relationship Id="rId371" Type="http://schemas.openxmlformats.org/officeDocument/2006/relationships/queryTable" Target="../queryTables/queryTable325.xml"/><Relationship Id="rId406" Type="http://schemas.openxmlformats.org/officeDocument/2006/relationships/queryTable" Target="../queryTables/queryTable360.xml"/><Relationship Id="rId9" Type="http://schemas.openxmlformats.org/officeDocument/2006/relationships/hyperlink" Target="http://kdb-5.liu.se/liu/lith/studiehandboken/svkursplan.lasso?&amp;k_budget_year=2014&amp;k_kurskod=TATA24" TargetMode="External"/><Relationship Id="rId210" Type="http://schemas.openxmlformats.org/officeDocument/2006/relationships/queryTable" Target="../queryTables/queryTable164.xml"/><Relationship Id="rId392" Type="http://schemas.openxmlformats.org/officeDocument/2006/relationships/queryTable" Target="../queryTables/queryTable346.xml"/><Relationship Id="rId427" Type="http://schemas.openxmlformats.org/officeDocument/2006/relationships/queryTable" Target="../queryTables/queryTable381.xml"/><Relationship Id="rId448" Type="http://schemas.openxmlformats.org/officeDocument/2006/relationships/queryTable" Target="../queryTables/queryTable402.xml"/><Relationship Id="rId26" Type="http://schemas.openxmlformats.org/officeDocument/2006/relationships/hyperlink" Target="http://kdb-5.liu.se/liu/lith/studiehandboken/svkursplan.lasso?&amp;k_budget_year=2014&amp;k_kurskod=TBMT18" TargetMode="External"/><Relationship Id="rId231" Type="http://schemas.openxmlformats.org/officeDocument/2006/relationships/queryTable" Target="../queryTables/queryTable185.xml"/><Relationship Id="rId252" Type="http://schemas.openxmlformats.org/officeDocument/2006/relationships/queryTable" Target="../queryTables/queryTable206.xml"/><Relationship Id="rId273" Type="http://schemas.openxmlformats.org/officeDocument/2006/relationships/queryTable" Target="../queryTables/queryTable227.xml"/><Relationship Id="rId294" Type="http://schemas.openxmlformats.org/officeDocument/2006/relationships/queryTable" Target="../queryTables/queryTable248.xml"/><Relationship Id="rId308" Type="http://schemas.openxmlformats.org/officeDocument/2006/relationships/queryTable" Target="../queryTables/queryTable262.xml"/><Relationship Id="rId329" Type="http://schemas.openxmlformats.org/officeDocument/2006/relationships/queryTable" Target="../queryTables/queryTable283.xml"/><Relationship Id="rId47" Type="http://schemas.openxmlformats.org/officeDocument/2006/relationships/queryTable" Target="../queryTables/queryTable1.xml"/><Relationship Id="rId68" Type="http://schemas.openxmlformats.org/officeDocument/2006/relationships/queryTable" Target="../queryTables/queryTable22.xml"/><Relationship Id="rId89" Type="http://schemas.openxmlformats.org/officeDocument/2006/relationships/queryTable" Target="../queryTables/queryTable43.xml"/><Relationship Id="rId112" Type="http://schemas.openxmlformats.org/officeDocument/2006/relationships/queryTable" Target="../queryTables/queryTable66.xml"/><Relationship Id="rId133" Type="http://schemas.openxmlformats.org/officeDocument/2006/relationships/queryTable" Target="../queryTables/queryTable87.xml"/><Relationship Id="rId154" Type="http://schemas.openxmlformats.org/officeDocument/2006/relationships/queryTable" Target="../queryTables/queryTable108.xml"/><Relationship Id="rId175" Type="http://schemas.openxmlformats.org/officeDocument/2006/relationships/queryTable" Target="../queryTables/queryTable129.xml"/><Relationship Id="rId340" Type="http://schemas.openxmlformats.org/officeDocument/2006/relationships/queryTable" Target="../queryTables/queryTable294.xml"/><Relationship Id="rId361" Type="http://schemas.openxmlformats.org/officeDocument/2006/relationships/queryTable" Target="../queryTables/queryTable315.xml"/><Relationship Id="rId196" Type="http://schemas.openxmlformats.org/officeDocument/2006/relationships/queryTable" Target="../queryTables/queryTable150.xml"/><Relationship Id="rId200" Type="http://schemas.openxmlformats.org/officeDocument/2006/relationships/queryTable" Target="../queryTables/queryTable154.xml"/><Relationship Id="rId382" Type="http://schemas.openxmlformats.org/officeDocument/2006/relationships/queryTable" Target="../queryTables/queryTable336.xml"/><Relationship Id="rId417" Type="http://schemas.openxmlformats.org/officeDocument/2006/relationships/queryTable" Target="../queryTables/queryTable371.xml"/><Relationship Id="rId438" Type="http://schemas.openxmlformats.org/officeDocument/2006/relationships/queryTable" Target="../queryTables/queryTable392.xml"/><Relationship Id="rId459" Type="http://schemas.openxmlformats.org/officeDocument/2006/relationships/queryTable" Target="../queryTables/queryTable413.xml"/><Relationship Id="rId16" Type="http://schemas.openxmlformats.org/officeDocument/2006/relationships/hyperlink" Target="http://kdb-5.liu.se/liu/lith/studiehandboken/svkursplan.lasso?&amp;k_budget_year=2014&amp;k_kurskod=TBMT32" TargetMode="External"/><Relationship Id="rId221" Type="http://schemas.openxmlformats.org/officeDocument/2006/relationships/queryTable" Target="../queryTables/queryTable175.xml"/><Relationship Id="rId242" Type="http://schemas.openxmlformats.org/officeDocument/2006/relationships/queryTable" Target="../queryTables/queryTable196.xml"/><Relationship Id="rId263" Type="http://schemas.openxmlformats.org/officeDocument/2006/relationships/queryTable" Target="../queryTables/queryTable217.xml"/><Relationship Id="rId284" Type="http://schemas.openxmlformats.org/officeDocument/2006/relationships/queryTable" Target="../queryTables/queryTable238.xml"/><Relationship Id="rId319" Type="http://schemas.openxmlformats.org/officeDocument/2006/relationships/queryTable" Target="../queryTables/queryTable273.xml"/><Relationship Id="rId37" Type="http://schemas.openxmlformats.org/officeDocument/2006/relationships/hyperlink" Target="http://kdb-5.liu.se/liu/lith/studiehandboken/svkursplan.lasso?&amp;k_budget_year=2014&amp;k_kurskod=TDDC76" TargetMode="External"/><Relationship Id="rId58" Type="http://schemas.openxmlformats.org/officeDocument/2006/relationships/queryTable" Target="../queryTables/queryTable12.xml"/><Relationship Id="rId79" Type="http://schemas.openxmlformats.org/officeDocument/2006/relationships/queryTable" Target="../queryTables/queryTable33.xml"/><Relationship Id="rId102" Type="http://schemas.openxmlformats.org/officeDocument/2006/relationships/queryTable" Target="../queryTables/queryTable56.xml"/><Relationship Id="rId123" Type="http://schemas.openxmlformats.org/officeDocument/2006/relationships/queryTable" Target="../queryTables/queryTable77.xml"/><Relationship Id="rId144" Type="http://schemas.openxmlformats.org/officeDocument/2006/relationships/queryTable" Target="../queryTables/queryTable98.xml"/><Relationship Id="rId330" Type="http://schemas.openxmlformats.org/officeDocument/2006/relationships/queryTable" Target="../queryTables/queryTable284.xml"/><Relationship Id="rId90" Type="http://schemas.openxmlformats.org/officeDocument/2006/relationships/queryTable" Target="../queryTables/queryTable44.xml"/><Relationship Id="rId165" Type="http://schemas.openxmlformats.org/officeDocument/2006/relationships/queryTable" Target="../queryTables/queryTable119.xml"/><Relationship Id="rId186" Type="http://schemas.openxmlformats.org/officeDocument/2006/relationships/queryTable" Target="../queryTables/queryTable140.xml"/><Relationship Id="rId351" Type="http://schemas.openxmlformats.org/officeDocument/2006/relationships/queryTable" Target="../queryTables/queryTable305.xml"/><Relationship Id="rId372" Type="http://schemas.openxmlformats.org/officeDocument/2006/relationships/queryTable" Target="../queryTables/queryTable326.xml"/><Relationship Id="rId393" Type="http://schemas.openxmlformats.org/officeDocument/2006/relationships/queryTable" Target="../queryTables/queryTable347.xml"/><Relationship Id="rId407" Type="http://schemas.openxmlformats.org/officeDocument/2006/relationships/queryTable" Target="../queryTables/queryTable361.xml"/><Relationship Id="rId428" Type="http://schemas.openxmlformats.org/officeDocument/2006/relationships/queryTable" Target="../queryTables/queryTable382.xml"/><Relationship Id="rId449" Type="http://schemas.openxmlformats.org/officeDocument/2006/relationships/queryTable" Target="../queryTables/queryTable403.xml"/><Relationship Id="rId211" Type="http://schemas.openxmlformats.org/officeDocument/2006/relationships/queryTable" Target="../queryTables/queryTable165.xml"/><Relationship Id="rId232" Type="http://schemas.openxmlformats.org/officeDocument/2006/relationships/queryTable" Target="../queryTables/queryTable186.xml"/><Relationship Id="rId253" Type="http://schemas.openxmlformats.org/officeDocument/2006/relationships/queryTable" Target="../queryTables/queryTable207.xml"/><Relationship Id="rId274" Type="http://schemas.openxmlformats.org/officeDocument/2006/relationships/queryTable" Target="../queryTables/queryTable228.xml"/><Relationship Id="rId295" Type="http://schemas.openxmlformats.org/officeDocument/2006/relationships/queryTable" Target="../queryTables/queryTable249.xml"/><Relationship Id="rId309" Type="http://schemas.openxmlformats.org/officeDocument/2006/relationships/queryTable" Target="../queryTables/queryTable263.xml"/><Relationship Id="rId460" Type="http://schemas.openxmlformats.org/officeDocument/2006/relationships/queryTable" Target="../queryTables/queryTable414.xml"/><Relationship Id="rId27" Type="http://schemas.openxmlformats.org/officeDocument/2006/relationships/hyperlink" Target="http://kdb-5.liu.se/liu/lith/studiehandboken/svkursplan.lasso?&amp;k_budget_year=2014&amp;k_kurskod=TSTE05" TargetMode="External"/><Relationship Id="rId48" Type="http://schemas.openxmlformats.org/officeDocument/2006/relationships/queryTable" Target="../queryTables/queryTable2.xml"/><Relationship Id="rId69" Type="http://schemas.openxmlformats.org/officeDocument/2006/relationships/queryTable" Target="../queryTables/queryTable23.xml"/><Relationship Id="rId113" Type="http://schemas.openxmlformats.org/officeDocument/2006/relationships/queryTable" Target="../queryTables/queryTable67.xml"/><Relationship Id="rId134" Type="http://schemas.openxmlformats.org/officeDocument/2006/relationships/queryTable" Target="../queryTables/queryTable88.xml"/><Relationship Id="rId320" Type="http://schemas.openxmlformats.org/officeDocument/2006/relationships/queryTable" Target="../queryTables/queryTable274.xml"/><Relationship Id="rId80" Type="http://schemas.openxmlformats.org/officeDocument/2006/relationships/queryTable" Target="../queryTables/queryTable34.xml"/><Relationship Id="rId155" Type="http://schemas.openxmlformats.org/officeDocument/2006/relationships/queryTable" Target="../queryTables/queryTable109.xml"/><Relationship Id="rId176" Type="http://schemas.openxmlformats.org/officeDocument/2006/relationships/queryTable" Target="../queryTables/queryTable130.xml"/><Relationship Id="rId197" Type="http://schemas.openxmlformats.org/officeDocument/2006/relationships/queryTable" Target="../queryTables/queryTable151.xml"/><Relationship Id="rId341" Type="http://schemas.openxmlformats.org/officeDocument/2006/relationships/queryTable" Target="../queryTables/queryTable295.xml"/><Relationship Id="rId362" Type="http://schemas.openxmlformats.org/officeDocument/2006/relationships/queryTable" Target="../queryTables/queryTable316.xml"/><Relationship Id="rId383" Type="http://schemas.openxmlformats.org/officeDocument/2006/relationships/queryTable" Target="../queryTables/queryTable337.xml"/><Relationship Id="rId418" Type="http://schemas.openxmlformats.org/officeDocument/2006/relationships/queryTable" Target="../queryTables/queryTable372.xml"/><Relationship Id="rId439" Type="http://schemas.openxmlformats.org/officeDocument/2006/relationships/queryTable" Target="../queryTables/queryTable393.xml"/><Relationship Id="rId201" Type="http://schemas.openxmlformats.org/officeDocument/2006/relationships/queryTable" Target="../queryTables/queryTable155.xml"/><Relationship Id="rId222" Type="http://schemas.openxmlformats.org/officeDocument/2006/relationships/queryTable" Target="../queryTables/queryTable176.xml"/><Relationship Id="rId243" Type="http://schemas.openxmlformats.org/officeDocument/2006/relationships/queryTable" Target="../queryTables/queryTable197.xml"/><Relationship Id="rId264" Type="http://schemas.openxmlformats.org/officeDocument/2006/relationships/queryTable" Target="../queryTables/queryTable218.xml"/><Relationship Id="rId285" Type="http://schemas.openxmlformats.org/officeDocument/2006/relationships/queryTable" Target="../queryTables/queryTable239.xml"/><Relationship Id="rId450" Type="http://schemas.openxmlformats.org/officeDocument/2006/relationships/queryTable" Target="../queryTables/queryTable404.xml"/><Relationship Id="rId17" Type="http://schemas.openxmlformats.org/officeDocument/2006/relationships/hyperlink" Target="http://kdb-5.liu.se/liu/lith/studiehandboken/svkursplan.lasso?&amp;k_budget_year=2014&amp;k_kurskod=TGTU35" TargetMode="External"/><Relationship Id="rId38" Type="http://schemas.openxmlformats.org/officeDocument/2006/relationships/hyperlink" Target="http://kdb-5.liu.se/liu/lith/studiehandboken/svkursplan.lasso?&amp;k_budget_year=2014&amp;k_kurskod=TSBB31" TargetMode="External"/><Relationship Id="rId59" Type="http://schemas.openxmlformats.org/officeDocument/2006/relationships/queryTable" Target="../queryTables/queryTable13.xml"/><Relationship Id="rId103" Type="http://schemas.openxmlformats.org/officeDocument/2006/relationships/queryTable" Target="../queryTables/queryTable57.xml"/><Relationship Id="rId124" Type="http://schemas.openxmlformats.org/officeDocument/2006/relationships/queryTable" Target="../queryTables/queryTable78.xml"/><Relationship Id="rId310" Type="http://schemas.openxmlformats.org/officeDocument/2006/relationships/queryTable" Target="../queryTables/queryTable264.xml"/><Relationship Id="rId70" Type="http://schemas.openxmlformats.org/officeDocument/2006/relationships/queryTable" Target="../queryTables/queryTable24.xml"/><Relationship Id="rId91" Type="http://schemas.openxmlformats.org/officeDocument/2006/relationships/queryTable" Target="../queryTables/queryTable45.xml"/><Relationship Id="rId145" Type="http://schemas.openxmlformats.org/officeDocument/2006/relationships/queryTable" Target="../queryTables/queryTable99.xml"/><Relationship Id="rId166" Type="http://schemas.openxmlformats.org/officeDocument/2006/relationships/queryTable" Target="../queryTables/queryTable120.xml"/><Relationship Id="rId187" Type="http://schemas.openxmlformats.org/officeDocument/2006/relationships/queryTable" Target="../queryTables/queryTable141.xml"/><Relationship Id="rId331" Type="http://schemas.openxmlformats.org/officeDocument/2006/relationships/queryTable" Target="../queryTables/queryTable285.xml"/><Relationship Id="rId352" Type="http://schemas.openxmlformats.org/officeDocument/2006/relationships/queryTable" Target="../queryTables/queryTable306.xml"/><Relationship Id="rId373" Type="http://schemas.openxmlformats.org/officeDocument/2006/relationships/queryTable" Target="../queryTables/queryTable327.xml"/><Relationship Id="rId394" Type="http://schemas.openxmlformats.org/officeDocument/2006/relationships/queryTable" Target="../queryTables/queryTable348.xml"/><Relationship Id="rId408" Type="http://schemas.openxmlformats.org/officeDocument/2006/relationships/queryTable" Target="../queryTables/queryTable362.xml"/><Relationship Id="rId429" Type="http://schemas.openxmlformats.org/officeDocument/2006/relationships/queryTable" Target="../queryTables/queryTable383.xml"/><Relationship Id="rId1" Type="http://schemas.openxmlformats.org/officeDocument/2006/relationships/hyperlink" Target="http://www.liu.se/" TargetMode="External"/><Relationship Id="rId212" Type="http://schemas.openxmlformats.org/officeDocument/2006/relationships/queryTable" Target="../queryTables/queryTable166.xml"/><Relationship Id="rId233" Type="http://schemas.openxmlformats.org/officeDocument/2006/relationships/queryTable" Target="../queryTables/queryTable187.xml"/><Relationship Id="rId254" Type="http://schemas.openxmlformats.org/officeDocument/2006/relationships/queryTable" Target="../queryTables/queryTable208.xml"/><Relationship Id="rId440" Type="http://schemas.openxmlformats.org/officeDocument/2006/relationships/queryTable" Target="../queryTables/queryTable394.xml"/><Relationship Id="rId28" Type="http://schemas.openxmlformats.org/officeDocument/2006/relationships/hyperlink" Target="http://kdb-5.liu.se/liu/lith/studiehandboken/svkursplan.lasso?&amp;k_budget_year=2014&amp;k_kurskod=TFYA62" TargetMode="External"/><Relationship Id="rId49" Type="http://schemas.openxmlformats.org/officeDocument/2006/relationships/queryTable" Target="../queryTables/queryTable3.xml"/><Relationship Id="rId114" Type="http://schemas.openxmlformats.org/officeDocument/2006/relationships/queryTable" Target="../queryTables/queryTable68.xml"/><Relationship Id="rId275" Type="http://schemas.openxmlformats.org/officeDocument/2006/relationships/queryTable" Target="../queryTables/queryTable229.xml"/><Relationship Id="rId296" Type="http://schemas.openxmlformats.org/officeDocument/2006/relationships/queryTable" Target="../queryTables/queryTable250.xml"/><Relationship Id="rId300" Type="http://schemas.openxmlformats.org/officeDocument/2006/relationships/queryTable" Target="../queryTables/queryTable254.xml"/><Relationship Id="rId461" Type="http://schemas.openxmlformats.org/officeDocument/2006/relationships/queryTable" Target="../queryTables/queryTable415.xml"/><Relationship Id="rId60" Type="http://schemas.openxmlformats.org/officeDocument/2006/relationships/queryTable" Target="../queryTables/queryTable14.xml"/><Relationship Id="rId81" Type="http://schemas.openxmlformats.org/officeDocument/2006/relationships/queryTable" Target="../queryTables/queryTable35.xml"/><Relationship Id="rId135" Type="http://schemas.openxmlformats.org/officeDocument/2006/relationships/queryTable" Target="../queryTables/queryTable89.xml"/><Relationship Id="rId156" Type="http://schemas.openxmlformats.org/officeDocument/2006/relationships/queryTable" Target="../queryTables/queryTable110.xml"/><Relationship Id="rId177" Type="http://schemas.openxmlformats.org/officeDocument/2006/relationships/queryTable" Target="../queryTables/queryTable131.xml"/><Relationship Id="rId198" Type="http://schemas.openxmlformats.org/officeDocument/2006/relationships/queryTable" Target="../queryTables/queryTable152.xml"/><Relationship Id="rId321" Type="http://schemas.openxmlformats.org/officeDocument/2006/relationships/queryTable" Target="../queryTables/queryTable275.xml"/><Relationship Id="rId342" Type="http://schemas.openxmlformats.org/officeDocument/2006/relationships/queryTable" Target="../queryTables/queryTable296.xml"/><Relationship Id="rId363" Type="http://schemas.openxmlformats.org/officeDocument/2006/relationships/queryTable" Target="../queryTables/queryTable317.xml"/><Relationship Id="rId384" Type="http://schemas.openxmlformats.org/officeDocument/2006/relationships/queryTable" Target="../queryTables/queryTable338.xml"/><Relationship Id="rId419" Type="http://schemas.openxmlformats.org/officeDocument/2006/relationships/queryTable" Target="../queryTables/queryTable373.xml"/><Relationship Id="rId202" Type="http://schemas.openxmlformats.org/officeDocument/2006/relationships/queryTable" Target="../queryTables/queryTable156.xml"/><Relationship Id="rId223" Type="http://schemas.openxmlformats.org/officeDocument/2006/relationships/queryTable" Target="../queryTables/queryTable177.xml"/><Relationship Id="rId244" Type="http://schemas.openxmlformats.org/officeDocument/2006/relationships/queryTable" Target="../queryTables/queryTable198.xml"/><Relationship Id="rId430" Type="http://schemas.openxmlformats.org/officeDocument/2006/relationships/queryTable" Target="../queryTables/queryTable384.xml"/><Relationship Id="rId18" Type="http://schemas.openxmlformats.org/officeDocument/2006/relationships/hyperlink" Target="http://kdb-5.liu.se/liu/lith/studiehandboken/svkursplan.lasso?&amp;k_budget_year=2014&amp;k_kurskod=TATA43" TargetMode="External"/><Relationship Id="rId39" Type="http://schemas.openxmlformats.org/officeDocument/2006/relationships/hyperlink" Target="http://kdb-5.liu.se/liu/lith/studiehandboken/svkursplan.lasso?&amp;k_budget_year=2014&amp;k_kurskod=TDDC76" TargetMode="External"/><Relationship Id="rId265" Type="http://schemas.openxmlformats.org/officeDocument/2006/relationships/queryTable" Target="../queryTables/queryTable219.xml"/><Relationship Id="rId286" Type="http://schemas.openxmlformats.org/officeDocument/2006/relationships/queryTable" Target="../queryTables/queryTable240.xml"/><Relationship Id="rId451" Type="http://schemas.openxmlformats.org/officeDocument/2006/relationships/queryTable" Target="../queryTables/queryTable405.xml"/><Relationship Id="rId50" Type="http://schemas.openxmlformats.org/officeDocument/2006/relationships/queryTable" Target="../queryTables/queryTable4.xml"/><Relationship Id="rId104" Type="http://schemas.openxmlformats.org/officeDocument/2006/relationships/queryTable" Target="../queryTables/queryTable58.xml"/><Relationship Id="rId125" Type="http://schemas.openxmlformats.org/officeDocument/2006/relationships/queryTable" Target="../queryTables/queryTable79.xml"/><Relationship Id="rId146" Type="http://schemas.openxmlformats.org/officeDocument/2006/relationships/queryTable" Target="../queryTables/queryTable100.xml"/><Relationship Id="rId167" Type="http://schemas.openxmlformats.org/officeDocument/2006/relationships/queryTable" Target="../queryTables/queryTable121.xml"/><Relationship Id="rId188" Type="http://schemas.openxmlformats.org/officeDocument/2006/relationships/queryTable" Target="../queryTables/queryTable142.xml"/><Relationship Id="rId311" Type="http://schemas.openxmlformats.org/officeDocument/2006/relationships/queryTable" Target="../queryTables/queryTable265.xml"/><Relationship Id="rId332" Type="http://schemas.openxmlformats.org/officeDocument/2006/relationships/queryTable" Target="../queryTables/queryTable286.xml"/><Relationship Id="rId353" Type="http://schemas.openxmlformats.org/officeDocument/2006/relationships/queryTable" Target="../queryTables/queryTable307.xml"/><Relationship Id="rId374" Type="http://schemas.openxmlformats.org/officeDocument/2006/relationships/queryTable" Target="../queryTables/queryTable328.xml"/><Relationship Id="rId395" Type="http://schemas.openxmlformats.org/officeDocument/2006/relationships/queryTable" Target="../queryTables/queryTable349.xml"/><Relationship Id="rId409" Type="http://schemas.openxmlformats.org/officeDocument/2006/relationships/queryTable" Target="../queryTables/queryTable363.xml"/><Relationship Id="rId71" Type="http://schemas.openxmlformats.org/officeDocument/2006/relationships/queryTable" Target="../queryTables/queryTable25.xml"/><Relationship Id="rId92" Type="http://schemas.openxmlformats.org/officeDocument/2006/relationships/queryTable" Target="../queryTables/queryTable46.xml"/><Relationship Id="rId213" Type="http://schemas.openxmlformats.org/officeDocument/2006/relationships/queryTable" Target="../queryTables/queryTable167.xml"/><Relationship Id="rId234" Type="http://schemas.openxmlformats.org/officeDocument/2006/relationships/queryTable" Target="../queryTables/queryTable188.xml"/><Relationship Id="rId420" Type="http://schemas.openxmlformats.org/officeDocument/2006/relationships/queryTable" Target="../queryTables/queryTable374.xml"/><Relationship Id="rId2" Type="http://schemas.openxmlformats.org/officeDocument/2006/relationships/hyperlink" Target="http://www.lith.liu.se/" TargetMode="External"/><Relationship Id="rId29" Type="http://schemas.openxmlformats.org/officeDocument/2006/relationships/hyperlink" Target="http://kdb-5.liu.se/liu/lith/studiehandboken/svkursplan.lasso?&amp;k_budget_year=2014&amp;k_kurskod=TFYA63" TargetMode="External"/><Relationship Id="rId255" Type="http://schemas.openxmlformats.org/officeDocument/2006/relationships/queryTable" Target="../queryTables/queryTable209.xml"/><Relationship Id="rId276" Type="http://schemas.openxmlformats.org/officeDocument/2006/relationships/queryTable" Target="../queryTables/queryTable230.xml"/><Relationship Id="rId297" Type="http://schemas.openxmlformats.org/officeDocument/2006/relationships/queryTable" Target="../queryTables/queryTable251.xml"/><Relationship Id="rId441" Type="http://schemas.openxmlformats.org/officeDocument/2006/relationships/queryTable" Target="../queryTables/queryTable395.xml"/><Relationship Id="rId462" Type="http://schemas.openxmlformats.org/officeDocument/2006/relationships/queryTable" Target="../queryTables/queryTable416.xml"/><Relationship Id="rId40" Type="http://schemas.openxmlformats.org/officeDocument/2006/relationships/hyperlink" Target="http://kdb-5.liu.se/liu/lith/studiehandboken/svkursplan.lasso?&amp;k_budget_year=2014&amp;k_kurskod=TFYA67" TargetMode="External"/><Relationship Id="rId115" Type="http://schemas.openxmlformats.org/officeDocument/2006/relationships/queryTable" Target="../queryTables/queryTable69.xml"/><Relationship Id="rId136" Type="http://schemas.openxmlformats.org/officeDocument/2006/relationships/queryTable" Target="../queryTables/queryTable90.xml"/><Relationship Id="rId157" Type="http://schemas.openxmlformats.org/officeDocument/2006/relationships/queryTable" Target="../queryTables/queryTable111.xml"/><Relationship Id="rId178" Type="http://schemas.openxmlformats.org/officeDocument/2006/relationships/queryTable" Target="../queryTables/queryTable132.xml"/><Relationship Id="rId301" Type="http://schemas.openxmlformats.org/officeDocument/2006/relationships/queryTable" Target="../queryTables/queryTable255.xml"/><Relationship Id="rId322" Type="http://schemas.openxmlformats.org/officeDocument/2006/relationships/queryTable" Target="../queryTables/queryTable276.xml"/><Relationship Id="rId343" Type="http://schemas.openxmlformats.org/officeDocument/2006/relationships/queryTable" Target="../queryTables/queryTable297.xml"/><Relationship Id="rId364" Type="http://schemas.openxmlformats.org/officeDocument/2006/relationships/queryTable" Target="../queryTables/queryTable318.xml"/><Relationship Id="rId61" Type="http://schemas.openxmlformats.org/officeDocument/2006/relationships/queryTable" Target="../queryTables/queryTable15.xml"/><Relationship Id="rId82" Type="http://schemas.openxmlformats.org/officeDocument/2006/relationships/queryTable" Target="../queryTables/queryTable36.xml"/><Relationship Id="rId199" Type="http://schemas.openxmlformats.org/officeDocument/2006/relationships/queryTable" Target="../queryTables/queryTable153.xml"/><Relationship Id="rId203" Type="http://schemas.openxmlformats.org/officeDocument/2006/relationships/queryTable" Target="../queryTables/queryTable157.xml"/><Relationship Id="rId385" Type="http://schemas.openxmlformats.org/officeDocument/2006/relationships/queryTable" Target="../queryTables/queryTable339.xml"/><Relationship Id="rId19" Type="http://schemas.openxmlformats.org/officeDocument/2006/relationships/hyperlink" Target="http://kdb-5.liu.se/liu/lith/studiehandboken/svkursplan.lasso?&amp;k_budget_year=2014&amp;k_kurskod=TDDC74" TargetMode="External"/><Relationship Id="rId224" Type="http://schemas.openxmlformats.org/officeDocument/2006/relationships/queryTable" Target="../queryTables/queryTable178.xml"/><Relationship Id="rId245" Type="http://schemas.openxmlformats.org/officeDocument/2006/relationships/queryTable" Target="../queryTables/queryTable199.xml"/><Relationship Id="rId266" Type="http://schemas.openxmlformats.org/officeDocument/2006/relationships/queryTable" Target="../queryTables/queryTable220.xml"/><Relationship Id="rId287" Type="http://schemas.openxmlformats.org/officeDocument/2006/relationships/queryTable" Target="../queryTables/queryTable241.xml"/><Relationship Id="rId410" Type="http://schemas.openxmlformats.org/officeDocument/2006/relationships/queryTable" Target="../queryTables/queryTable364.xml"/><Relationship Id="rId431" Type="http://schemas.openxmlformats.org/officeDocument/2006/relationships/queryTable" Target="../queryTables/queryTable385.xml"/><Relationship Id="rId452" Type="http://schemas.openxmlformats.org/officeDocument/2006/relationships/queryTable" Target="../queryTables/queryTable406.xml"/><Relationship Id="rId30" Type="http://schemas.openxmlformats.org/officeDocument/2006/relationships/hyperlink" Target="http://kdb-5.liu.se/liu/lith/studiehandboken/svkursplan.lasso?&amp;k_budget_year=2014&amp;k_kurskod=TFYA70" TargetMode="External"/><Relationship Id="rId105" Type="http://schemas.openxmlformats.org/officeDocument/2006/relationships/queryTable" Target="../queryTables/queryTable59.xml"/><Relationship Id="rId126" Type="http://schemas.openxmlformats.org/officeDocument/2006/relationships/queryTable" Target="../queryTables/queryTable80.xml"/><Relationship Id="rId147" Type="http://schemas.openxmlformats.org/officeDocument/2006/relationships/queryTable" Target="../queryTables/queryTable101.xml"/><Relationship Id="rId168" Type="http://schemas.openxmlformats.org/officeDocument/2006/relationships/queryTable" Target="../queryTables/queryTable122.xml"/><Relationship Id="rId312" Type="http://schemas.openxmlformats.org/officeDocument/2006/relationships/queryTable" Target="../queryTables/queryTable266.xml"/><Relationship Id="rId333" Type="http://schemas.openxmlformats.org/officeDocument/2006/relationships/queryTable" Target="../queryTables/queryTable287.xml"/><Relationship Id="rId354" Type="http://schemas.openxmlformats.org/officeDocument/2006/relationships/queryTable" Target="../queryTables/queryTable308.xml"/><Relationship Id="rId51" Type="http://schemas.openxmlformats.org/officeDocument/2006/relationships/queryTable" Target="../queryTables/queryTable5.xml"/><Relationship Id="rId72" Type="http://schemas.openxmlformats.org/officeDocument/2006/relationships/queryTable" Target="../queryTables/queryTable26.xml"/><Relationship Id="rId93" Type="http://schemas.openxmlformats.org/officeDocument/2006/relationships/queryTable" Target="../queryTables/queryTable47.xml"/><Relationship Id="rId189" Type="http://schemas.openxmlformats.org/officeDocument/2006/relationships/queryTable" Target="../queryTables/queryTable143.xml"/><Relationship Id="rId375" Type="http://schemas.openxmlformats.org/officeDocument/2006/relationships/queryTable" Target="../queryTables/queryTable329.xml"/><Relationship Id="rId396" Type="http://schemas.openxmlformats.org/officeDocument/2006/relationships/queryTable" Target="../queryTables/queryTable350.xml"/><Relationship Id="rId3" Type="http://schemas.openxmlformats.org/officeDocument/2006/relationships/hyperlink" Target="http://www.liu.se/" TargetMode="External"/><Relationship Id="rId214" Type="http://schemas.openxmlformats.org/officeDocument/2006/relationships/queryTable" Target="../queryTables/queryTable168.xml"/><Relationship Id="rId235" Type="http://schemas.openxmlformats.org/officeDocument/2006/relationships/queryTable" Target="../queryTables/queryTable189.xml"/><Relationship Id="rId256" Type="http://schemas.openxmlformats.org/officeDocument/2006/relationships/queryTable" Target="../queryTables/queryTable210.xml"/><Relationship Id="rId277" Type="http://schemas.openxmlformats.org/officeDocument/2006/relationships/queryTable" Target="../queryTables/queryTable231.xml"/><Relationship Id="rId298" Type="http://schemas.openxmlformats.org/officeDocument/2006/relationships/queryTable" Target="../queryTables/queryTable252.xml"/><Relationship Id="rId400" Type="http://schemas.openxmlformats.org/officeDocument/2006/relationships/queryTable" Target="../queryTables/queryTable354.xml"/><Relationship Id="rId421" Type="http://schemas.openxmlformats.org/officeDocument/2006/relationships/queryTable" Target="../queryTables/queryTable375.xml"/><Relationship Id="rId442" Type="http://schemas.openxmlformats.org/officeDocument/2006/relationships/queryTable" Target="../queryTables/queryTable396.xml"/><Relationship Id="rId463" Type="http://schemas.openxmlformats.org/officeDocument/2006/relationships/queryTable" Target="../queryTables/queryTable417.xml"/><Relationship Id="rId116" Type="http://schemas.openxmlformats.org/officeDocument/2006/relationships/queryTable" Target="../queryTables/queryTable70.xml"/><Relationship Id="rId137" Type="http://schemas.openxmlformats.org/officeDocument/2006/relationships/queryTable" Target="../queryTables/queryTable91.xml"/><Relationship Id="rId158" Type="http://schemas.openxmlformats.org/officeDocument/2006/relationships/queryTable" Target="../queryTables/queryTable112.xml"/><Relationship Id="rId302" Type="http://schemas.openxmlformats.org/officeDocument/2006/relationships/queryTable" Target="../queryTables/queryTable256.xml"/><Relationship Id="rId323" Type="http://schemas.openxmlformats.org/officeDocument/2006/relationships/queryTable" Target="../queryTables/queryTable277.xml"/><Relationship Id="rId344" Type="http://schemas.openxmlformats.org/officeDocument/2006/relationships/queryTable" Target="../queryTables/queryTable298.xml"/><Relationship Id="rId20" Type="http://schemas.openxmlformats.org/officeDocument/2006/relationships/hyperlink" Target="http://kdb-5.liu.se/liu/lith/studiehandboken/svkursplan.lasso?&amp;k_budget_year=2014&amp;k_kurskod=TFYA59" TargetMode="External"/><Relationship Id="rId41" Type="http://schemas.openxmlformats.org/officeDocument/2006/relationships/hyperlink" Target="http://kdb-5.liu.se/liu/lith/studiehandboken/svkursplan.lasso?&amp;k_budget_year=2014&amp;k_kurskod=TSDT18" TargetMode="External"/><Relationship Id="rId62" Type="http://schemas.openxmlformats.org/officeDocument/2006/relationships/queryTable" Target="../queryTables/queryTable16.xml"/><Relationship Id="rId83" Type="http://schemas.openxmlformats.org/officeDocument/2006/relationships/queryTable" Target="../queryTables/queryTable37.xml"/><Relationship Id="rId179" Type="http://schemas.openxmlformats.org/officeDocument/2006/relationships/queryTable" Target="../queryTables/queryTable133.xml"/><Relationship Id="rId365" Type="http://schemas.openxmlformats.org/officeDocument/2006/relationships/queryTable" Target="../queryTables/queryTable319.xml"/><Relationship Id="rId386" Type="http://schemas.openxmlformats.org/officeDocument/2006/relationships/queryTable" Target="../queryTables/queryTable340.xml"/><Relationship Id="rId190" Type="http://schemas.openxmlformats.org/officeDocument/2006/relationships/queryTable" Target="../queryTables/queryTable144.xml"/><Relationship Id="rId204" Type="http://schemas.openxmlformats.org/officeDocument/2006/relationships/queryTable" Target="../queryTables/queryTable158.xml"/><Relationship Id="rId225" Type="http://schemas.openxmlformats.org/officeDocument/2006/relationships/queryTable" Target="../queryTables/queryTable179.xml"/><Relationship Id="rId246" Type="http://schemas.openxmlformats.org/officeDocument/2006/relationships/queryTable" Target="../queryTables/queryTable200.xml"/><Relationship Id="rId267" Type="http://schemas.openxmlformats.org/officeDocument/2006/relationships/queryTable" Target="../queryTables/queryTable221.xml"/><Relationship Id="rId288" Type="http://schemas.openxmlformats.org/officeDocument/2006/relationships/queryTable" Target="../queryTables/queryTable242.xml"/><Relationship Id="rId411" Type="http://schemas.openxmlformats.org/officeDocument/2006/relationships/queryTable" Target="../queryTables/queryTable365.xml"/><Relationship Id="rId432" Type="http://schemas.openxmlformats.org/officeDocument/2006/relationships/queryTable" Target="../queryTables/queryTable386.xml"/><Relationship Id="rId453" Type="http://schemas.openxmlformats.org/officeDocument/2006/relationships/queryTable" Target="../queryTables/queryTable407.xml"/><Relationship Id="rId106" Type="http://schemas.openxmlformats.org/officeDocument/2006/relationships/queryTable" Target="../queryTables/queryTable60.xml"/><Relationship Id="rId127" Type="http://schemas.openxmlformats.org/officeDocument/2006/relationships/queryTable" Target="../queryTables/queryTable81.xml"/><Relationship Id="rId313" Type="http://schemas.openxmlformats.org/officeDocument/2006/relationships/queryTable" Target="../queryTables/queryTable267.xml"/><Relationship Id="rId10" Type="http://schemas.openxmlformats.org/officeDocument/2006/relationships/hyperlink" Target="http://kdb-5.liu.se/liu/lith/studiehandboken/svkursplan.lasso?&amp;k_budget_year=2014&amp;k_kurskod=TATA41" TargetMode="External"/><Relationship Id="rId31" Type="http://schemas.openxmlformats.org/officeDocument/2006/relationships/hyperlink" Target="http://kdb-5.liu.se/liu/lith/studiehandboken/svkursplan.lasso?&amp;k_budget_year=2014&amp;k_kurskod=TSRT04" TargetMode="External"/><Relationship Id="rId52" Type="http://schemas.openxmlformats.org/officeDocument/2006/relationships/queryTable" Target="../queryTables/queryTable6.xml"/><Relationship Id="rId73" Type="http://schemas.openxmlformats.org/officeDocument/2006/relationships/queryTable" Target="../queryTables/queryTable27.xml"/><Relationship Id="rId94" Type="http://schemas.openxmlformats.org/officeDocument/2006/relationships/queryTable" Target="../queryTables/queryTable48.xml"/><Relationship Id="rId148" Type="http://schemas.openxmlformats.org/officeDocument/2006/relationships/queryTable" Target="../queryTables/queryTable102.xml"/><Relationship Id="rId169" Type="http://schemas.openxmlformats.org/officeDocument/2006/relationships/queryTable" Target="../queryTables/queryTable123.xml"/><Relationship Id="rId334" Type="http://schemas.openxmlformats.org/officeDocument/2006/relationships/queryTable" Target="../queryTables/queryTable288.xml"/><Relationship Id="rId355" Type="http://schemas.openxmlformats.org/officeDocument/2006/relationships/queryTable" Target="../queryTables/queryTable309.xml"/><Relationship Id="rId376" Type="http://schemas.openxmlformats.org/officeDocument/2006/relationships/queryTable" Target="../queryTables/queryTable330.xml"/><Relationship Id="rId397" Type="http://schemas.openxmlformats.org/officeDocument/2006/relationships/queryTable" Target="../queryTables/queryTable351.xml"/><Relationship Id="rId4" Type="http://schemas.openxmlformats.org/officeDocument/2006/relationships/hyperlink" Target="http://kdb-5.liu.se/liu/lith/studiehandboken/svkursplan.lasso?&amp;k_budget_year=2014&amp;k_kurskod=TATM79" TargetMode="External"/><Relationship Id="rId180" Type="http://schemas.openxmlformats.org/officeDocument/2006/relationships/queryTable" Target="../queryTables/queryTable134.xml"/><Relationship Id="rId215" Type="http://schemas.openxmlformats.org/officeDocument/2006/relationships/queryTable" Target="../queryTables/queryTable169.xml"/><Relationship Id="rId236" Type="http://schemas.openxmlformats.org/officeDocument/2006/relationships/queryTable" Target="../queryTables/queryTable190.xml"/><Relationship Id="rId257" Type="http://schemas.openxmlformats.org/officeDocument/2006/relationships/queryTable" Target="../queryTables/queryTable211.xml"/><Relationship Id="rId278" Type="http://schemas.openxmlformats.org/officeDocument/2006/relationships/queryTable" Target="../queryTables/queryTable232.xml"/><Relationship Id="rId401" Type="http://schemas.openxmlformats.org/officeDocument/2006/relationships/queryTable" Target="../queryTables/queryTable355.xml"/><Relationship Id="rId422" Type="http://schemas.openxmlformats.org/officeDocument/2006/relationships/queryTable" Target="../queryTables/queryTable376.xml"/><Relationship Id="rId443" Type="http://schemas.openxmlformats.org/officeDocument/2006/relationships/queryTable" Target="../queryTables/queryTable397.xml"/><Relationship Id="rId464" Type="http://schemas.openxmlformats.org/officeDocument/2006/relationships/queryTable" Target="../queryTables/queryTable418.xml"/><Relationship Id="rId303" Type="http://schemas.openxmlformats.org/officeDocument/2006/relationships/queryTable" Target="../queryTables/queryTable257.xml"/><Relationship Id="rId42" Type="http://schemas.openxmlformats.org/officeDocument/2006/relationships/hyperlink" Target="http://kdb-5.liu.se/liu/lith/studiehandboken/svkursplan.lasso?&amp;k_budget_year=2014&amp;k_kurskod=TBMT41" TargetMode="External"/><Relationship Id="rId84" Type="http://schemas.openxmlformats.org/officeDocument/2006/relationships/queryTable" Target="../queryTables/queryTable38.xml"/><Relationship Id="rId138" Type="http://schemas.openxmlformats.org/officeDocument/2006/relationships/queryTable" Target="../queryTables/queryTable92.xml"/><Relationship Id="rId345" Type="http://schemas.openxmlformats.org/officeDocument/2006/relationships/queryTable" Target="../queryTables/queryTable299.xml"/><Relationship Id="rId387" Type="http://schemas.openxmlformats.org/officeDocument/2006/relationships/queryTable" Target="../queryTables/queryTable341.xml"/><Relationship Id="rId191" Type="http://schemas.openxmlformats.org/officeDocument/2006/relationships/queryTable" Target="../queryTables/queryTable145.xml"/><Relationship Id="rId205" Type="http://schemas.openxmlformats.org/officeDocument/2006/relationships/queryTable" Target="../queryTables/queryTable159.xml"/><Relationship Id="rId247" Type="http://schemas.openxmlformats.org/officeDocument/2006/relationships/queryTable" Target="../queryTables/queryTable201.xml"/><Relationship Id="rId412" Type="http://schemas.openxmlformats.org/officeDocument/2006/relationships/queryTable" Target="../queryTables/queryTable366.xml"/><Relationship Id="rId107" Type="http://schemas.openxmlformats.org/officeDocument/2006/relationships/queryTable" Target="../queryTables/queryTable61.xml"/><Relationship Id="rId289" Type="http://schemas.openxmlformats.org/officeDocument/2006/relationships/queryTable" Target="../queryTables/queryTable243.xml"/><Relationship Id="rId454" Type="http://schemas.openxmlformats.org/officeDocument/2006/relationships/queryTable" Target="../queryTables/queryTable408.xml"/><Relationship Id="rId11" Type="http://schemas.openxmlformats.org/officeDocument/2006/relationships/hyperlink" Target="http://kdb-5.liu.se/liu/lith/studiehandboken/svkursplan.lasso?&amp;k_budget_year=2014&amp;k_kurskod=TFYY51" TargetMode="External"/><Relationship Id="rId53" Type="http://schemas.openxmlformats.org/officeDocument/2006/relationships/queryTable" Target="../queryTables/queryTable7.xml"/><Relationship Id="rId149" Type="http://schemas.openxmlformats.org/officeDocument/2006/relationships/queryTable" Target="../queryTables/queryTable103.xml"/><Relationship Id="rId314" Type="http://schemas.openxmlformats.org/officeDocument/2006/relationships/queryTable" Target="../queryTables/queryTable268.xml"/><Relationship Id="rId356" Type="http://schemas.openxmlformats.org/officeDocument/2006/relationships/queryTable" Target="../queryTables/queryTable310.xml"/><Relationship Id="rId398" Type="http://schemas.openxmlformats.org/officeDocument/2006/relationships/queryTable" Target="../queryTables/queryTable352.xml"/><Relationship Id="rId95" Type="http://schemas.openxmlformats.org/officeDocument/2006/relationships/queryTable" Target="../queryTables/queryTable49.xml"/><Relationship Id="rId160" Type="http://schemas.openxmlformats.org/officeDocument/2006/relationships/queryTable" Target="../queryTables/queryTable114.xml"/><Relationship Id="rId216" Type="http://schemas.openxmlformats.org/officeDocument/2006/relationships/queryTable" Target="../queryTables/queryTable170.xml"/><Relationship Id="rId423" Type="http://schemas.openxmlformats.org/officeDocument/2006/relationships/queryTable" Target="../queryTables/queryTable377.xml"/><Relationship Id="rId258" Type="http://schemas.openxmlformats.org/officeDocument/2006/relationships/queryTable" Target="../queryTables/queryTable212.xml"/><Relationship Id="rId465" Type="http://schemas.openxmlformats.org/officeDocument/2006/relationships/queryTable" Target="../queryTables/queryTable419.xml"/><Relationship Id="rId22" Type="http://schemas.openxmlformats.org/officeDocument/2006/relationships/hyperlink" Target="http://kdb-5.liu.se/liu/lith/studiehandboken/svkursplan.lasso?&amp;k_budget_year=2014&amp;k_kurskod=TATA44" TargetMode="External"/><Relationship Id="rId64" Type="http://schemas.openxmlformats.org/officeDocument/2006/relationships/queryTable" Target="../queryTables/queryTable18.xml"/><Relationship Id="rId118" Type="http://schemas.openxmlformats.org/officeDocument/2006/relationships/queryTable" Target="../queryTables/queryTable72.xml"/><Relationship Id="rId325" Type="http://schemas.openxmlformats.org/officeDocument/2006/relationships/queryTable" Target="../queryTables/queryTable279.xml"/><Relationship Id="rId367" Type="http://schemas.openxmlformats.org/officeDocument/2006/relationships/queryTable" Target="../queryTables/queryTable321.xml"/><Relationship Id="rId171" Type="http://schemas.openxmlformats.org/officeDocument/2006/relationships/queryTable" Target="../queryTables/queryTable125.xml"/><Relationship Id="rId227" Type="http://schemas.openxmlformats.org/officeDocument/2006/relationships/queryTable" Target="../queryTables/queryTable181.xml"/><Relationship Id="rId269" Type="http://schemas.openxmlformats.org/officeDocument/2006/relationships/queryTable" Target="../queryTables/queryTable223.xml"/><Relationship Id="rId434" Type="http://schemas.openxmlformats.org/officeDocument/2006/relationships/queryTable" Target="../queryTables/queryTable388.xml"/><Relationship Id="rId33" Type="http://schemas.openxmlformats.org/officeDocument/2006/relationships/hyperlink" Target="http://kdb-5.liu.se/liu/lith/studiehandboken/svkursplan.lasso?&amp;k_budget_year=2014&amp;k_kurskod=TATA57" TargetMode="External"/><Relationship Id="rId129" Type="http://schemas.openxmlformats.org/officeDocument/2006/relationships/queryTable" Target="../queryTables/queryTable83.xml"/><Relationship Id="rId280" Type="http://schemas.openxmlformats.org/officeDocument/2006/relationships/queryTable" Target="../queryTables/queryTable234.xml"/><Relationship Id="rId336" Type="http://schemas.openxmlformats.org/officeDocument/2006/relationships/queryTable" Target="../queryTables/queryTable290.xml"/><Relationship Id="rId75" Type="http://schemas.openxmlformats.org/officeDocument/2006/relationships/queryTable" Target="../queryTables/queryTable29.xml"/><Relationship Id="rId140" Type="http://schemas.openxmlformats.org/officeDocument/2006/relationships/queryTable" Target="../queryTables/queryTable94.xml"/><Relationship Id="rId182" Type="http://schemas.openxmlformats.org/officeDocument/2006/relationships/queryTable" Target="../queryTables/queryTable136.xml"/><Relationship Id="rId378" Type="http://schemas.openxmlformats.org/officeDocument/2006/relationships/queryTable" Target="../queryTables/queryTable332.xml"/><Relationship Id="rId403" Type="http://schemas.openxmlformats.org/officeDocument/2006/relationships/queryTable" Target="../queryTables/queryTable357.xml"/><Relationship Id="rId6" Type="http://schemas.openxmlformats.org/officeDocument/2006/relationships/hyperlink" Target="http://kdb-5.liu.se/liu/lith/studiehandboken/svkursplan.lasso?&amp;k_budget_year=2014&amp;k_kurskod=TATM79" TargetMode="External"/><Relationship Id="rId238" Type="http://schemas.openxmlformats.org/officeDocument/2006/relationships/queryTable" Target="../queryTables/queryTable192.xml"/><Relationship Id="rId445" Type="http://schemas.openxmlformats.org/officeDocument/2006/relationships/queryTable" Target="../queryTables/queryTable399.xml"/><Relationship Id="rId291" Type="http://schemas.openxmlformats.org/officeDocument/2006/relationships/queryTable" Target="../queryTables/queryTable245.xml"/><Relationship Id="rId305" Type="http://schemas.openxmlformats.org/officeDocument/2006/relationships/queryTable" Target="../queryTables/queryTable259.xml"/><Relationship Id="rId347" Type="http://schemas.openxmlformats.org/officeDocument/2006/relationships/queryTable" Target="../queryTables/queryTable30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3">
    <tabColor theme="6"/>
  </sheetPr>
  <dimension ref="A1:X62"/>
  <sheetViews>
    <sheetView workbookViewId="0">
      <selection activeCell="L46" sqref="L46:M46"/>
    </sheetView>
  </sheetViews>
  <sheetFormatPr defaultRowHeight="15" x14ac:dyDescent="0.3"/>
  <cols>
    <col min="1" max="1" width="5.75" style="22" customWidth="1"/>
    <col min="2" max="11" width="9" style="22"/>
    <col min="12" max="12" width="3.75" style="22" customWidth="1"/>
    <col min="13" max="21" width="9" style="22"/>
    <col min="22" max="22" width="9" style="22" customWidth="1"/>
    <col min="23" max="23" width="3.375" style="22" customWidth="1"/>
    <col min="24" max="16384" width="9" style="22"/>
  </cols>
  <sheetData>
    <row r="1" spans="1:23" ht="10.5" customHeight="1" x14ac:dyDescent="0.3">
      <c r="A1" s="1"/>
      <c r="B1" s="1"/>
      <c r="C1" s="1"/>
      <c r="D1" s="1"/>
      <c r="E1" s="1"/>
      <c r="F1" s="1"/>
      <c r="G1" s="1"/>
      <c r="H1" s="1"/>
      <c r="I1" s="1"/>
      <c r="J1" s="1"/>
      <c r="K1" s="1"/>
      <c r="L1" s="1"/>
      <c r="M1" s="1"/>
      <c r="N1" s="1"/>
      <c r="O1" s="1"/>
      <c r="P1" s="1"/>
      <c r="Q1" s="1"/>
      <c r="R1" s="1"/>
      <c r="S1" s="1"/>
      <c r="T1" s="1"/>
      <c r="U1" s="1"/>
      <c r="V1" s="1"/>
      <c r="W1" s="1"/>
    </row>
    <row r="2" spans="1:23" ht="51" customHeight="1" x14ac:dyDescent="0.3">
      <c r="A2" s="10" t="s">
        <v>1301</v>
      </c>
      <c r="B2" s="10"/>
      <c r="C2" s="10"/>
      <c r="D2" s="6"/>
      <c r="E2" s="66"/>
      <c r="F2" s="28"/>
      <c r="G2" s="1"/>
      <c r="H2" s="1"/>
      <c r="I2" s="6"/>
      <c r="J2" s="1"/>
      <c r="K2" s="240" t="str">
        <f xml:space="preserve"> Programkurser!D2</f>
        <v>Just nu finns kursdata för 1377 kurser, inom 11 program och 48 inriktningar, inlagda i arbetsboken.</v>
      </c>
      <c r="L2" s="240"/>
      <c r="M2" s="240"/>
      <c r="N2" s="240"/>
      <c r="O2" s="240"/>
      <c r="P2" s="240"/>
      <c r="Q2" s="240"/>
      <c r="R2" s="240"/>
      <c r="S2" s="240"/>
      <c r="T2" s="240"/>
      <c r="U2" s="240"/>
      <c r="V2" s="1"/>
      <c r="W2" s="1"/>
    </row>
    <row r="3" spans="1:23" ht="9" customHeight="1" x14ac:dyDescent="0.3">
      <c r="A3" s="1"/>
      <c r="B3" s="1"/>
      <c r="C3" s="1"/>
      <c r="D3" s="1"/>
      <c r="E3" s="1"/>
      <c r="F3" s="1"/>
      <c r="G3" s="1"/>
      <c r="H3" s="1"/>
      <c r="I3" s="1"/>
      <c r="J3" s="1"/>
      <c r="K3" s="1"/>
      <c r="L3" s="1"/>
      <c r="M3" s="1"/>
      <c r="N3" s="1"/>
      <c r="O3" s="1"/>
      <c r="P3" s="1"/>
      <c r="Q3" s="1"/>
      <c r="R3" s="1"/>
      <c r="S3" s="1"/>
      <c r="T3" s="1"/>
      <c r="U3" s="1"/>
      <c r="V3" s="1"/>
      <c r="W3" s="1"/>
    </row>
    <row r="4" spans="1:23" x14ac:dyDescent="0.3">
      <c r="A4" s="97"/>
      <c r="B4" s="97"/>
      <c r="C4" s="97"/>
      <c r="D4" s="97"/>
      <c r="E4" s="97"/>
      <c r="F4" s="97"/>
      <c r="G4" s="97"/>
      <c r="H4" s="97"/>
      <c r="I4" s="97"/>
      <c r="J4" s="97"/>
      <c r="K4" s="97"/>
      <c r="L4" s="97"/>
      <c r="M4" s="97"/>
      <c r="N4" s="97"/>
      <c r="O4" s="97"/>
      <c r="P4" s="97"/>
      <c r="Q4" s="97"/>
      <c r="R4" s="97"/>
      <c r="S4" s="97"/>
      <c r="T4" s="97"/>
      <c r="U4" s="97"/>
      <c r="V4" s="97"/>
    </row>
    <row r="5" spans="1:23" ht="15" customHeight="1" x14ac:dyDescent="0.3">
      <c r="A5" s="97"/>
      <c r="B5" s="237" t="s">
        <v>2047</v>
      </c>
      <c r="C5" s="237"/>
      <c r="D5" s="237"/>
      <c r="E5" s="237"/>
      <c r="F5" s="237"/>
      <c r="G5" s="237"/>
      <c r="H5" s="237"/>
      <c r="I5" s="237"/>
      <c r="J5" s="237"/>
      <c r="K5" s="237"/>
      <c r="L5" s="237"/>
      <c r="M5" s="237"/>
      <c r="N5" s="237"/>
      <c r="O5" s="237"/>
      <c r="P5" s="237"/>
      <c r="Q5" s="237"/>
      <c r="R5" s="237"/>
      <c r="S5" s="160"/>
      <c r="T5" s="160"/>
      <c r="U5" s="160"/>
      <c r="V5" s="160"/>
    </row>
    <row r="6" spans="1:23" ht="15" customHeight="1" x14ac:dyDescent="0.3">
      <c r="A6" s="97"/>
      <c r="B6" s="238"/>
      <c r="C6" s="238"/>
      <c r="D6" s="238"/>
      <c r="E6" s="238"/>
      <c r="F6" s="238"/>
      <c r="G6" s="238"/>
      <c r="H6" s="238"/>
      <c r="I6" s="238"/>
      <c r="J6" s="238"/>
      <c r="K6" s="238"/>
      <c r="L6" s="238"/>
      <c r="M6" s="238"/>
      <c r="N6" s="238"/>
      <c r="O6" s="238"/>
      <c r="P6" s="238"/>
      <c r="Q6" s="238"/>
      <c r="R6" s="238"/>
      <c r="S6" s="160"/>
      <c r="T6" s="160"/>
      <c r="U6" s="160"/>
      <c r="V6" s="160"/>
    </row>
    <row r="7" spans="1:23" ht="15" customHeight="1" x14ac:dyDescent="0.3">
      <c r="A7" s="97"/>
      <c r="B7" s="238"/>
      <c r="C7" s="238"/>
      <c r="D7" s="238"/>
      <c r="E7" s="238"/>
      <c r="F7" s="238"/>
      <c r="G7" s="238"/>
      <c r="H7" s="238"/>
      <c r="I7" s="238"/>
      <c r="J7" s="238"/>
      <c r="K7" s="238"/>
      <c r="L7" s="238"/>
      <c r="M7" s="238"/>
      <c r="N7" s="238"/>
      <c r="O7" s="238"/>
      <c r="P7" s="238"/>
      <c r="Q7" s="238"/>
      <c r="R7" s="238"/>
      <c r="S7" s="160"/>
      <c r="T7" s="160"/>
      <c r="U7" s="160"/>
      <c r="V7" s="160"/>
    </row>
    <row r="8" spans="1:23" ht="15" customHeight="1" x14ac:dyDescent="0.3">
      <c r="A8" s="97"/>
      <c r="B8" s="238"/>
      <c r="C8" s="238"/>
      <c r="D8" s="238"/>
      <c r="E8" s="238"/>
      <c r="F8" s="238"/>
      <c r="G8" s="238"/>
      <c r="H8" s="238"/>
      <c r="I8" s="238"/>
      <c r="J8" s="238"/>
      <c r="K8" s="238"/>
      <c r="L8" s="238"/>
      <c r="M8" s="238"/>
      <c r="N8" s="238"/>
      <c r="O8" s="238"/>
      <c r="P8" s="238"/>
      <c r="Q8" s="238"/>
      <c r="R8" s="238"/>
      <c r="S8" s="160"/>
      <c r="T8" s="160"/>
      <c r="U8" s="160"/>
      <c r="V8" s="160"/>
    </row>
    <row r="9" spans="1:23" ht="15" customHeight="1" x14ac:dyDescent="0.3">
      <c r="A9" s="97"/>
      <c r="B9" s="238"/>
      <c r="C9" s="238"/>
      <c r="D9" s="238"/>
      <c r="E9" s="238"/>
      <c r="F9" s="238"/>
      <c r="G9" s="238"/>
      <c r="H9" s="238"/>
      <c r="I9" s="238"/>
      <c r="J9" s="238"/>
      <c r="K9" s="238"/>
      <c r="L9" s="238"/>
      <c r="M9" s="238"/>
      <c r="N9" s="238"/>
      <c r="O9" s="238"/>
      <c r="P9" s="238"/>
      <c r="Q9" s="238"/>
      <c r="R9" s="238"/>
      <c r="S9" s="160"/>
      <c r="T9" s="160"/>
      <c r="U9" s="160"/>
      <c r="V9" s="160"/>
    </row>
    <row r="10" spans="1:23" ht="15" customHeight="1" x14ac:dyDescent="0.3">
      <c r="A10" s="97"/>
      <c r="B10" s="238"/>
      <c r="C10" s="238"/>
      <c r="D10" s="238"/>
      <c r="E10" s="238"/>
      <c r="F10" s="238"/>
      <c r="G10" s="238"/>
      <c r="H10" s="238"/>
      <c r="I10" s="238"/>
      <c r="J10" s="238"/>
      <c r="K10" s="238"/>
      <c r="L10" s="238"/>
      <c r="M10" s="238"/>
      <c r="N10" s="238"/>
      <c r="O10" s="238"/>
      <c r="P10" s="238"/>
      <c r="Q10" s="238"/>
      <c r="R10" s="238"/>
      <c r="S10" s="160"/>
      <c r="T10" s="160"/>
      <c r="U10" s="160"/>
      <c r="V10" s="160"/>
    </row>
    <row r="11" spans="1:23" ht="15" customHeight="1" x14ac:dyDescent="0.3">
      <c r="A11" s="97"/>
      <c r="B11" s="238"/>
      <c r="C11" s="238"/>
      <c r="D11" s="238"/>
      <c r="E11" s="238"/>
      <c r="F11" s="238"/>
      <c r="G11" s="238"/>
      <c r="H11" s="238"/>
      <c r="I11" s="238"/>
      <c r="J11" s="238"/>
      <c r="K11" s="238"/>
      <c r="L11" s="238"/>
      <c r="M11" s="238"/>
      <c r="N11" s="238"/>
      <c r="O11" s="238"/>
      <c r="P11" s="238"/>
      <c r="Q11" s="238"/>
      <c r="R11" s="238"/>
      <c r="S11" s="160"/>
      <c r="T11" s="160"/>
      <c r="U11" s="160"/>
      <c r="V11" s="160"/>
    </row>
    <row r="12" spans="1:23" ht="15" customHeight="1" x14ac:dyDescent="0.3">
      <c r="A12" s="97"/>
      <c r="B12" s="238"/>
      <c r="C12" s="238"/>
      <c r="D12" s="238"/>
      <c r="E12" s="238"/>
      <c r="F12" s="238"/>
      <c r="G12" s="238"/>
      <c r="H12" s="238"/>
      <c r="I12" s="238"/>
      <c r="J12" s="238"/>
      <c r="K12" s="238"/>
      <c r="L12" s="238"/>
      <c r="M12" s="238"/>
      <c r="N12" s="238"/>
      <c r="O12" s="238"/>
      <c r="P12" s="238"/>
      <c r="Q12" s="238"/>
      <c r="R12" s="238"/>
      <c r="S12" s="160"/>
      <c r="T12" s="160"/>
      <c r="U12" s="160"/>
      <c r="V12" s="160"/>
    </row>
    <row r="13" spans="1:23" ht="15" customHeight="1" x14ac:dyDescent="0.3">
      <c r="A13" s="97"/>
      <c r="B13" s="238"/>
      <c r="C13" s="238"/>
      <c r="D13" s="238"/>
      <c r="E13" s="238"/>
      <c r="F13" s="238"/>
      <c r="G13" s="238"/>
      <c r="H13" s="238"/>
      <c r="I13" s="238"/>
      <c r="J13" s="238"/>
      <c r="K13" s="238"/>
      <c r="L13" s="238"/>
      <c r="M13" s="238"/>
      <c r="N13" s="238"/>
      <c r="O13" s="238"/>
      <c r="P13" s="238"/>
      <c r="Q13" s="238"/>
      <c r="R13" s="238"/>
      <c r="S13" s="160"/>
      <c r="T13" s="160"/>
      <c r="U13" s="160"/>
      <c r="V13" s="160"/>
    </row>
    <row r="14" spans="1:23" ht="15" customHeight="1" x14ac:dyDescent="0.3">
      <c r="A14" s="97"/>
      <c r="B14" s="238"/>
      <c r="C14" s="238"/>
      <c r="D14" s="238"/>
      <c r="E14" s="238"/>
      <c r="F14" s="238"/>
      <c r="G14" s="238"/>
      <c r="H14" s="238"/>
      <c r="I14" s="238"/>
      <c r="J14" s="238"/>
      <c r="K14" s="238"/>
      <c r="L14" s="238"/>
      <c r="M14" s="238"/>
      <c r="N14" s="238"/>
      <c r="O14" s="238"/>
      <c r="P14" s="238"/>
      <c r="Q14" s="238"/>
      <c r="R14" s="238"/>
      <c r="S14" s="160"/>
      <c r="T14" s="160"/>
      <c r="U14" s="160"/>
      <c r="V14" s="160"/>
    </row>
    <row r="15" spans="1:23" ht="15" customHeight="1" x14ac:dyDescent="0.3">
      <c r="A15" s="97"/>
      <c r="B15" s="238"/>
      <c r="C15" s="238"/>
      <c r="D15" s="238"/>
      <c r="E15" s="238"/>
      <c r="F15" s="238"/>
      <c r="G15" s="238"/>
      <c r="H15" s="238"/>
      <c r="I15" s="238"/>
      <c r="J15" s="238"/>
      <c r="K15" s="238"/>
      <c r="L15" s="238"/>
      <c r="M15" s="238"/>
      <c r="N15" s="238"/>
      <c r="O15" s="238"/>
      <c r="P15" s="238"/>
      <c r="Q15" s="238"/>
      <c r="R15" s="238"/>
      <c r="S15" s="160"/>
      <c r="T15" s="160"/>
      <c r="U15" s="160"/>
      <c r="V15" s="160"/>
    </row>
    <row r="16" spans="1:23" ht="15" customHeight="1" x14ac:dyDescent="0.3">
      <c r="A16" s="97"/>
      <c r="B16" s="238"/>
      <c r="C16" s="238"/>
      <c r="D16" s="238"/>
      <c r="E16" s="238"/>
      <c r="F16" s="238"/>
      <c r="G16" s="238"/>
      <c r="H16" s="238"/>
      <c r="I16" s="238"/>
      <c r="J16" s="238"/>
      <c r="K16" s="238"/>
      <c r="L16" s="238"/>
      <c r="M16" s="238"/>
      <c r="N16" s="238"/>
      <c r="O16" s="238"/>
      <c r="P16" s="238"/>
      <c r="Q16" s="238"/>
      <c r="R16" s="238"/>
      <c r="S16" s="160"/>
      <c r="T16" s="160"/>
      <c r="U16" s="160"/>
      <c r="V16" s="160"/>
    </row>
    <row r="17" spans="1:24" ht="15" customHeight="1" x14ac:dyDescent="0.3">
      <c r="A17" s="97"/>
      <c r="B17" s="238"/>
      <c r="C17" s="238"/>
      <c r="D17" s="238"/>
      <c r="E17" s="238"/>
      <c r="F17" s="238"/>
      <c r="G17" s="238"/>
      <c r="H17" s="238"/>
      <c r="I17" s="238"/>
      <c r="J17" s="238"/>
      <c r="K17" s="238"/>
      <c r="L17" s="238"/>
      <c r="M17" s="238"/>
      <c r="N17" s="238"/>
      <c r="O17" s="238"/>
      <c r="P17" s="238"/>
      <c r="Q17" s="238"/>
      <c r="R17" s="238"/>
      <c r="S17" s="160"/>
      <c r="T17" s="160"/>
      <c r="U17" s="160"/>
      <c r="V17" s="160"/>
    </row>
    <row r="18" spans="1:24" ht="15" customHeight="1" x14ac:dyDescent="0.3">
      <c r="A18" s="97"/>
      <c r="B18" s="238"/>
      <c r="C18" s="238"/>
      <c r="D18" s="238"/>
      <c r="E18" s="238"/>
      <c r="F18" s="238"/>
      <c r="G18" s="238"/>
      <c r="H18" s="238"/>
      <c r="I18" s="238"/>
      <c r="J18" s="238"/>
      <c r="K18" s="238"/>
      <c r="L18" s="238"/>
      <c r="M18" s="238"/>
      <c r="N18" s="238"/>
      <c r="O18" s="238"/>
      <c r="P18" s="238"/>
      <c r="Q18" s="238"/>
      <c r="R18" s="238"/>
      <c r="S18" s="160"/>
      <c r="T18" s="160"/>
      <c r="U18" s="160"/>
      <c r="V18" s="160"/>
    </row>
    <row r="19" spans="1:24" ht="52.5" customHeight="1" thickBot="1" x14ac:dyDescent="0.35">
      <c r="A19" s="97"/>
      <c r="B19" s="239"/>
      <c r="C19" s="239"/>
      <c r="D19" s="239"/>
      <c r="E19" s="239"/>
      <c r="F19" s="239"/>
      <c r="G19" s="239"/>
      <c r="H19" s="239"/>
      <c r="I19" s="239"/>
      <c r="J19" s="239"/>
      <c r="K19" s="239"/>
      <c r="L19" s="239"/>
      <c r="M19" s="239"/>
      <c r="N19" s="239"/>
      <c r="O19" s="239"/>
      <c r="P19" s="239"/>
      <c r="Q19" s="239"/>
      <c r="R19" s="239"/>
      <c r="S19" s="160"/>
      <c r="T19" s="160"/>
      <c r="U19" s="160"/>
      <c r="V19" s="160"/>
    </row>
    <row r="20" spans="1:24" ht="15.75" thickTop="1" x14ac:dyDescent="0.3">
      <c r="A20" s="97"/>
      <c r="B20" s="97"/>
      <c r="C20" s="97"/>
      <c r="D20" s="97"/>
      <c r="E20" s="97"/>
      <c r="F20" s="97"/>
      <c r="G20" s="97"/>
      <c r="H20" s="97"/>
      <c r="I20" s="97"/>
      <c r="J20" s="97"/>
      <c r="K20" s="97"/>
      <c r="L20" s="97"/>
      <c r="M20" s="97"/>
      <c r="N20" s="97"/>
      <c r="O20" s="97"/>
      <c r="P20" s="97"/>
      <c r="Q20" s="97"/>
      <c r="R20" s="97"/>
      <c r="S20" s="97"/>
      <c r="T20" s="97"/>
      <c r="U20" s="97"/>
      <c r="V20" s="97"/>
    </row>
    <row r="21" spans="1:24" ht="9" customHeight="1" x14ac:dyDescent="0.3">
      <c r="A21" s="1"/>
      <c r="B21" s="1"/>
      <c r="C21" s="1"/>
      <c r="D21" s="1"/>
      <c r="E21" s="1"/>
      <c r="F21" s="1"/>
      <c r="G21" s="1"/>
      <c r="H21" s="1"/>
      <c r="I21" s="1"/>
      <c r="J21" s="1"/>
      <c r="K21" s="1"/>
      <c r="L21" s="1"/>
      <c r="M21" s="1"/>
      <c r="N21" s="1"/>
      <c r="O21" s="1"/>
      <c r="P21" s="1"/>
      <c r="Q21" s="1"/>
      <c r="R21" s="1"/>
      <c r="S21" s="1"/>
      <c r="T21" s="1"/>
      <c r="U21" s="1"/>
      <c r="V21" s="1"/>
      <c r="W21" s="1"/>
      <c r="X21" s="95"/>
    </row>
    <row r="22" spans="1:24" ht="51" customHeight="1" x14ac:dyDescent="0.3">
      <c r="A22" s="10" t="s">
        <v>174</v>
      </c>
      <c r="B22" s="10"/>
      <c r="C22" s="10"/>
      <c r="D22" s="6"/>
      <c r="E22" s="66"/>
      <c r="F22" s="28"/>
      <c r="G22" s="1"/>
      <c r="H22" s="1"/>
      <c r="I22" s="1"/>
      <c r="J22" s="1"/>
      <c r="K22" s="1"/>
      <c r="L22" s="6"/>
      <c r="M22" s="235"/>
      <c r="N22" s="236"/>
      <c r="O22" s="236"/>
      <c r="P22" s="236"/>
      <c r="Q22" s="236"/>
      <c r="R22" s="236"/>
      <c r="S22" s="236"/>
      <c r="T22" s="236"/>
      <c r="U22" s="1"/>
      <c r="V22" s="1"/>
      <c r="W22" s="1"/>
      <c r="X22" s="95"/>
    </row>
    <row r="23" spans="1:24" ht="9" customHeight="1" x14ac:dyDescent="0.3">
      <c r="A23" s="1"/>
      <c r="B23" s="1"/>
      <c r="C23" s="1"/>
      <c r="D23" s="1"/>
      <c r="E23" s="1"/>
      <c r="F23" s="1"/>
      <c r="G23" s="1"/>
      <c r="H23" s="1"/>
      <c r="I23" s="1"/>
      <c r="J23" s="1"/>
      <c r="K23" s="1"/>
      <c r="L23" s="1"/>
      <c r="M23" s="1"/>
      <c r="N23" s="1"/>
      <c r="O23" s="1"/>
      <c r="P23" s="1"/>
      <c r="Q23" s="1"/>
      <c r="R23" s="1"/>
      <c r="S23" s="1"/>
      <c r="T23" s="1"/>
      <c r="U23" s="1"/>
      <c r="V23" s="1"/>
      <c r="W23" s="1"/>
      <c r="X23" s="95"/>
    </row>
    <row r="24" spans="1:24" x14ac:dyDescent="0.3">
      <c r="A24" s="97"/>
      <c r="B24" s="97"/>
      <c r="C24" s="97"/>
      <c r="D24" s="97"/>
      <c r="E24" s="97"/>
      <c r="F24" s="97"/>
      <c r="G24" s="97"/>
      <c r="H24" s="97"/>
      <c r="I24" s="97"/>
      <c r="J24" s="97"/>
      <c r="K24" s="97"/>
      <c r="L24" s="97"/>
      <c r="M24" s="97"/>
      <c r="N24" s="97"/>
      <c r="O24" s="97"/>
      <c r="P24" s="97"/>
      <c r="Q24" s="97"/>
      <c r="R24" s="97"/>
      <c r="S24" s="97"/>
      <c r="T24" s="97"/>
      <c r="U24" s="97"/>
      <c r="V24" s="97"/>
    </row>
    <row r="25" spans="1:24" x14ac:dyDescent="0.3">
      <c r="A25" s="97"/>
      <c r="B25" s="232" t="s">
        <v>2078</v>
      </c>
      <c r="C25" s="232"/>
      <c r="D25" s="232"/>
      <c r="E25" s="232"/>
      <c r="F25" s="232"/>
      <c r="G25" s="232"/>
      <c r="H25" s="232"/>
      <c r="I25" s="232"/>
      <c r="J25" s="232"/>
      <c r="K25" s="232"/>
      <c r="L25" s="97"/>
    </row>
    <row r="26" spans="1:24" x14ac:dyDescent="0.3">
      <c r="A26" s="97"/>
      <c r="B26" s="233"/>
      <c r="C26" s="233"/>
      <c r="D26" s="233"/>
      <c r="E26" s="233"/>
      <c r="F26" s="233"/>
      <c r="G26" s="233"/>
      <c r="H26" s="233"/>
      <c r="I26" s="233"/>
      <c r="J26" s="233"/>
      <c r="K26" s="233"/>
      <c r="L26" s="97"/>
    </row>
    <row r="27" spans="1:24" x14ac:dyDescent="0.3">
      <c r="A27" s="97"/>
      <c r="B27" s="233"/>
      <c r="C27" s="233"/>
      <c r="D27" s="233"/>
      <c r="E27" s="233"/>
      <c r="F27" s="233"/>
      <c r="G27" s="233"/>
      <c r="H27" s="233"/>
      <c r="I27" s="233"/>
      <c r="J27" s="233"/>
      <c r="K27" s="233"/>
      <c r="L27" s="97"/>
    </row>
    <row r="28" spans="1:24" x14ac:dyDescent="0.3">
      <c r="A28" s="97"/>
      <c r="B28" s="233"/>
      <c r="C28" s="233"/>
      <c r="D28" s="233"/>
      <c r="E28" s="233"/>
      <c r="F28" s="233"/>
      <c r="G28" s="233"/>
      <c r="H28" s="233"/>
      <c r="I28" s="233"/>
      <c r="J28" s="233"/>
      <c r="K28" s="233"/>
      <c r="L28" s="97"/>
    </row>
    <row r="29" spans="1:24" x14ac:dyDescent="0.3">
      <c r="A29" s="97"/>
      <c r="B29" s="233"/>
      <c r="C29" s="233"/>
      <c r="D29" s="233"/>
      <c r="E29" s="233"/>
      <c r="F29" s="233"/>
      <c r="G29" s="233"/>
      <c r="H29" s="233"/>
      <c r="I29" s="233"/>
      <c r="J29" s="233"/>
      <c r="K29" s="233"/>
      <c r="L29" s="97"/>
    </row>
    <row r="30" spans="1:24" x14ac:dyDescent="0.3">
      <c r="A30" s="97"/>
      <c r="B30" s="233"/>
      <c r="C30" s="233"/>
      <c r="D30" s="233"/>
      <c r="E30" s="233"/>
      <c r="F30" s="233"/>
      <c r="G30" s="233"/>
      <c r="H30" s="233"/>
      <c r="I30" s="233"/>
      <c r="J30" s="233"/>
      <c r="K30" s="233"/>
      <c r="L30" s="97"/>
    </row>
    <row r="31" spans="1:24" x14ac:dyDescent="0.3">
      <c r="A31" s="97"/>
      <c r="B31" s="233"/>
      <c r="C31" s="233"/>
      <c r="D31" s="233"/>
      <c r="E31" s="233"/>
      <c r="F31" s="233"/>
      <c r="G31" s="233"/>
      <c r="H31" s="233"/>
      <c r="I31" s="233"/>
      <c r="J31" s="233"/>
      <c r="K31" s="233"/>
      <c r="L31" s="97"/>
    </row>
    <row r="32" spans="1:24" x14ac:dyDescent="0.3">
      <c r="A32" s="97"/>
      <c r="B32" s="233"/>
      <c r="C32" s="233"/>
      <c r="D32" s="233"/>
      <c r="E32" s="233"/>
      <c r="F32" s="233"/>
      <c r="G32" s="233"/>
      <c r="H32" s="233"/>
      <c r="I32" s="233"/>
      <c r="J32" s="233"/>
      <c r="K32" s="233"/>
      <c r="L32" s="97"/>
    </row>
    <row r="33" spans="1:23" x14ac:dyDescent="0.3">
      <c r="A33" s="97"/>
      <c r="B33" s="233"/>
      <c r="C33" s="233"/>
      <c r="D33" s="233"/>
      <c r="E33" s="233"/>
      <c r="F33" s="233"/>
      <c r="G33" s="233"/>
      <c r="H33" s="233"/>
      <c r="I33" s="233"/>
      <c r="J33" s="233"/>
      <c r="K33" s="233"/>
      <c r="L33" s="97"/>
    </row>
    <row r="34" spans="1:23" x14ac:dyDescent="0.3">
      <c r="A34" s="97"/>
      <c r="B34" s="233"/>
      <c r="C34" s="233"/>
      <c r="D34" s="233"/>
      <c r="E34" s="233"/>
      <c r="F34" s="233"/>
      <c r="G34" s="233"/>
      <c r="H34" s="233"/>
      <c r="I34" s="233"/>
      <c r="J34" s="233"/>
      <c r="K34" s="233"/>
      <c r="L34" s="97"/>
    </row>
    <row r="35" spans="1:23" x14ac:dyDescent="0.3">
      <c r="A35" s="97"/>
      <c r="B35" s="233"/>
      <c r="C35" s="233"/>
      <c r="D35" s="233"/>
      <c r="E35" s="233"/>
      <c r="F35" s="233"/>
      <c r="G35" s="233"/>
      <c r="H35" s="233"/>
      <c r="I35" s="233"/>
      <c r="J35" s="233"/>
      <c r="K35" s="233"/>
      <c r="L35" s="97"/>
    </row>
    <row r="36" spans="1:23" x14ac:dyDescent="0.3">
      <c r="A36" s="97"/>
      <c r="B36" s="233"/>
      <c r="C36" s="233"/>
      <c r="D36" s="233"/>
      <c r="E36" s="233"/>
      <c r="F36" s="233"/>
      <c r="G36" s="233"/>
      <c r="H36" s="233"/>
      <c r="I36" s="233"/>
      <c r="J36" s="233"/>
      <c r="K36" s="233"/>
      <c r="L36" s="97"/>
    </row>
    <row r="37" spans="1:23" x14ac:dyDescent="0.3">
      <c r="A37" s="97"/>
      <c r="B37" s="233"/>
      <c r="C37" s="233"/>
      <c r="D37" s="233"/>
      <c r="E37" s="233"/>
      <c r="F37" s="233"/>
      <c r="G37" s="233"/>
      <c r="H37" s="233"/>
      <c r="I37" s="233"/>
      <c r="J37" s="233"/>
      <c r="K37" s="233"/>
      <c r="L37" s="97"/>
    </row>
    <row r="38" spans="1:23" x14ac:dyDescent="0.3">
      <c r="A38" s="97"/>
      <c r="B38" s="233"/>
      <c r="C38" s="233"/>
      <c r="D38" s="233"/>
      <c r="E38" s="233"/>
      <c r="F38" s="233"/>
      <c r="G38" s="233"/>
      <c r="H38" s="233"/>
      <c r="I38" s="233"/>
      <c r="J38" s="233"/>
      <c r="K38" s="233"/>
      <c r="L38" s="97"/>
    </row>
    <row r="39" spans="1:23" ht="15.75" thickBot="1" x14ac:dyDescent="0.35">
      <c r="A39" s="97"/>
      <c r="B39" s="234"/>
      <c r="C39" s="234"/>
      <c r="D39" s="234"/>
      <c r="E39" s="234"/>
      <c r="F39" s="234"/>
      <c r="G39" s="234"/>
      <c r="H39" s="234"/>
      <c r="I39" s="234"/>
      <c r="J39" s="234"/>
      <c r="K39" s="234"/>
      <c r="L39" s="97"/>
    </row>
    <row r="40" spans="1:23" ht="15.75" thickTop="1" x14ac:dyDescent="0.3">
      <c r="A40" s="97"/>
      <c r="B40" s="97"/>
      <c r="C40" s="97"/>
      <c r="D40" s="97"/>
      <c r="E40" s="97"/>
      <c r="F40" s="97"/>
      <c r="G40" s="97"/>
      <c r="H40" s="97"/>
      <c r="I40" s="97"/>
      <c r="J40" s="97"/>
      <c r="K40" s="97"/>
      <c r="L40" s="97"/>
      <c r="M40" s="97"/>
      <c r="N40" s="97"/>
      <c r="O40" s="97"/>
      <c r="P40" s="97"/>
      <c r="Q40" s="97"/>
      <c r="R40" s="97"/>
      <c r="S40" s="97"/>
      <c r="T40" s="97"/>
      <c r="U40" s="97"/>
      <c r="V40" s="97"/>
    </row>
    <row r="41" spans="1:23" ht="9" customHeight="1" x14ac:dyDescent="0.3">
      <c r="A41" s="1"/>
      <c r="B41" s="1"/>
      <c r="C41" s="1"/>
      <c r="D41" s="1"/>
      <c r="E41" s="1"/>
      <c r="F41" s="1"/>
      <c r="G41" s="1"/>
      <c r="H41" s="1"/>
      <c r="I41" s="1"/>
      <c r="J41" s="1"/>
      <c r="K41" s="1"/>
      <c r="L41" s="1"/>
      <c r="M41" s="1"/>
      <c r="N41" s="1"/>
      <c r="O41" s="1"/>
      <c r="P41" s="1"/>
      <c r="Q41" s="1"/>
      <c r="R41" s="1"/>
      <c r="S41" s="1"/>
      <c r="T41" s="1"/>
      <c r="U41" s="1"/>
      <c r="V41" s="1"/>
      <c r="W41" s="1"/>
    </row>
    <row r="42" spans="1:23" ht="51" customHeight="1" x14ac:dyDescent="0.3">
      <c r="A42" s="10" t="s">
        <v>2023</v>
      </c>
      <c r="B42" s="10"/>
      <c r="C42" s="10"/>
      <c r="D42" s="28"/>
      <c r="E42" s="66"/>
      <c r="F42" s="28"/>
      <c r="G42" s="1"/>
      <c r="H42" s="1"/>
      <c r="I42" s="1"/>
      <c r="J42" s="1"/>
      <c r="K42" s="1"/>
      <c r="L42" s="1"/>
      <c r="M42" s="1"/>
      <c r="N42" s="1"/>
      <c r="O42" s="1"/>
      <c r="P42" s="1"/>
      <c r="Q42" s="1"/>
      <c r="R42" s="1"/>
      <c r="S42" s="1"/>
      <c r="T42" s="1"/>
      <c r="U42" s="1"/>
      <c r="V42" s="1"/>
      <c r="W42" s="1"/>
    </row>
    <row r="43" spans="1:23" ht="8.25" customHeight="1" x14ac:dyDescent="0.3">
      <c r="A43" s="1"/>
      <c r="B43" s="1"/>
      <c r="C43" s="1"/>
      <c r="D43" s="1"/>
      <c r="E43" s="1"/>
      <c r="F43" s="1"/>
      <c r="G43" s="1"/>
      <c r="H43" s="1"/>
      <c r="I43" s="1"/>
      <c r="J43" s="1"/>
      <c r="K43" s="1"/>
      <c r="L43" s="1"/>
      <c r="M43" s="1"/>
      <c r="N43" s="1"/>
      <c r="O43" s="1"/>
      <c r="P43" s="1"/>
      <c r="Q43" s="1"/>
      <c r="R43" s="1"/>
      <c r="S43" s="1"/>
      <c r="T43" s="1"/>
      <c r="U43" s="1"/>
      <c r="V43" s="1"/>
      <c r="W43" s="1"/>
    </row>
    <row r="45" spans="1:23" ht="21" customHeight="1" x14ac:dyDescent="0.3">
      <c r="A45" s="99"/>
      <c r="B45" s="241" t="s">
        <v>2080</v>
      </c>
      <c r="C45" s="241"/>
      <c r="D45" s="241"/>
      <c r="E45" s="241"/>
      <c r="F45" s="241"/>
      <c r="G45" s="241"/>
      <c r="H45" s="241"/>
      <c r="I45" s="241"/>
      <c r="J45" s="241"/>
      <c r="K45" s="241"/>
      <c r="L45" s="230" t="s">
        <v>2081</v>
      </c>
      <c r="M45" s="230"/>
      <c r="N45" s="226"/>
      <c r="O45" s="226"/>
      <c r="P45" s="226"/>
      <c r="Q45" s="226"/>
      <c r="R45" s="226"/>
      <c r="S45" s="226"/>
    </row>
    <row r="46" spans="1:23" ht="31.5" customHeight="1" x14ac:dyDescent="0.3">
      <c r="A46" s="226"/>
      <c r="B46" s="226">
        <v>1</v>
      </c>
      <c r="C46" s="231" t="s">
        <v>2083</v>
      </c>
      <c r="D46" s="231"/>
      <c r="E46" s="231"/>
      <c r="F46" s="231"/>
      <c r="G46" s="231"/>
      <c r="H46" s="231"/>
      <c r="I46" s="231"/>
      <c r="J46" s="231"/>
      <c r="K46" s="231"/>
      <c r="L46" s="230"/>
      <c r="M46" s="230"/>
      <c r="N46" s="226"/>
      <c r="O46" s="226"/>
      <c r="P46" s="226"/>
      <c r="Q46" s="226"/>
      <c r="R46" s="226"/>
      <c r="S46" s="226"/>
    </row>
    <row r="47" spans="1:23" ht="31.5" customHeight="1" x14ac:dyDescent="0.3">
      <c r="A47" s="98"/>
      <c r="B47" s="226">
        <v>2</v>
      </c>
      <c r="C47" s="231" t="s">
        <v>2084</v>
      </c>
      <c r="D47" s="231"/>
      <c r="E47" s="231"/>
      <c r="F47" s="231"/>
      <c r="G47" s="231"/>
      <c r="H47" s="231"/>
      <c r="I47" s="231"/>
      <c r="J47" s="231"/>
      <c r="K47" s="231"/>
      <c r="L47" s="230"/>
      <c r="M47" s="230"/>
      <c r="N47" s="226"/>
      <c r="O47" s="226"/>
      <c r="P47" s="226"/>
      <c r="Q47" s="226"/>
      <c r="R47" s="226"/>
      <c r="S47" s="226"/>
    </row>
    <row r="48" spans="1:23" ht="31.5" customHeight="1" x14ac:dyDescent="0.3">
      <c r="A48" s="98"/>
      <c r="B48" s="226">
        <v>3</v>
      </c>
      <c r="C48" s="231" t="s">
        <v>2082</v>
      </c>
      <c r="D48" s="231"/>
      <c r="E48" s="231"/>
      <c r="F48" s="231"/>
      <c r="G48" s="231"/>
      <c r="H48" s="231"/>
      <c r="I48" s="231"/>
      <c r="J48" s="231"/>
      <c r="K48" s="231"/>
      <c r="L48" s="230"/>
      <c r="M48" s="230"/>
      <c r="N48" s="226"/>
      <c r="O48" s="226"/>
      <c r="P48" s="226"/>
      <c r="Q48" s="226"/>
      <c r="R48" s="226"/>
      <c r="S48" s="226"/>
    </row>
    <row r="49" spans="1:19" ht="17.25" customHeight="1" x14ac:dyDescent="0.3">
      <c r="A49" s="98"/>
      <c r="B49" s="226"/>
      <c r="C49" s="231"/>
      <c r="D49" s="231"/>
      <c r="E49" s="231"/>
      <c r="F49" s="231"/>
      <c r="G49" s="231"/>
      <c r="H49" s="231"/>
      <c r="I49" s="231"/>
      <c r="J49" s="231"/>
      <c r="K49" s="231"/>
      <c r="L49" s="230"/>
      <c r="M49" s="230"/>
      <c r="N49" s="226"/>
      <c r="O49" s="226"/>
      <c r="P49" s="226"/>
      <c r="Q49" s="226"/>
      <c r="R49" s="226"/>
      <c r="S49" s="226"/>
    </row>
    <row r="50" spans="1:19" ht="17.25" customHeight="1" x14ac:dyDescent="0.3">
      <c r="A50" s="98"/>
      <c r="B50" s="226"/>
      <c r="C50" s="231"/>
      <c r="D50" s="231"/>
      <c r="E50" s="231"/>
      <c r="F50" s="231"/>
      <c r="G50" s="231"/>
      <c r="H50" s="231"/>
      <c r="I50" s="231"/>
      <c r="J50" s="231"/>
      <c r="K50" s="231"/>
      <c r="L50" s="230"/>
      <c r="M50" s="230"/>
      <c r="N50" s="226"/>
      <c r="O50" s="226"/>
      <c r="P50" s="226"/>
      <c r="Q50" s="226"/>
      <c r="R50" s="226"/>
      <c r="S50" s="226"/>
    </row>
    <row r="51" spans="1:19" ht="17.25" customHeight="1" x14ac:dyDescent="0.3">
      <c r="A51" s="98"/>
      <c r="B51" s="226"/>
      <c r="C51" s="231"/>
      <c r="D51" s="231"/>
      <c r="E51" s="231"/>
      <c r="F51" s="231"/>
      <c r="G51" s="231"/>
      <c r="H51" s="231"/>
      <c r="I51" s="231"/>
      <c r="J51" s="231"/>
      <c r="K51" s="231"/>
      <c r="L51" s="230"/>
      <c r="M51" s="230"/>
      <c r="N51" s="226"/>
      <c r="O51" s="226"/>
      <c r="P51" s="226"/>
      <c r="Q51" s="226"/>
      <c r="R51" s="226"/>
      <c r="S51" s="226"/>
    </row>
    <row r="52" spans="1:19" ht="17.25" customHeight="1" x14ac:dyDescent="0.3">
      <c r="A52" s="98"/>
      <c r="B52" s="226"/>
      <c r="C52" s="231"/>
      <c r="D52" s="231"/>
      <c r="E52" s="231"/>
      <c r="F52" s="231"/>
      <c r="G52" s="231"/>
      <c r="H52" s="231"/>
      <c r="I52" s="231"/>
      <c r="J52" s="231"/>
      <c r="K52" s="231"/>
      <c r="L52" s="230"/>
      <c r="M52" s="230"/>
      <c r="N52" s="226"/>
      <c r="O52" s="226"/>
      <c r="P52" s="226"/>
      <c r="Q52" s="226"/>
      <c r="R52" s="226"/>
      <c r="S52" s="226"/>
    </row>
    <row r="53" spans="1:19" ht="17.25" customHeight="1" x14ac:dyDescent="0.3">
      <c r="A53" s="99"/>
      <c r="B53" s="226"/>
      <c r="C53" s="231"/>
      <c r="D53" s="231"/>
      <c r="E53" s="231"/>
      <c r="F53" s="231"/>
      <c r="G53" s="231"/>
      <c r="H53" s="231"/>
      <c r="I53" s="231"/>
      <c r="J53" s="231"/>
      <c r="K53" s="231"/>
      <c r="L53" s="230"/>
      <c r="M53" s="230"/>
      <c r="N53" s="226"/>
      <c r="O53" s="226"/>
      <c r="P53" s="226"/>
      <c r="Q53" s="226"/>
      <c r="R53" s="226"/>
      <c r="S53" s="226"/>
    </row>
    <row r="54" spans="1:19" ht="17.25" customHeight="1" x14ac:dyDescent="0.3">
      <c r="B54" s="226"/>
      <c r="C54" s="231"/>
      <c r="D54" s="231"/>
      <c r="E54" s="231"/>
      <c r="F54" s="231"/>
      <c r="G54" s="231"/>
      <c r="H54" s="231"/>
      <c r="I54" s="231"/>
      <c r="J54" s="231"/>
      <c r="K54" s="231"/>
      <c r="L54" s="230"/>
      <c r="M54" s="230"/>
      <c r="N54" s="226"/>
      <c r="O54" s="226"/>
      <c r="P54" s="226"/>
      <c r="Q54" s="226"/>
      <c r="R54" s="226"/>
      <c r="S54" s="226"/>
    </row>
    <row r="55" spans="1:19" ht="17.25" customHeight="1" x14ac:dyDescent="0.3">
      <c r="B55" s="226"/>
      <c r="C55" s="231"/>
      <c r="D55" s="231"/>
      <c r="E55" s="231"/>
      <c r="F55" s="231"/>
      <c r="G55" s="231"/>
      <c r="H55" s="231"/>
      <c r="I55" s="231"/>
      <c r="J55" s="231"/>
      <c r="K55" s="231"/>
      <c r="L55" s="230"/>
      <c r="M55" s="230"/>
      <c r="N55" s="226"/>
      <c r="O55" s="226"/>
      <c r="P55" s="226"/>
      <c r="Q55" s="226"/>
      <c r="R55" s="226"/>
      <c r="S55" s="226"/>
    </row>
    <row r="56" spans="1:19" ht="17.25" customHeight="1" x14ac:dyDescent="0.3">
      <c r="B56" s="226"/>
      <c r="C56" s="231"/>
      <c r="D56" s="231"/>
      <c r="E56" s="231"/>
      <c r="F56" s="231"/>
      <c r="G56" s="231"/>
      <c r="H56" s="231"/>
      <c r="I56" s="231"/>
      <c r="J56" s="231"/>
      <c r="K56" s="231"/>
      <c r="L56" s="230"/>
      <c r="M56" s="230"/>
      <c r="N56" s="226"/>
      <c r="O56" s="226"/>
      <c r="P56" s="226"/>
      <c r="Q56" s="226"/>
      <c r="R56" s="226"/>
      <c r="S56" s="226"/>
    </row>
    <row r="57" spans="1:19" ht="15" customHeight="1" x14ac:dyDescent="0.3">
      <c r="B57" s="226"/>
      <c r="C57" s="229"/>
      <c r="D57" s="229"/>
      <c r="E57" s="229"/>
      <c r="F57" s="229"/>
      <c r="G57" s="229"/>
      <c r="H57" s="229"/>
      <c r="I57" s="229"/>
      <c r="J57" s="229"/>
      <c r="K57" s="229"/>
      <c r="L57" s="226"/>
      <c r="M57" s="226"/>
      <c r="N57" s="226"/>
      <c r="O57" s="226"/>
      <c r="P57" s="226"/>
      <c r="Q57" s="226"/>
      <c r="R57" s="226"/>
      <c r="S57" s="226"/>
    </row>
    <row r="58" spans="1:19" ht="15" customHeight="1" x14ac:dyDescent="0.3">
      <c r="B58" s="226"/>
      <c r="C58" s="229"/>
      <c r="D58" s="229"/>
      <c r="E58" s="229"/>
      <c r="F58" s="229"/>
      <c r="G58" s="229"/>
      <c r="H58" s="229"/>
      <c r="I58" s="229"/>
      <c r="J58" s="229"/>
      <c r="K58" s="229"/>
      <c r="L58" s="226"/>
      <c r="M58" s="226"/>
      <c r="N58" s="226"/>
      <c r="O58" s="226"/>
      <c r="P58" s="226"/>
      <c r="Q58" s="226"/>
      <c r="R58" s="226"/>
      <c r="S58" s="226"/>
    </row>
    <row r="59" spans="1:19" ht="15.75" customHeight="1" x14ac:dyDescent="0.3">
      <c r="B59" s="226"/>
      <c r="C59" s="229"/>
      <c r="D59" s="229"/>
      <c r="E59" s="229"/>
      <c r="F59" s="229"/>
      <c r="G59" s="229"/>
      <c r="H59" s="229"/>
      <c r="I59" s="229"/>
      <c r="J59" s="229"/>
      <c r="K59" s="229"/>
      <c r="L59" s="226"/>
      <c r="M59" s="226"/>
      <c r="N59" s="226"/>
      <c r="O59" s="226"/>
      <c r="P59" s="226"/>
      <c r="Q59" s="226"/>
      <c r="R59" s="226"/>
      <c r="S59" s="226"/>
    </row>
    <row r="60" spans="1:19" ht="15" customHeight="1" x14ac:dyDescent="0.3">
      <c r="B60" s="226"/>
      <c r="C60" s="229"/>
      <c r="D60" s="229"/>
      <c r="E60" s="229"/>
      <c r="F60" s="229"/>
      <c r="G60" s="229"/>
      <c r="H60" s="229"/>
      <c r="I60" s="229"/>
      <c r="J60" s="229"/>
      <c r="K60" s="229"/>
      <c r="L60" s="226"/>
    </row>
    <row r="61" spans="1:19" ht="15.75" customHeight="1" x14ac:dyDescent="0.3">
      <c r="B61" s="226"/>
      <c r="C61" s="229"/>
      <c r="D61" s="229"/>
      <c r="E61" s="229"/>
      <c r="F61" s="229"/>
      <c r="G61" s="229"/>
      <c r="H61" s="229"/>
      <c r="I61" s="229"/>
      <c r="J61" s="229"/>
      <c r="K61" s="229"/>
      <c r="L61" s="226"/>
    </row>
    <row r="62" spans="1:19" ht="15.75" x14ac:dyDescent="0.3">
      <c r="B62" s="226"/>
      <c r="C62" s="226"/>
      <c r="D62" s="226"/>
      <c r="E62" s="226"/>
      <c r="F62" s="226"/>
      <c r="G62" s="226"/>
      <c r="H62" s="226"/>
      <c r="I62" s="226"/>
      <c r="J62" s="226"/>
      <c r="K62" s="226"/>
      <c r="L62" s="226"/>
    </row>
  </sheetData>
  <mergeCells count="33">
    <mergeCell ref="B5:R19"/>
    <mergeCell ref="K2:U2"/>
    <mergeCell ref="B45:K45"/>
    <mergeCell ref="C46:K46"/>
    <mergeCell ref="C47:K47"/>
    <mergeCell ref="C57:K57"/>
    <mergeCell ref="C58:K58"/>
    <mergeCell ref="C59:K59"/>
    <mergeCell ref="B25:K39"/>
    <mergeCell ref="M22:T22"/>
    <mergeCell ref="C48:K48"/>
    <mergeCell ref="C49:K49"/>
    <mergeCell ref="C50:K50"/>
    <mergeCell ref="C51:K51"/>
    <mergeCell ref="C52:K52"/>
    <mergeCell ref="C53:K53"/>
    <mergeCell ref="C54:K54"/>
    <mergeCell ref="C60:K60"/>
    <mergeCell ref="C61:K61"/>
    <mergeCell ref="L45:M45"/>
    <mergeCell ref="L46:M46"/>
    <mergeCell ref="L47:M47"/>
    <mergeCell ref="L48:M48"/>
    <mergeCell ref="L49:M49"/>
    <mergeCell ref="L50:M50"/>
    <mergeCell ref="L51:M51"/>
    <mergeCell ref="L52:M52"/>
    <mergeCell ref="L53:M53"/>
    <mergeCell ref="L54:M54"/>
    <mergeCell ref="L55:M55"/>
    <mergeCell ref="L56:M56"/>
    <mergeCell ref="C55:K55"/>
    <mergeCell ref="C56:K56"/>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2">
    <tabColor rgb="FF00B0F0"/>
    <pageSetUpPr autoPageBreaks="0" fitToPage="1"/>
  </sheetPr>
  <dimension ref="A1:Z89"/>
  <sheetViews>
    <sheetView showGridLines="0" tabSelected="1" topLeftCell="A55" zoomScaleNormal="100" workbookViewId="0">
      <selection activeCell="E42" sqref="E42:E44"/>
    </sheetView>
  </sheetViews>
  <sheetFormatPr defaultRowHeight="18" customHeight="1" x14ac:dyDescent="0.3"/>
  <cols>
    <col min="2" max="2" width="14.625" customWidth="1"/>
    <col min="3" max="3" width="16.5" customWidth="1"/>
    <col min="4" max="4" width="1.875" customWidth="1"/>
    <col min="5" max="8" width="8.375" customWidth="1"/>
    <col min="9" max="9" width="5.25" bestFit="1" customWidth="1"/>
    <col min="10" max="10" width="11.25" customWidth="1"/>
    <col min="11" max="11" width="29.25" customWidth="1"/>
    <col min="12" max="13" width="14.875" customWidth="1"/>
    <col min="14" max="14" width="17.5" bestFit="1" customWidth="1"/>
    <col min="15" max="15" width="13.5" bestFit="1" customWidth="1"/>
    <col min="16" max="16" width="25.625" customWidth="1"/>
    <col min="17" max="17" width="16.25" customWidth="1"/>
    <col min="18" max="18" width="29.875" customWidth="1"/>
    <col min="19" max="19" width="26.5" customWidth="1"/>
    <col min="20" max="20" width="14.25" customWidth="1"/>
    <col min="21" max="21" width="12" customWidth="1"/>
    <col min="22" max="22" width="17.125" customWidth="1"/>
    <col min="23" max="23" width="43.75" customWidth="1"/>
    <col min="24" max="24" width="31.25" customWidth="1"/>
    <col min="25" max="26" width="16.625" customWidth="1"/>
    <col min="27" max="27" width="16.25" customWidth="1"/>
    <col min="28" max="28" width="5.375" customWidth="1"/>
    <col min="29" max="29" width="27.375" customWidth="1"/>
    <col min="30" max="30" width="17.5" customWidth="1"/>
    <col min="31" max="31" width="30.625" customWidth="1"/>
    <col min="32" max="32" width="24.75" customWidth="1"/>
    <col min="33" max="33" width="23.5" customWidth="1"/>
    <col min="34" max="34" width="23.875" customWidth="1"/>
    <col min="35" max="35" width="12.375" customWidth="1"/>
    <col min="36" max="36" width="13.375" customWidth="1"/>
    <col min="37" max="37" width="15.75" customWidth="1"/>
    <col min="38" max="38" width="20.25" customWidth="1"/>
    <col min="39" max="39" width="35.625" customWidth="1"/>
    <col min="40" max="40" width="28.5" customWidth="1"/>
    <col min="41" max="41" width="9.5" customWidth="1"/>
    <col min="42" max="42" width="30.375" customWidth="1"/>
    <col min="43" max="43" width="24.375" customWidth="1"/>
    <col min="44" max="44" width="18.25" customWidth="1"/>
    <col min="45" max="45" width="19.125" customWidth="1"/>
    <col min="46" max="46" width="46.125" customWidth="1"/>
    <col min="47" max="47" width="23.75" customWidth="1"/>
    <col min="48" max="49" width="13" customWidth="1"/>
    <col min="50" max="50" width="58.75" customWidth="1"/>
    <col min="51" max="51" width="11.25" customWidth="1"/>
    <col min="52" max="52" width="25.625" bestFit="1" customWidth="1"/>
    <col min="53" max="53" width="31.125" bestFit="1" customWidth="1"/>
    <col min="54" max="54" width="14.125" bestFit="1" customWidth="1"/>
    <col min="55" max="55" width="19.625" bestFit="1" customWidth="1"/>
    <col min="56" max="56" width="15.125" bestFit="1" customWidth="1"/>
    <col min="57" max="57" width="20.5" bestFit="1" customWidth="1"/>
    <col min="58" max="58" width="17.5" bestFit="1" customWidth="1"/>
    <col min="59" max="59" width="23" bestFit="1" customWidth="1"/>
    <col min="60" max="60" width="22" bestFit="1" customWidth="1"/>
    <col min="61" max="61" width="27.5" bestFit="1" customWidth="1"/>
    <col min="62" max="62" width="37.375" bestFit="1" customWidth="1"/>
    <col min="63" max="63" width="42.875" bestFit="1" customWidth="1"/>
    <col min="64" max="64" width="30.25" bestFit="1" customWidth="1"/>
    <col min="65" max="65" width="35.75" bestFit="1" customWidth="1"/>
    <col min="66" max="66" width="11.25" bestFit="1" customWidth="1"/>
    <col min="67" max="67" width="16.625" bestFit="1" customWidth="1"/>
    <col min="68" max="68" width="32.125" bestFit="1" customWidth="1"/>
    <col min="69" max="69" width="37.5" bestFit="1" customWidth="1"/>
    <col min="70" max="70" width="26.125" bestFit="1" customWidth="1"/>
    <col min="71" max="71" width="31.625" bestFit="1" customWidth="1"/>
    <col min="72" max="72" width="20" bestFit="1" customWidth="1"/>
    <col min="73" max="73" width="25.5" bestFit="1" customWidth="1"/>
    <col min="74" max="74" width="20.875" bestFit="1" customWidth="1"/>
    <col min="75" max="75" width="26.375" bestFit="1" customWidth="1"/>
    <col min="76" max="76" width="47.875" bestFit="1" customWidth="1"/>
    <col min="77" max="77" width="53.25" bestFit="1" customWidth="1"/>
    <col min="78" max="78" width="25.5" bestFit="1" customWidth="1"/>
    <col min="79" max="79" width="31" bestFit="1" customWidth="1"/>
    <col min="80" max="80" width="14.75" bestFit="1" customWidth="1"/>
    <col min="81" max="81" width="20.125" bestFit="1" customWidth="1"/>
    <col min="82" max="82" width="14.75" bestFit="1" customWidth="1"/>
    <col min="83" max="83" width="20.125" bestFit="1" customWidth="1"/>
    <col min="84" max="84" width="60.5" bestFit="1" customWidth="1"/>
    <col min="85" max="85" width="65.875" bestFit="1" customWidth="1"/>
    <col min="86" max="86" width="11.25" bestFit="1" customWidth="1"/>
  </cols>
  <sheetData>
    <row r="1" spans="1:22" ht="6.75" customHeight="1" x14ac:dyDescent="0.3">
      <c r="A1" s="1"/>
      <c r="B1" s="1"/>
      <c r="C1" s="1"/>
      <c r="D1" s="1"/>
      <c r="E1" s="1"/>
      <c r="F1" s="1"/>
      <c r="G1" s="1"/>
      <c r="H1" s="1"/>
      <c r="I1" s="1"/>
      <c r="J1" s="1"/>
      <c r="K1" s="1"/>
      <c r="L1" s="1"/>
      <c r="M1" s="1"/>
      <c r="N1" s="1"/>
      <c r="O1" s="1"/>
      <c r="P1" s="8"/>
      <c r="Q1" s="8"/>
      <c r="R1" s="8"/>
      <c r="S1" s="8"/>
      <c r="T1" s="8"/>
      <c r="U1" s="8"/>
      <c r="V1" s="8"/>
    </row>
    <row r="2" spans="1:22" ht="51" customHeight="1" x14ac:dyDescent="0.3">
      <c r="A2" s="91" t="s">
        <v>937</v>
      </c>
      <c r="B2" s="91"/>
      <c r="C2" s="91"/>
      <c r="D2" s="91"/>
      <c r="E2" s="91"/>
      <c r="F2" s="91"/>
      <c r="G2" s="91"/>
      <c r="H2" s="91"/>
      <c r="I2" s="91"/>
      <c r="J2" s="6"/>
      <c r="K2" s="260" t="str">
        <f>'Ditt informationsblad'!$E$2</f>
        <v>Civilingenjör i Industriell Ekonomi</v>
      </c>
      <c r="L2" s="260"/>
      <c r="M2" s="260"/>
      <c r="N2" s="260"/>
      <c r="O2" s="260"/>
      <c r="P2" s="8"/>
      <c r="Q2" s="8"/>
      <c r="R2" s="8"/>
      <c r="S2" s="8"/>
      <c r="T2" s="8"/>
      <c r="U2" s="8"/>
      <c r="V2" s="8"/>
    </row>
    <row r="3" spans="1:22" ht="6.75" customHeight="1" x14ac:dyDescent="0.3">
      <c r="A3" s="1"/>
      <c r="B3" s="1"/>
      <c r="C3" s="1"/>
      <c r="D3" s="1"/>
      <c r="E3" s="1"/>
      <c r="F3" s="1"/>
      <c r="G3" s="1"/>
      <c r="H3" s="1"/>
      <c r="I3" s="1"/>
      <c r="J3" s="1"/>
      <c r="K3" s="1"/>
      <c r="L3" s="5"/>
      <c r="M3" s="5"/>
      <c r="N3" s="1"/>
      <c r="O3" s="1"/>
      <c r="P3" s="8"/>
      <c r="Q3" s="8"/>
      <c r="R3" s="8"/>
      <c r="S3" s="8"/>
      <c r="T3" s="8"/>
      <c r="U3" s="8"/>
      <c r="V3" s="8"/>
    </row>
    <row r="4" spans="1:22" ht="9" customHeight="1" x14ac:dyDescent="0.3">
      <c r="G4" s="92"/>
      <c r="H4" s="92"/>
      <c r="I4" s="92"/>
      <c r="J4" s="64"/>
    </row>
    <row r="5" spans="1:22" ht="22.5" customHeight="1" x14ac:dyDescent="0.3">
      <c r="G5" s="92"/>
      <c r="H5" s="92"/>
      <c r="I5" s="92"/>
      <c r="J5" s="64"/>
      <c r="L5" s="273" t="s">
        <v>2022</v>
      </c>
      <c r="M5" s="273"/>
      <c r="N5" s="273" t="s">
        <v>2</v>
      </c>
      <c r="O5" s="273"/>
    </row>
    <row r="6" spans="1:22" ht="33" customHeight="1" x14ac:dyDescent="0.3">
      <c r="B6" s="274" t="s">
        <v>58</v>
      </c>
      <c r="C6" s="274"/>
      <c r="D6" s="274"/>
      <c r="E6" s="213"/>
      <c r="F6" s="275" t="s">
        <v>55</v>
      </c>
      <c r="G6" s="275"/>
      <c r="H6" s="275"/>
      <c r="I6" s="275"/>
      <c r="J6" s="164"/>
      <c r="K6" s="216" t="s">
        <v>1</v>
      </c>
      <c r="L6" s="214" t="s">
        <v>2034</v>
      </c>
      <c r="M6" s="214" t="s">
        <v>2033</v>
      </c>
      <c r="N6" s="214" t="s">
        <v>2036</v>
      </c>
      <c r="O6" s="215" t="s">
        <v>2037</v>
      </c>
      <c r="P6" s="12"/>
    </row>
    <row r="7" spans="1:22" ht="21" customHeight="1" x14ac:dyDescent="0.3">
      <c r="B7" s="276" t="s">
        <v>52</v>
      </c>
      <c r="C7" s="276"/>
      <c r="D7" s="167"/>
      <c r="E7" s="208">
        <f xml:space="preserve"> SUMIF(Programplan[NIVÅ],"G*",Programplan[POÄNG]) + SUMIF(Utlandsstudier[NIVÅ],"G*",Utlandsstudier[HÖGSKOLEPOÄNG])</f>
        <v>74</v>
      </c>
      <c r="F7" s="268" t="s">
        <v>59</v>
      </c>
      <c r="G7" s="268"/>
      <c r="H7" s="268"/>
      <c r="I7" s="209">
        <f>E7-SUMIFS(Programplan[POÄNG],Programplan[NIVÅ],"G*",Programplan[BETYG],"")-SUMIFS(Utlandsstudier[HÖGSKOLEPOÄNG],Utlandsstudier[NIVÅ],"G*",Utlandsstudier[BETYG],"")</f>
        <v>22</v>
      </c>
      <c r="J7" s="164"/>
      <c r="K7" s="13" t="s">
        <v>0</v>
      </c>
      <c r="L7" s="14">
        <f>VLOOKUP(Program,AvailablePrograms[],2,FALSE)</f>
        <v>300</v>
      </c>
      <c r="M7" s="14">
        <f>VLOOKUP(Program,PoängTabell[],4,FALSE)</f>
        <v>90</v>
      </c>
      <c r="N7" s="14">
        <f>MAX(0,IFERROR(Examenskrav[[#This Row],[GODTYCKLIGA]]-SUMIFS(Programplan[POÄNG],Programplan[NIVÅ],"G?",Programplan[GRADES],"1"),""))</f>
        <v>278</v>
      </c>
      <c r="O7" s="15">
        <f>IFERROR(MAX(0,Examenskrav[[#This Row],[AVANCERADE]]-I8),"")</f>
        <v>78</v>
      </c>
      <c r="P7" s="242" t="str">
        <f>IF(IFERROR(Examenskrav[[#This Row],[AVANCERADE]]," ")=" ","Uppdatera 'Examenskrav' med poängkrav för profilen","")</f>
        <v/>
      </c>
      <c r="Q7" s="242"/>
      <c r="R7" s="242"/>
    </row>
    <row r="8" spans="1:22" ht="21" customHeight="1" x14ac:dyDescent="0.3">
      <c r="B8" s="276" t="s">
        <v>56</v>
      </c>
      <c r="C8" s="276"/>
      <c r="D8" s="167"/>
      <c r="E8" s="206">
        <f xml:space="preserve"> SUMIF(Programplan[NIVÅ],"A",Programplan[POÄNG]) + SUMIF(Utlandsstudier[NIVÅ],"A",Utlandsstudier[HÖGSKOLEPOÄNG])</f>
        <v>30</v>
      </c>
      <c r="F8" s="268" t="s">
        <v>59</v>
      </c>
      <c r="G8" s="268"/>
      <c r="H8" s="268"/>
      <c r="I8" s="207">
        <f>E8-SUMIFS(Programplan[POÄNG],Programplan[NIVÅ],"A",Programplan[BETYG],"")-SUMIFS(Utlandsstudier[HÖGSKOLEPOÄNG],Utlandsstudier[NIVÅ],"A",Utlandsstudier[BETYG],"")</f>
        <v>12</v>
      </c>
      <c r="J8" s="164"/>
      <c r="K8" s="61" t="str">
        <f>IF(OR(TechSpec="",TechSpec=" Ingen"),"",TechSpec)</f>
        <v/>
      </c>
      <c r="L8" s="14" t="str">
        <f>IFERROR(IF(Examenskrav[[#This Row],[KURSPOÄNGSKRAV]]="","",INDEX(Inriktningskrav[],MATCH(Examenskrav[[#This Row],[KURSPOÄNGSKRAV]],Inriktningskrav[Profilnamn],0),4))," ")</f>
        <v/>
      </c>
      <c r="M8" s="14" t="str">
        <f>IFERROR(IF(Examenskrav[[#This Row],[KURSPOÄNGSKRAV]]="","",INDEX(Inriktningskrav[],MATCH(Examenskrav[[#This Row],[KURSPOÄNGSKRAV]],Inriktningskrav[Profilnamn],0),5)),"")</f>
        <v/>
      </c>
      <c r="N8" s="14" t="str">
        <f>IFERROR(MAX(0,Examenskrav[[#This Row],[GODTYCKLIGA]]-SUMIFS(Programplan[POÄNG],Programplan[INRIKTNING],TechSpec,Programplan[GRADES],"1",Programplan[NIVÅ],"G?")),"")</f>
        <v/>
      </c>
      <c r="O8" s="14" t="str">
        <f>IFERROR(MAX(0,Examenskrav[[#This Row],[AVANCERADE]]-SUMIFS(Programplan[POÄNG],Programplan[INRIKTNING],TechSpec,Programplan[GRADES],"1",Programplan[NIVÅ],"A")),"")</f>
        <v/>
      </c>
      <c r="P8" s="242" t="str">
        <f>IF(IFERROR(Examenskrav[[#This Row],[GODTYCKLIGA]]," ")=" ","Uppdatera 'Examenskrav' med poängkrav för profilen","")</f>
        <v/>
      </c>
      <c r="Q8" s="242"/>
      <c r="R8" s="242"/>
    </row>
    <row r="9" spans="1:22" ht="21" customHeight="1" x14ac:dyDescent="0.3">
      <c r="B9" s="276" t="str">
        <f xml:space="preserve"> IF(OR(TechSpec=" Ingen",TechSpec=""),"",CONCATENATE("Inom ", TechSpec))</f>
        <v/>
      </c>
      <c r="C9" s="276"/>
      <c r="D9" s="167"/>
      <c r="E9" s="212" t="str">
        <f>IF(B9="","",SUMIF(Programplan[INRIKTNING],"*" &amp; TechSpec &amp; "*",Programplan[POÄNG]) + SUMIF(Utlandsstudier[INRIKTNING],TechSpec,Utlandsstudier[HÖGSKOLEPOÄNG]))</f>
        <v/>
      </c>
      <c r="F9" s="268" t="str">
        <f>IF(B9="","","Varav avslutade")</f>
        <v/>
      </c>
      <c r="G9" s="268"/>
      <c r="H9" s="268"/>
      <c r="I9" s="166" t="str">
        <f>IFERROR(E9-SUMIFS(Programplan[POÄNG],Programplan[INRIKTNING],"*" &amp; TechSpec &amp; "*",Programplan[BETYG],"")-SUMIFS(Utlandsstudier[HÖGSKOLEPOÄNG],Utlandsstudier[INRIKTNING],"*" &amp; TechSpec &amp; "*",Utlandsstudier[BETYG],""),"")</f>
        <v/>
      </c>
      <c r="J9" s="164"/>
      <c r="K9" s="61" t="str">
        <f>IF(OR(EcoSpec="",EcoSpec=" Ingen"),"",EcoSpec)</f>
        <v/>
      </c>
      <c r="L9" s="14" t="str">
        <f>IFERROR(IF(Examenskrav[[#This Row],[KURSPOÄNGSKRAV]]="","",INDEX(Inriktningskrav[],MATCH(Examenskrav[[#This Row],[KURSPOÄNGSKRAV]],Inriktningskrav[Profilnamn],0),4))," ")</f>
        <v/>
      </c>
      <c r="M9" s="14" t="str">
        <f>IFERROR(IF(Examenskrav[[#This Row],[KURSPOÄNGSKRAV]]="","",INDEX(Inriktningskrav[],MATCH(Examenskrav[[#This Row],[KURSPOÄNGSKRAV]],Inriktningskrav[Profilnamn],0),5)),"")</f>
        <v/>
      </c>
      <c r="N9" s="14" t="str">
        <f>IFERROR(MAX(0,Examenskrav[[#This Row],[GODTYCKLIGA]]-SUMIFS(Programplan[POÄNG],Programplan[INRIKTNING],TechSpec,Programplan[GRADES],"1",Programplan[NIVÅ],"G?")),"")</f>
        <v/>
      </c>
      <c r="O9" s="15" t="str">
        <f>IFERROR(MAX(0,Examenskrav[[#This Row],[AVANCERADE]]-SUMIFS(Programplan[POÄNG],Programplan[INRIKTNING],TechSpec,Programplan[GRADES],"1",Programplan[NIVÅ],"A")),"")</f>
        <v/>
      </c>
      <c r="P9" s="242" t="str">
        <f>IF(IFERROR(Examenskrav[[#This Row],[GODTYCKLIGA]]," ")=" ","Uppdatera 'Examenskrav' med poängkrav för profilen","")</f>
        <v/>
      </c>
      <c r="Q9" s="242"/>
      <c r="R9" s="242"/>
    </row>
    <row r="10" spans="1:22" ht="21" customHeight="1" x14ac:dyDescent="0.3">
      <c r="B10" s="277" t="str">
        <f xml:space="preserve"> IF(OR(EcoSpec=" Ingen",EcoSpec=""),"",CONCATENATE("Inom ", EcoSpec))</f>
        <v/>
      </c>
      <c r="C10" s="277"/>
      <c r="D10" s="167"/>
      <c r="E10" s="168" t="str">
        <f>IF(B10="","",SUMIF(Programplan[INRIKTNING],"*" &amp; EcoSpec &amp; "*",Programplan[POÄNG]) + SUMIF(Utlandsstudier[INRIKTNING],EcoSpec,Utlandsstudier[HÖGSKOLEPOÄNG]))</f>
        <v/>
      </c>
      <c r="F10" s="268" t="str">
        <f>IF(B10="","","Varav avslutade")</f>
        <v/>
      </c>
      <c r="G10" s="268"/>
      <c r="H10" s="268"/>
      <c r="I10" s="166" t="str">
        <f>IFERROR(E10-SUMIFS(Programplan[POÄNG],Programplan[INRIKTNING],"*" &amp; EcoSpec &amp; "*",Programplan[BETYG],"")-SUMIFS(Utlandsstudier[HÖGSKOLEPOÄNG],Utlandsstudier[INRIKTNING],"*" &amp; EcoSpec &amp; "*",Utlandsstudier[BETYG],""),"")</f>
        <v/>
      </c>
      <c r="J10" s="164"/>
      <c r="K10" s="61"/>
      <c r="L10" s="14"/>
      <c r="M10" s="14"/>
      <c r="N10" s="14"/>
      <c r="O10" s="15"/>
      <c r="P10" s="14"/>
    </row>
    <row r="11" spans="1:22" ht="43.5" customHeight="1" x14ac:dyDescent="0.3">
      <c r="B11" s="169" t="s">
        <v>53</v>
      </c>
      <c r="C11" s="170"/>
      <c r="D11" s="170"/>
      <c r="E11" s="174">
        <f>SUM(E7:E8)</f>
        <v>104</v>
      </c>
      <c r="F11" s="267" t="s">
        <v>54</v>
      </c>
      <c r="G11" s="267"/>
      <c r="H11" s="267"/>
      <c r="I11" s="210">
        <f>SUM(I7:I8)</f>
        <v>34</v>
      </c>
      <c r="J11" s="164"/>
      <c r="P11" s="112"/>
    </row>
    <row r="12" spans="1:22" ht="21" customHeight="1" x14ac:dyDescent="0.25">
      <c r="B12" s="164"/>
      <c r="C12" s="164"/>
      <c r="D12" s="164"/>
      <c r="E12" s="164"/>
      <c r="F12" s="164"/>
      <c r="G12" s="165"/>
      <c r="H12" s="165"/>
      <c r="I12" s="165"/>
      <c r="J12" s="165"/>
      <c r="K12" s="11"/>
      <c r="L12" s="11"/>
      <c r="M12" s="11"/>
      <c r="N12" s="11"/>
      <c r="O12" s="11"/>
      <c r="P12" s="11"/>
    </row>
    <row r="13" spans="1:22" ht="51.75" customHeight="1" thickBot="1" x14ac:dyDescent="0.35">
      <c r="B13" s="173" t="s">
        <v>172</v>
      </c>
      <c r="C13" s="171"/>
      <c r="D13" s="172"/>
      <c r="E13" s="174">
        <f>IFERROR(AVERAGE(Programplan[BETYG]),"NaN")</f>
        <v>4</v>
      </c>
      <c r="F13" s="269" t="s">
        <v>2035</v>
      </c>
      <c r="G13" s="269"/>
      <c r="H13" s="269"/>
      <c r="I13" s="269"/>
      <c r="J13" s="269"/>
      <c r="K13" s="188" t="s">
        <v>5</v>
      </c>
      <c r="L13" s="270">
        <f>Avslutade_poäng</f>
        <v>34</v>
      </c>
      <c r="M13" s="271"/>
      <c r="N13" s="271"/>
      <c r="O13" s="272"/>
      <c r="P13" s="265" t="str">
        <f>CONCATENATE(TEXT(1-N7/L7,"##%")," SLUTFÖRD!")</f>
        <v>7% SLUTFÖRD!</v>
      </c>
      <c r="Q13" s="266"/>
      <c r="R13" s="266"/>
    </row>
    <row r="14" spans="1:22" ht="30" customHeight="1" thickTop="1" x14ac:dyDescent="0.3">
      <c r="F14" s="88"/>
      <c r="G14" s="88"/>
      <c r="H14" s="88"/>
      <c r="I14" s="88"/>
      <c r="J14" s="16"/>
      <c r="K14" s="83"/>
      <c r="L14" s="83"/>
      <c r="M14" s="83"/>
      <c r="N14" s="89"/>
      <c r="O14" s="89"/>
      <c r="P14" s="68"/>
    </row>
    <row r="15" spans="1:22" ht="9" customHeight="1" x14ac:dyDescent="0.3">
      <c r="A15" s="1"/>
      <c r="B15" s="1"/>
      <c r="C15" s="1"/>
      <c r="D15" s="1"/>
      <c r="E15" s="1"/>
      <c r="F15" s="1"/>
      <c r="G15" s="1"/>
      <c r="H15" s="1"/>
      <c r="I15" s="1"/>
      <c r="J15" s="1"/>
      <c r="K15" s="1"/>
      <c r="L15" s="1"/>
      <c r="M15" s="1"/>
      <c r="N15" s="1"/>
      <c r="O15" s="1"/>
      <c r="P15" s="8"/>
      <c r="Q15" s="8"/>
      <c r="R15" s="8"/>
      <c r="S15" s="8"/>
      <c r="T15" s="8"/>
      <c r="U15" s="8"/>
      <c r="V15" s="8"/>
    </row>
    <row r="16" spans="1:22" ht="51" customHeight="1" x14ac:dyDescent="0.3">
      <c r="A16" s="264" t="s">
        <v>61</v>
      </c>
      <c r="B16" s="264"/>
      <c r="C16" s="264"/>
      <c r="D16" s="264"/>
      <c r="E16" s="264"/>
      <c r="F16" s="264"/>
      <c r="G16" s="93"/>
      <c r="H16" s="93"/>
      <c r="I16" s="93"/>
      <c r="J16" s="6"/>
      <c r="K16" s="235"/>
      <c r="L16" s="236"/>
      <c r="M16" s="236"/>
      <c r="N16" s="236"/>
      <c r="O16" s="236"/>
      <c r="P16" s="236"/>
      <c r="Q16" s="236"/>
      <c r="R16" s="8"/>
      <c r="S16" s="8"/>
      <c r="T16" s="8"/>
      <c r="U16" s="8"/>
      <c r="V16" s="8"/>
    </row>
    <row r="17" spans="1:26" ht="9" customHeight="1" x14ac:dyDescent="0.3">
      <c r="A17" s="1"/>
      <c r="B17" s="1"/>
      <c r="C17" s="1"/>
      <c r="D17" s="1"/>
      <c r="E17" s="1"/>
      <c r="F17" s="1"/>
      <c r="G17" s="1"/>
      <c r="H17" s="1"/>
      <c r="I17" s="1"/>
      <c r="J17" s="1"/>
      <c r="K17" s="1"/>
      <c r="L17" s="5"/>
      <c r="M17" s="5"/>
      <c r="N17" s="1"/>
      <c r="O17" s="1"/>
      <c r="P17" s="8"/>
      <c r="Q17" s="8"/>
      <c r="R17" s="8"/>
      <c r="S17" s="8"/>
      <c r="T17" s="8"/>
      <c r="U17" s="8"/>
      <c r="V17" s="8"/>
    </row>
    <row r="18" spans="1:26" ht="19.5" customHeight="1" x14ac:dyDescent="0.3"/>
    <row r="19" spans="1:26" ht="35.25" customHeight="1" x14ac:dyDescent="0.3">
      <c r="B19" s="262" t="s">
        <v>1302</v>
      </c>
      <c r="C19" s="262"/>
      <c r="D19" s="262"/>
      <c r="E19" s="262"/>
      <c r="F19" s="262"/>
      <c r="G19" s="262"/>
      <c r="K19" s="262" t="s">
        <v>1303</v>
      </c>
      <c r="L19" s="262"/>
      <c r="M19" s="262"/>
      <c r="N19" s="262"/>
      <c r="O19" s="262"/>
      <c r="P19" s="262"/>
      <c r="Q19" s="71"/>
    </row>
    <row r="20" spans="1:26" ht="51.75" customHeight="1" thickBot="1" x14ac:dyDescent="0.35">
      <c r="B20" s="263"/>
      <c r="C20" s="263"/>
      <c r="D20" s="263"/>
      <c r="E20" s="263"/>
      <c r="F20" s="263"/>
      <c r="G20" s="263"/>
      <c r="K20" s="263"/>
      <c r="L20" s="263"/>
      <c r="M20" s="263"/>
      <c r="N20" s="263"/>
      <c r="O20" s="263"/>
      <c r="P20" s="263"/>
      <c r="Q20" s="71"/>
      <c r="R20" s="72"/>
      <c r="S20" s="73" t="s">
        <v>93</v>
      </c>
      <c r="T20" s="73"/>
      <c r="U20" s="73"/>
      <c r="V20" s="73"/>
      <c r="W20" s="73" t="s">
        <v>93</v>
      </c>
      <c r="X20" s="72"/>
      <c r="Y20" s="72"/>
      <c r="Z20" s="72"/>
    </row>
    <row r="21" spans="1:26" ht="21" customHeight="1" thickTop="1" x14ac:dyDescent="0.3">
      <c r="R21" s="72"/>
      <c r="S21" s="74">
        <v>1</v>
      </c>
      <c r="T21" s="73"/>
      <c r="U21" s="73"/>
      <c r="V21" s="73"/>
      <c r="W21" s="74">
        <v>2</v>
      </c>
      <c r="X21" s="72"/>
      <c r="Y21" s="72"/>
      <c r="Z21" s="72"/>
    </row>
    <row r="22" spans="1:26" ht="30.75" customHeight="1" x14ac:dyDescent="0.2">
      <c r="K22" s="110" t="s">
        <v>57</v>
      </c>
      <c r="L22" s="110" t="s">
        <v>62</v>
      </c>
      <c r="M22" s="179"/>
      <c r="N22" s="110" t="s">
        <v>63</v>
      </c>
      <c r="O22" s="261" t="s">
        <v>88</v>
      </c>
      <c r="P22" s="261"/>
      <c r="Q22" s="261"/>
      <c r="R22" s="72" t="s">
        <v>92</v>
      </c>
      <c r="S22" s="69">
        <v>1</v>
      </c>
      <c r="T22" s="69">
        <v>2</v>
      </c>
      <c r="U22" s="69">
        <v>3</v>
      </c>
      <c r="V22" s="69">
        <v>4</v>
      </c>
      <c r="W22" s="69">
        <v>1</v>
      </c>
      <c r="X22" s="69">
        <v>2</v>
      </c>
      <c r="Y22" s="69">
        <v>3</v>
      </c>
      <c r="Z22" s="69">
        <v>4</v>
      </c>
    </row>
    <row r="23" spans="1:26" ht="27.75" customHeight="1" x14ac:dyDescent="0.3">
      <c r="K23" s="109">
        <v>1</v>
      </c>
      <c r="L23" s="108">
        <f>IFERROR(GETPIVOTDATA("Antal av KURSNAMN",Data!$H$15,"TERMIN",Konstanter!H6),"")</f>
        <v>3</v>
      </c>
      <c r="M23" s="108"/>
      <c r="N23" s="108">
        <f>IFERROR(GETPIVOTDATA("Summa av POÄNG",Data!$H$15,"TERMIN",Konstanter!H6),"")</f>
        <v>24</v>
      </c>
      <c r="O23" s="259" t="str">
        <f>IF(COUNTIF(S23:Z23,"&gt;1")&gt;0,"Potientiella schemakrockar i denna termin.","")</f>
        <v/>
      </c>
      <c r="P23" s="259"/>
      <c r="Q23" s="259"/>
      <c r="R23" s="70" t="str">
        <f>CONCATENATE("Termin ",$K23)</f>
        <v>Termin 1</v>
      </c>
      <c r="S23" s="75">
        <f>IFERROR(GETPIVOTDATA("Antal av KURSNAMN",Data!$H$15,"Termin",$K23,"Period",$S$21,"Block",S$22),0)</f>
        <v>0</v>
      </c>
      <c r="T23" s="75">
        <f>IFERROR(GETPIVOTDATA("Antal av KURSNAMN",Data!$H$15,"Termin",$K23,"Period",$S$21,"Block",T$22),0)</f>
        <v>0</v>
      </c>
      <c r="U23" s="75">
        <f>IFERROR(GETPIVOTDATA("Antal av KURSNAMN",Data!$H$15,"Termin",$K23,"Period",$S$21,"Block",U$22),0)</f>
        <v>0</v>
      </c>
      <c r="V23" s="76">
        <f>IFERROR(GETPIVOTDATA("Antal av KURSNAMN",Data!$H$15,"Termin",$K23,"Period",$S$21,"Block",V$22),0)</f>
        <v>0</v>
      </c>
      <c r="W23" s="76">
        <f>IFERROR(GETPIVOTDATA("Antal av KURSNAMN",Data!$H$15,"Termin",$K23,"Period",$W$21,"Block",W$22),0)</f>
        <v>0</v>
      </c>
      <c r="X23" s="75">
        <f>IFERROR(GETPIVOTDATA("Antal av KURSNAMN",Data!$H$15,"Termin",$K23,"Period",$W$21,"Block",X$22),0)</f>
        <v>0</v>
      </c>
      <c r="Y23" s="75">
        <f>IFERROR(GETPIVOTDATA("Antal av KURSNAMN",Data!$H$15,"Termin",$K23,"Period",$W$21,"Block",Y$22),0)</f>
        <v>1</v>
      </c>
      <c r="Z23" s="75">
        <f>IFERROR(GETPIVOTDATA("Antal av KURSNAMN",Data!$H$15,"Termin",$K23,"Period",$W$21,"Block",Z$22),0)</f>
        <v>0</v>
      </c>
    </row>
    <row r="24" spans="1:26" ht="27.75" customHeight="1" x14ac:dyDescent="0.3">
      <c r="K24" s="109">
        <v>2</v>
      </c>
      <c r="L24" s="108">
        <f>IFERROR(GETPIVOTDATA("Antal av KURSNAMN",Data!$H$15,"TERMIN",Konstanter!H7),"")</f>
        <v>3</v>
      </c>
      <c r="M24" s="108"/>
      <c r="N24" s="108">
        <f>IFERROR(GETPIVOTDATA("Summa av POÄNG",Data!$H$15,"TERMIN",Konstanter!H7),"")</f>
        <v>20</v>
      </c>
      <c r="O24" s="259" t="str">
        <f>CONCATENATE(IF(COUNTIF(S24:Z24,"&gt;1")&gt;0,"Potientiella schemakrockar i denna termin. ",""),IF(IF(SUM(N23:N24)&lt;60,SUM(N23:N24)&lt;&gt;0),"Mindre än 60 hp detta läsår",""))</f>
        <v>Mindre än 60 hp detta läsår</v>
      </c>
      <c r="P24" s="259"/>
      <c r="Q24" s="259"/>
      <c r="R24" s="70" t="str">
        <f t="shared" ref="R24:R31" si="0">CONCATENATE("Termin ",$K24)</f>
        <v>Termin 2</v>
      </c>
      <c r="S24" s="75">
        <f>IFERROR(GETPIVOTDATA("Antal av KURSNAMN",Data!$H$15,"Termin",$K24,"Period",$S$21,"Block",S$22),0)</f>
        <v>0</v>
      </c>
      <c r="T24" s="75">
        <f>IFERROR(GETPIVOTDATA("Antal av KURSNAMN",Data!$H$15,"Termin",$K24,"Period",$S$21,"Block",T$22),0)</f>
        <v>1</v>
      </c>
      <c r="U24" s="75">
        <f>IFERROR(GETPIVOTDATA("Antal av KURSNAMN",Data!$H$15,"Termin",$K24,"Period",$S$21,"Block",U$22),0)</f>
        <v>0</v>
      </c>
      <c r="V24" s="76">
        <f>IFERROR(GETPIVOTDATA("Antal av KURSNAMN",Data!$H$15,"Termin",$K24,"Period",$S$21,"Block",V$22),0)</f>
        <v>0</v>
      </c>
      <c r="W24" s="76">
        <f>IFERROR(GETPIVOTDATA("Antal av KURSNAMN",Data!$H$15,"Termin",$K24,"Period",$W$21,"Block",W$22),0)</f>
        <v>0</v>
      </c>
      <c r="X24" s="75">
        <f>IFERROR(GETPIVOTDATA("Antal av KURSNAMN",Data!$H$15,"Termin",$K24,"Period",$W$21,"Block",X$22),0)</f>
        <v>1</v>
      </c>
      <c r="Y24" s="75">
        <f>IFERROR(GETPIVOTDATA("Antal av KURSNAMN",Data!$H$15,"Termin",$K24,"Period",$W$21,"Block",Y$22),0)</f>
        <v>0</v>
      </c>
      <c r="Z24" s="75">
        <f>IFERROR(GETPIVOTDATA("Antal av KURSNAMN",Data!$H$15,"Termin",$K24,"Period",$W$21,"Block",Z$22),0)</f>
        <v>0</v>
      </c>
    </row>
    <row r="25" spans="1:26" ht="27.75" customHeight="1" x14ac:dyDescent="0.3">
      <c r="K25" s="109">
        <v>3</v>
      </c>
      <c r="L25" s="108">
        <f>IFERROR(GETPIVOTDATA("Antal av KURSNAMN",Data!$H$15,"TERMIN",Konstanter!H8),"")</f>
        <v>2</v>
      </c>
      <c r="M25" s="108"/>
      <c r="N25" s="108">
        <f>IFERROR(GETPIVOTDATA("Summa av POÄNG",Data!$H$15,"TERMIN",Konstanter!H8),"")</f>
        <v>16</v>
      </c>
      <c r="O25" s="259" t="str">
        <f>IF(COUNTIF(S25:Z25,"&gt;1")&gt;0,"Potientiella schemakrockar i denna termin.","")</f>
        <v/>
      </c>
      <c r="P25" s="259"/>
      <c r="Q25" s="259"/>
      <c r="R25" s="70" t="str">
        <f t="shared" si="0"/>
        <v>Termin 3</v>
      </c>
      <c r="S25" s="75">
        <f>IFERROR(GETPIVOTDATA("Antal av KURSNAMN",Data!$H$15,"Termin",$K25,"Period",$S$21,"Block",S$22),0)</f>
        <v>1</v>
      </c>
      <c r="T25" s="75">
        <f>IFERROR(GETPIVOTDATA("Antal av KURSNAMN",Data!$H$15,"Termin",$K25,"Period",$S$21,"Block",T$22),0)</f>
        <v>0</v>
      </c>
      <c r="U25" s="75">
        <f>IFERROR(GETPIVOTDATA("Antal av KURSNAMN",Data!$H$15,"Termin",$K25,"Period",$S$21,"Block",U$22),0)</f>
        <v>0</v>
      </c>
      <c r="V25" s="76">
        <f>IFERROR(GETPIVOTDATA("Antal av KURSNAMN",Data!$H$15,"Termin",$K25,"Period",$S$21,"Block",V$22),0)</f>
        <v>0</v>
      </c>
      <c r="W25" s="76">
        <f>IFERROR(GETPIVOTDATA("Antal av KURSNAMN",Data!$H$15,"Termin",$K25,"Period",$W$21,"Block",W$22),0)</f>
        <v>0</v>
      </c>
      <c r="X25" s="75">
        <f>IFERROR(GETPIVOTDATA("Antal av KURSNAMN",Data!$H$15,"Termin",$K25,"Period",$W$21,"Block",X$22),0)</f>
        <v>0</v>
      </c>
      <c r="Y25" s="75">
        <f>IFERROR(GETPIVOTDATA("Antal av KURSNAMN",Data!$H$15,"Termin",$K25,"Period",$W$21,"Block",Y$22),0)</f>
        <v>0</v>
      </c>
      <c r="Z25" s="75">
        <f>IFERROR(GETPIVOTDATA("Antal av KURSNAMN",Data!$H$15,"Termin",$K25,"Period",$W$21,"Block",Z$22),0)</f>
        <v>0</v>
      </c>
    </row>
    <row r="26" spans="1:26" ht="27.75" customHeight="1" x14ac:dyDescent="0.3">
      <c r="K26" s="109">
        <v>4</v>
      </c>
      <c r="L26" s="108" t="str">
        <f>IFERROR(GETPIVOTDATA("Antal av KURSNAMN",Data!$H$15,"TERMIN",Konstanter!H9),"")</f>
        <v/>
      </c>
      <c r="M26" s="108"/>
      <c r="N26" s="108" t="str">
        <f>IFERROR(GETPIVOTDATA("Summa av POÄNG",Data!$H$15,"TERMIN",Konstanter!H9),"")</f>
        <v/>
      </c>
      <c r="O26" s="259" t="str">
        <f>CONCATENATE(IF(COUNTIF(S26:Z26,"&gt;1")&gt;0,"Potientiella schemakrockar i denna termin. ",""),IF(IF(SUM(N25:N26)&lt;60,SUM(N25:N26)&lt;&gt;0),"Mindre än 60 hp detta läsår",""))</f>
        <v>Mindre än 60 hp detta läsår</v>
      </c>
      <c r="P26" s="259"/>
      <c r="Q26" s="259"/>
      <c r="R26" s="70" t="str">
        <f t="shared" si="0"/>
        <v>Termin 4</v>
      </c>
      <c r="S26" s="75">
        <f>IFERROR(GETPIVOTDATA("Antal av KURSNAMN",Data!$H$15,"Termin",$K26,"Period",$S$21,"Block",S$22),0)</f>
        <v>0</v>
      </c>
      <c r="T26" s="75">
        <f>IFERROR(GETPIVOTDATA("Antal av KURSNAMN",Data!$H$15,"Termin",$K26,"Period",$S$21,"Block",T$22),0)</f>
        <v>0</v>
      </c>
      <c r="U26" s="75">
        <f>IFERROR(GETPIVOTDATA("Antal av KURSNAMN",Data!$H$15,"Termin",$K26,"Period",$S$21,"Block",U$22),0)</f>
        <v>0</v>
      </c>
      <c r="V26" s="76">
        <f>IFERROR(GETPIVOTDATA("Antal av KURSNAMN",Data!$H$15,"Termin",$K26,"Period",$S$21,"Block",V$22),0)</f>
        <v>0</v>
      </c>
      <c r="W26" s="76">
        <f>IFERROR(GETPIVOTDATA("Antal av KURSNAMN",Data!$H$15,"Termin",$K26,"Period",$W$21,"Block",W$22),0)</f>
        <v>0</v>
      </c>
      <c r="X26" s="75">
        <f>IFERROR(GETPIVOTDATA("Antal av KURSNAMN",Data!$H$15,"Termin",$K26,"Period",$W$21,"Block",X$22),0)</f>
        <v>0</v>
      </c>
      <c r="Y26" s="75">
        <f>IFERROR(GETPIVOTDATA("Antal av KURSNAMN",Data!$H$15,"Termin",$K26,"Period",$W$21,"Block",Y$22),0)</f>
        <v>0</v>
      </c>
      <c r="Z26" s="75">
        <f>IFERROR(GETPIVOTDATA("Antal av KURSNAMN",Data!$H$15,"Termin",$K26,"Period",$W$21,"Block",Z$22),0)</f>
        <v>0</v>
      </c>
    </row>
    <row r="27" spans="1:26" ht="27.75" customHeight="1" x14ac:dyDescent="0.3">
      <c r="K27" s="109">
        <v>5</v>
      </c>
      <c r="L27" s="108" t="str">
        <f>IFERROR(GETPIVOTDATA("Antal av KURSNAMN",Data!$H$15,"TERMIN",Konstanter!H10),"")</f>
        <v/>
      </c>
      <c r="M27" s="108"/>
      <c r="N27" s="108" t="str">
        <f>IFERROR(GETPIVOTDATA("Summa av POÄNG",Data!$H$15,"TERMIN",Konstanter!H10),"")</f>
        <v/>
      </c>
      <c r="O27" s="259" t="str">
        <f>IF(COUNTIF(S27:Z27,"&gt;1")&gt;0,"Potientiella schemakrockar i denna termin.","")</f>
        <v/>
      </c>
      <c r="P27" s="259"/>
      <c r="Q27" s="259"/>
      <c r="R27" s="70" t="str">
        <f t="shared" si="0"/>
        <v>Termin 5</v>
      </c>
      <c r="S27" s="75">
        <f>IFERROR(GETPIVOTDATA("Antal av KURSNAMN",Data!$H$15,"Termin",$K27,"Period",$S$21,"Block",S$22),0)</f>
        <v>0</v>
      </c>
      <c r="T27" s="75">
        <f>IFERROR(GETPIVOTDATA("Antal av KURSNAMN",Data!$H$15,"Termin",$K27,"Period",$S$21,"Block",T$22),0)</f>
        <v>0</v>
      </c>
      <c r="U27" s="75">
        <f>IFERROR(GETPIVOTDATA("Antal av KURSNAMN",Data!$H$15,"Termin",$K27,"Period",$S$21,"Block",U$22),0)</f>
        <v>0</v>
      </c>
      <c r="V27" s="76">
        <f>IFERROR(GETPIVOTDATA("Antal av KURSNAMN",Data!$H$15,"Termin",$K27,"Period",$S$21,"Block",V$22),0)</f>
        <v>0</v>
      </c>
      <c r="W27" s="76">
        <f>IFERROR(GETPIVOTDATA("Antal av KURSNAMN",Data!$H$15,"Termin",$K27,"Period",$W$21,"Block",W$22),0)</f>
        <v>0</v>
      </c>
      <c r="X27" s="75">
        <f>IFERROR(GETPIVOTDATA("Antal av KURSNAMN",Data!$H$15,"Termin",$K27,"Period",$W$21,"Block",X$22),0)</f>
        <v>0</v>
      </c>
      <c r="Y27" s="75">
        <f>IFERROR(GETPIVOTDATA("Antal av KURSNAMN",Data!$H$15,"Termin",$K27,"Period",$W$21,"Block",Y$22),0)</f>
        <v>0</v>
      </c>
      <c r="Z27" s="75">
        <f>IFERROR(GETPIVOTDATA("Antal av KURSNAMN",Data!$H$15,"Termin",$K27,"Period",$W$21,"Block",Z$22),0)</f>
        <v>0</v>
      </c>
    </row>
    <row r="28" spans="1:26" ht="27.75" customHeight="1" x14ac:dyDescent="0.3">
      <c r="K28" s="109">
        <v>6</v>
      </c>
      <c r="L28" s="108">
        <f>IFERROR(GETPIVOTDATA("Antal av KURSNAMN",Data!$H$15,"TERMIN",Konstanter!H11),"")</f>
        <v>1</v>
      </c>
      <c r="M28" s="108"/>
      <c r="N28" s="108">
        <f>IFERROR(GETPIVOTDATA("Summa av POÄNG",Data!$H$15,"TERMIN",Konstanter!H11),"")</f>
        <v>4</v>
      </c>
      <c r="O28" s="259" t="str">
        <f>CONCATENATE(IF(COUNTIF(S28:Z28,"&gt;1")&gt;0,"Potientiella schemakrockar i denna termin. ",""),IF(IF(SUM(N27:N28)&lt;60,SUM(N27:N28)&lt;&gt;0),"Mindre än 60 hp detta läsår",""))</f>
        <v>Mindre än 60 hp detta läsår</v>
      </c>
      <c r="P28" s="259"/>
      <c r="Q28" s="259"/>
      <c r="R28" s="70" t="str">
        <f t="shared" si="0"/>
        <v>Termin 6</v>
      </c>
      <c r="S28" s="75">
        <f>IFERROR(GETPIVOTDATA("Antal av KURSNAMN",Data!$H$15,"Termin",$K28,"Period",$S$21,"Block",S$22),0)</f>
        <v>0</v>
      </c>
      <c r="T28" s="75">
        <f>IFERROR(GETPIVOTDATA("Antal av KURSNAMN",Data!$H$15,"Termin",$K28,"Period",$S$21,"Block",T$22),0)</f>
        <v>0</v>
      </c>
      <c r="U28" s="75">
        <f>IFERROR(GETPIVOTDATA("Antal av KURSNAMN",Data!$H$15,"Termin",$K28,"Period",$S$21,"Block",U$22),0)</f>
        <v>0</v>
      </c>
      <c r="V28" s="76">
        <f>IFERROR(GETPIVOTDATA("Antal av KURSNAMN",Data!$H$15,"Termin",$K28,"Period",$S$21,"Block",V$22),0)</f>
        <v>0</v>
      </c>
      <c r="W28" s="76">
        <f>IFERROR(GETPIVOTDATA("Antal av KURSNAMN",Data!$H$15,"Termin",$K28,"Period",$W$21,"Block",W$22),0)</f>
        <v>0</v>
      </c>
      <c r="X28" s="75">
        <f>IFERROR(GETPIVOTDATA("Antal av KURSNAMN",Data!$H$15,"Termin",$K28,"Period",$W$21,"Block",X$22),0)</f>
        <v>1</v>
      </c>
      <c r="Y28" s="75">
        <f>IFERROR(GETPIVOTDATA("Antal av KURSNAMN",Data!$H$15,"Termin",$K28,"Period",$W$21,"Block",Y$22),0)</f>
        <v>0</v>
      </c>
      <c r="Z28" s="75">
        <f>IFERROR(GETPIVOTDATA("Antal av KURSNAMN",Data!$H$15,"Termin",$K28,"Period",$W$21,"Block",Z$22),0)</f>
        <v>0</v>
      </c>
    </row>
    <row r="29" spans="1:26" ht="27.75" customHeight="1" x14ac:dyDescent="0.3">
      <c r="K29" s="109">
        <v>7</v>
      </c>
      <c r="L29" s="108">
        <f>IFERROR(GETPIVOTDATA("Antal av KURSNAMN",Data!$H$15,"TERMIN",Konstanter!H12),"")</f>
        <v>3</v>
      </c>
      <c r="M29" s="108"/>
      <c r="N29" s="108">
        <f>IFERROR(GETPIVOTDATA("Summa av POÄNG",Data!$H$15,"TERMIN",Konstanter!H12),"")</f>
        <v>24</v>
      </c>
      <c r="O29" s="259" t="str">
        <f>IF(COUNTIF(S29:Z29,"&gt;1")&gt;0,"Potientiella schemakrockar i denna termin.","")</f>
        <v/>
      </c>
      <c r="P29" s="259"/>
      <c r="Q29" s="259"/>
      <c r="R29" s="70" t="str">
        <f t="shared" si="0"/>
        <v>Termin 7</v>
      </c>
      <c r="S29" s="75">
        <f>IFERROR(GETPIVOTDATA("Antal av KURSNAMN",Data!$H$15,"Termin",$K29,"Period",$S$21,"Block",S$22),0)</f>
        <v>0</v>
      </c>
      <c r="T29" s="75">
        <f>IFERROR(GETPIVOTDATA("Antal av KURSNAMN",Data!$H$15,"Termin",$K29,"Period",$S$21,"Block",T$22),0)</f>
        <v>0</v>
      </c>
      <c r="U29" s="75">
        <f>IFERROR(GETPIVOTDATA("Antal av KURSNAMN",Data!$H$15,"Termin",$K29,"Period",$S$21,"Block",U$22),0)</f>
        <v>0</v>
      </c>
      <c r="V29" s="76">
        <f>IFERROR(GETPIVOTDATA("Antal av KURSNAMN",Data!$H$15,"Termin",$K29,"Period",$S$21,"Block",V$22),0)</f>
        <v>0</v>
      </c>
      <c r="W29" s="76">
        <f>IFERROR(GETPIVOTDATA("Antal av KURSNAMN",Data!$H$15,"Termin",$K29,"Period",$W$21,"Block",W$22),0)</f>
        <v>0</v>
      </c>
      <c r="X29" s="75">
        <f>IFERROR(GETPIVOTDATA("Antal av KURSNAMN",Data!$H$15,"Termin",$K29,"Period",$W$21,"Block",X$22),0)</f>
        <v>0</v>
      </c>
      <c r="Y29" s="75">
        <f>IFERROR(GETPIVOTDATA("Antal av KURSNAMN",Data!$H$15,"Termin",$K29,"Period",$W$21,"Block",Y$22),0)</f>
        <v>0</v>
      </c>
      <c r="Z29" s="75">
        <f>IFERROR(GETPIVOTDATA("Antal av KURSNAMN",Data!$H$15,"Termin",$K29,"Period",$W$21,"Block",Z$22),0)</f>
        <v>0</v>
      </c>
    </row>
    <row r="30" spans="1:26" ht="27.75" customHeight="1" x14ac:dyDescent="0.3">
      <c r="K30" s="109">
        <v>8</v>
      </c>
      <c r="L30" s="108">
        <f>IFERROR(GETPIVOTDATA("Antal av KURSNAMN",Data!$H$15,"TERMIN",Konstanter!H13),"")</f>
        <v>2</v>
      </c>
      <c r="M30" s="108"/>
      <c r="N30" s="108">
        <f>IFERROR(GETPIVOTDATA("Summa av POÄNG",Data!$H$15,"TERMIN",Konstanter!H13),"")</f>
        <v>10</v>
      </c>
      <c r="O30" s="259" t="str">
        <f>CONCATENATE(IF(COUNTIF(S30:Z30,"&gt;1")&gt;0,"Potientiella schemakrockar i denna termin. ",""),IF(IF(SUM(N29:N30)&lt;60,SUM(N29:N30)&lt;&gt;0),"Mindre än 60 hp detta läsår",""))</f>
        <v>Mindre än 60 hp detta läsår</v>
      </c>
      <c r="P30" s="259"/>
      <c r="Q30" s="259"/>
      <c r="R30" s="70" t="str">
        <f t="shared" si="0"/>
        <v>Termin 8</v>
      </c>
      <c r="S30" s="75">
        <f>IFERROR(GETPIVOTDATA("Antal av KURSNAMN",Data!$H$15,"Termin",$K30,"Period",$S$21,"Block",S$22),0)</f>
        <v>0</v>
      </c>
      <c r="T30" s="75">
        <f>IFERROR(GETPIVOTDATA("Antal av KURSNAMN",Data!$H$15,"Termin",$K30,"Period",$S$21,"Block",T$22),0)</f>
        <v>0</v>
      </c>
      <c r="U30" s="75">
        <f>IFERROR(GETPIVOTDATA("Antal av KURSNAMN",Data!$H$15,"Termin",$K30,"Period",$S$21,"Block",U$22),0)</f>
        <v>0</v>
      </c>
      <c r="V30" s="76">
        <f>IFERROR(GETPIVOTDATA("Antal av KURSNAMN",Data!$H$15,"Termin",$K30,"Period",$S$21,"Block",V$22),0)</f>
        <v>0</v>
      </c>
      <c r="W30" s="76">
        <f>IFERROR(GETPIVOTDATA("Antal av KURSNAMN",Data!$H$15,"Termin",$K30,"Period",$W$21,"Block",W$22),0)</f>
        <v>0</v>
      </c>
      <c r="X30" s="75">
        <f>IFERROR(GETPIVOTDATA("Antal av KURSNAMN",Data!$H$15,"Termin",$K30,"Period",$W$21,"Block",X$22),0)</f>
        <v>1</v>
      </c>
      <c r="Y30" s="75">
        <f>IFERROR(GETPIVOTDATA("Antal av KURSNAMN",Data!$H$15,"Termin",$K30,"Period",$W$21,"Block",Y$22),0)</f>
        <v>0</v>
      </c>
      <c r="Z30" s="75">
        <f>IFERROR(GETPIVOTDATA("Antal av KURSNAMN",Data!$H$15,"Termin",$K30,"Period",$W$21,"Block",Z$22),0)</f>
        <v>0</v>
      </c>
    </row>
    <row r="31" spans="1:26" ht="27.75" customHeight="1" x14ac:dyDescent="0.3">
      <c r="K31" s="109">
        <v>9</v>
      </c>
      <c r="L31" s="108">
        <f>IFERROR(GETPIVOTDATA("Antal av KURSNAMN",Data!$H$15,"TERMIN",Konstanter!H14),"")</f>
        <v>1</v>
      </c>
      <c r="M31" s="108"/>
      <c r="N31" s="108">
        <f>IFERROR(GETPIVOTDATA("Summa av POÄNG",Data!$H$15,"TERMIN",Konstanter!H14),"")</f>
        <v>6</v>
      </c>
      <c r="O31" s="259" t="str">
        <f>IF(COUNTIF(S31:Z31,"&gt;1")&gt;0,"Potientiella schemakrockar i denna termin.","")</f>
        <v/>
      </c>
      <c r="P31" s="259"/>
      <c r="Q31" s="259"/>
      <c r="R31" s="70" t="str">
        <f t="shared" si="0"/>
        <v>Termin 9</v>
      </c>
      <c r="S31" s="75">
        <f>IFERROR(GETPIVOTDATA("Antal av KURSNAMN",Data!$H$15,"Termin",$K31,"Period",$S$21,"Block",S$22),0)</f>
        <v>0</v>
      </c>
      <c r="T31" s="75">
        <f>IFERROR(GETPIVOTDATA("Antal av KURSNAMN",Data!$H$15,"Termin",$K31,"Period",$S$21,"Block",T$22),0)</f>
        <v>0</v>
      </c>
      <c r="U31" s="75">
        <f>IFERROR(GETPIVOTDATA("Antal av KURSNAMN",Data!$H$15,"Termin",$K31,"Period",$S$21,"Block",U$22),0)</f>
        <v>0</v>
      </c>
      <c r="V31" s="76">
        <f>IFERROR(GETPIVOTDATA("Antal av KURSNAMN",Data!$H$15,"Termin",$K31,"Period",$S$21,"Block",V$22),0)</f>
        <v>0</v>
      </c>
      <c r="W31" s="76">
        <f>IFERROR(GETPIVOTDATA("Antal av KURSNAMN",Data!$H$15,"Termin",$K31,"Period",$W$21,"Block",W$22),0)</f>
        <v>0</v>
      </c>
      <c r="X31" s="75">
        <f>IFERROR(GETPIVOTDATA("Antal av KURSNAMN",Data!$H$15,"Termin",$K31,"Period",$W$21,"Block",X$22),0)</f>
        <v>0</v>
      </c>
      <c r="Y31" s="75">
        <f>IFERROR(GETPIVOTDATA("Antal av KURSNAMN",Data!$H$15,"Termin",$K31,"Period",$W$21,"Block",Y$22),0)</f>
        <v>0</v>
      </c>
      <c r="Z31" s="75">
        <f>IFERROR(GETPIVOTDATA("Antal av KURSNAMN",Data!$H$15,"Termin",$K31,"Period",$W$21,"Block",Z$22),0)</f>
        <v>0</v>
      </c>
    </row>
    <row r="32" spans="1:26" ht="27.75" customHeight="1" x14ac:dyDescent="0.3">
      <c r="K32" s="109">
        <v>10</v>
      </c>
      <c r="L32" s="108" t="str">
        <f>IFERROR(GETPIVOTDATA("Antal av KURSNAMN",Data!$H$15,"TERMIN",Konstanter!H15),"")</f>
        <v/>
      </c>
      <c r="M32" s="108"/>
      <c r="N32" s="108" t="str">
        <f>IFERROR(GETPIVOTDATA("Summa av POÄNG",Data!$H$15,"TERMIN",Konstanter!H15),"")</f>
        <v/>
      </c>
      <c r="O32" s="259" t="str">
        <f>CONCATENATE(IF(COUNTIF(S32:Z32,"&gt;1")&gt;0,"Potientiella schemakrockar i denna termin. ",""),IF(IF(SUM(N31:N32)&lt;60,SUM(N31:N32)&lt;&gt;0),"Mindre än 60 hp detta läsår",""))</f>
        <v>Mindre än 60 hp detta läsår</v>
      </c>
      <c r="P32" s="259"/>
      <c r="Q32" s="259"/>
      <c r="R32" s="70" t="str">
        <f>CONCATENATE("Termin ",$K32)</f>
        <v>Termin 10</v>
      </c>
      <c r="S32" s="75">
        <f>IFERROR(GETPIVOTDATA("Antal av KURSNAMN",Data!$H$15,"Termin",$K32,"Period",$S$21,"Block",S$22),0)</f>
        <v>0</v>
      </c>
      <c r="T32" s="75">
        <f>IFERROR(GETPIVOTDATA("Antal av KURSNAMN",Data!$H$15,"Termin",$K32,"Period",$S$21,"Block",T$22),0)</f>
        <v>0</v>
      </c>
      <c r="U32" s="75">
        <f>IFERROR(GETPIVOTDATA("Antal av KURSNAMN",Data!$H$15,"Termin",$K32,"Period",$S$21,"Block",U$22),0)</f>
        <v>0</v>
      </c>
      <c r="V32" s="76">
        <f>IFERROR(GETPIVOTDATA("Antal av KURSNAMN",Data!$H$15,"Termin",$K32,"Period",$S$21,"Block",V$22),0)</f>
        <v>0</v>
      </c>
      <c r="W32" s="76">
        <f>IFERROR(GETPIVOTDATA("Antal av KURSNAMN",Data!$H$15,"Termin",$K32,"Period",$W$21,"Block",W$22),0)</f>
        <v>0</v>
      </c>
      <c r="X32" s="75">
        <f>IFERROR(GETPIVOTDATA("Antal av KURSNAMN",Data!$H$15,"Termin",$K32,"Period",$W$21,"Block",X$22),0)</f>
        <v>0</v>
      </c>
      <c r="Y32" s="75">
        <f>IFERROR(GETPIVOTDATA("Antal av KURSNAMN",Data!$H$15,"Termin",$K32,"Period",$W$21,"Block",Y$22),0)</f>
        <v>0</v>
      </c>
      <c r="Z32" s="75">
        <f>IFERROR(GETPIVOTDATA("Antal av KURSNAMN",Data!$H$15,"Termin",$K32,"Period",$W$21,"Block",Z$22),0)</f>
        <v>0</v>
      </c>
    </row>
    <row r="33" spans="1:18" ht="18" customHeight="1" x14ac:dyDescent="0.3">
      <c r="F33" s="2"/>
      <c r="G33" s="2"/>
      <c r="H33" s="63"/>
      <c r="I33" s="63"/>
      <c r="J33" s="63"/>
      <c r="R33" s="62"/>
    </row>
    <row r="34" spans="1:18" ht="31.5" customHeight="1" x14ac:dyDescent="0.25">
      <c r="B34" s="258"/>
      <c r="C34" s="258"/>
      <c r="D34" s="258"/>
      <c r="E34" s="256" t="s">
        <v>109</v>
      </c>
      <c r="F34" s="257"/>
      <c r="G34" s="257"/>
      <c r="H34" s="257"/>
      <c r="I34" s="2"/>
      <c r="J34" s="2"/>
      <c r="K34" s="2"/>
    </row>
    <row r="35" spans="1:18" ht="22.5" customHeight="1" x14ac:dyDescent="0.3">
      <c r="B35" s="255" t="s">
        <v>935</v>
      </c>
      <c r="C35" s="255"/>
      <c r="D35" s="145"/>
      <c r="E35" s="150">
        <v>1</v>
      </c>
      <c r="F35" s="150">
        <v>2</v>
      </c>
      <c r="G35" s="150">
        <v>3</v>
      </c>
      <c r="H35" s="150">
        <v>4</v>
      </c>
      <c r="J35" s="151" t="s">
        <v>936</v>
      </c>
      <c r="K35" s="44"/>
    </row>
    <row r="36" spans="1:18" ht="12" customHeight="1" x14ac:dyDescent="0.3">
      <c r="A36" s="243">
        <v>1</v>
      </c>
      <c r="B36" s="249">
        <f>SUMIFS(Programplan[POÄNG],Programplan[TERMIN],$A36)-SUMIFS(Programplan[POÄNG],Programplan[TERMIN],$A36,Programplan[BETYG],"U")-SUMIFS(Programplan[POÄNG],Programplan[TERMIN],$A36,Programplan[BETYG],"")</f>
        <v>16</v>
      </c>
      <c r="C36" s="252" t="s">
        <v>934</v>
      </c>
      <c r="D36" s="245">
        <v>1</v>
      </c>
      <c r="E36" s="245">
        <f>IF(SUMIFS(Programplan[Block 1],Programplan[TERMIN],VALUE($A36),Programplan[PERIOD],$D36)+SUMIFS(Programplan[Block 1],Programplan[TERMIN],VALUE($A36),Programplan[PERIOD]," 1, 2")/2=0,"",SUMIFS(Programplan[Block 1],Programplan[TERMIN],VALUE($A36),Programplan[PERIOD],$D36)+SUMIFS(Programplan[Block 1],Programplan[TERMIN],VALUE($A36),Programplan[PERIOD]," 1, 2")/2)</f>
        <v>1</v>
      </c>
      <c r="F36" s="245">
        <f>IF(SUMIFS(Programplan[Block 2],Programplan[TERMIN],VALUE($A36),Programplan[PERIOD],$D36)+SUMIFS(Programplan[Block 2],Programplan[TERMIN],VALUE($A36),Programplan[PERIOD]," 1, 2")/2=0,"",SUMIFS(Programplan[Block 2],Programplan[TERMIN],VALUE($A36),Programplan[PERIOD],$D36)+SUMIFS(Programplan[Block 2],Programplan[TERMIN],VALUE($A36),Programplan[PERIOD]," 1, 2")/2)</f>
        <v>1</v>
      </c>
      <c r="G36" s="245" t="str">
        <f>IF(SUMIFS(Programplan[Block 3],Programplan[TERMIN],VALUE($A36),Programplan[PERIOD],$D36)+SUMIFS(Programplan[Block 3],Programplan[TERMIN],VALUE($A36),Programplan[PERIOD]," 1, 2")/2=0,"",SUMIFS(Programplan[Block 3],Programplan[TERMIN],VALUE($A36),Programplan[PERIOD],$D36)+SUMIFS(Programplan[Block 3],Programplan[TERMIN],VALUE($A36),Programplan[PERIOD]," 1, 2")/2)</f>
        <v/>
      </c>
      <c r="H36" s="245">
        <f>IF(SUMIFS(Programplan[Block 4],Programplan[TERMIN],VALUE($A36),Programplan[PERIOD],$D36)+SUMIFS(Programplan[Block 4],Programplan[TERMIN],VALUE($A36),Programplan[PERIOD]," 1, 2")/2=0,"",SUMIFS(Programplan[Block 4],Programplan[TERMIN],VALUE($A36),Programplan[PERIOD],$D36)+SUMIFS(Programplan[Block 4],Programplan[TERMIN],VALUE($A36),Programplan[PERIOD]," 1, 2")/2)</f>
        <v>0.5</v>
      </c>
      <c r="I36" s="149"/>
      <c r="K36" s="2"/>
      <c r="L36" s="2"/>
      <c r="M36" s="2"/>
      <c r="Q36" s="57"/>
    </row>
    <row r="37" spans="1:18" ht="12" customHeight="1" x14ac:dyDescent="0.3">
      <c r="A37" s="243"/>
      <c r="B37" s="249"/>
      <c r="C37" s="252"/>
      <c r="D37" s="245"/>
      <c r="E37" s="245"/>
      <c r="F37" s="245"/>
      <c r="G37" s="245"/>
      <c r="H37" s="245"/>
      <c r="I37" s="149"/>
      <c r="K37" s="2"/>
      <c r="L37" s="2"/>
      <c r="M37" s="2"/>
      <c r="Q37" s="57"/>
    </row>
    <row r="38" spans="1:18" ht="12" customHeight="1" x14ac:dyDescent="0.3">
      <c r="A38" s="243"/>
      <c r="B38" s="249"/>
      <c r="C38" s="252"/>
      <c r="D38" s="245"/>
      <c r="E38" s="248"/>
      <c r="F38" s="248"/>
      <c r="G38" s="248"/>
      <c r="H38" s="248"/>
      <c r="I38" s="149"/>
      <c r="K38" s="2"/>
      <c r="L38" s="2"/>
      <c r="M38" s="2"/>
      <c r="Q38" s="57"/>
    </row>
    <row r="39" spans="1:18" ht="12" customHeight="1" x14ac:dyDescent="0.3">
      <c r="A39" s="243">
        <v>1</v>
      </c>
      <c r="B39" s="249"/>
      <c r="C39" s="253" t="s">
        <v>934</v>
      </c>
      <c r="D39" s="244">
        <v>2</v>
      </c>
      <c r="E39" s="245">
        <f>IF(SUMIFS(Programplan[Block 1],Programplan[TERMIN],VALUE($A39),Programplan[PERIOD],$D39)+SUMIFS(Programplan[Block 1],Programplan[TERMIN],VALUE($A39),Programplan[PERIOD]," 1, 2")/2=0,"",SUMIFS(Programplan[Block 1],Programplan[TERMIN],VALUE($A39),Programplan[PERIOD],$D39)+SUMIFS(Programplan[Block 1],Programplan[TERMIN],VALUE($A39),Programplan[PERIOD]," 1, 2")/2)</f>
        <v>1</v>
      </c>
      <c r="F39" s="245">
        <f>IF(SUMIFS(Programplan[Block 2],Programplan[TERMIN],VALUE($A39),Programplan[PERIOD],$D39)+SUMIFS(Programplan[Block 2],Programplan[TERMIN],VALUE($A39),Programplan[PERIOD]," 1, 2")/2=0,"",SUMIFS(Programplan[Block 2],Programplan[TERMIN],VALUE($A39),Programplan[PERIOD],$D39)+SUMIFS(Programplan[Block 2],Programplan[TERMIN],VALUE($A39),Programplan[PERIOD]," 1, 2")/2)</f>
        <v>1</v>
      </c>
      <c r="G39" s="245">
        <f>IF(SUMIFS(Programplan[Block 3],Programplan[TERMIN],VALUE($A39),Programplan[PERIOD],$D39)+SUMIFS(Programplan[Block 3],Programplan[TERMIN],VALUE($A39),Programplan[PERIOD]," 1, 2")/2=0,"",SUMIFS(Programplan[Block 3],Programplan[TERMIN],VALUE($A39),Programplan[PERIOD],$D39)+SUMIFS(Programplan[Block 3],Programplan[TERMIN],VALUE($A39),Programplan[PERIOD]," 1, 2")/2)</f>
        <v>1</v>
      </c>
      <c r="H39" s="244">
        <f>IF(SUMIFS(Programplan[Block 4],Programplan[TERMIN],VALUE($A39),Programplan[PERIOD],$D39)+SUMIFS(Programplan[Block 4],Programplan[TERMIN],VALUE($A39),Programplan[PERIOD]," 1, 2")/2=0,"",SUMIFS(Programplan[Block 4],Programplan[TERMIN],VALUE($A39),Programplan[PERIOD],$D39)+SUMIFS(Programplan[Block 4],Programplan[TERMIN],VALUE($A39),Programplan[PERIOD]," 1, 2")/2)</f>
        <v>0.5</v>
      </c>
      <c r="I39" s="145"/>
      <c r="K39" s="2"/>
      <c r="L39" s="2"/>
      <c r="M39" s="2"/>
      <c r="Q39" s="57"/>
    </row>
    <row r="40" spans="1:18" ht="12" customHeight="1" x14ac:dyDescent="0.3">
      <c r="A40" s="243"/>
      <c r="B40" s="249"/>
      <c r="C40" s="252"/>
      <c r="D40" s="245"/>
      <c r="E40" s="245"/>
      <c r="F40" s="245"/>
      <c r="G40" s="245"/>
      <c r="H40" s="245"/>
      <c r="I40" s="145"/>
      <c r="K40" s="2"/>
      <c r="L40" s="2"/>
      <c r="M40" s="2"/>
      <c r="Q40" s="57"/>
    </row>
    <row r="41" spans="1:18" ht="12" customHeight="1" thickBot="1" x14ac:dyDescent="0.35">
      <c r="A41" s="243"/>
      <c r="B41" s="250"/>
      <c r="C41" s="254"/>
      <c r="D41" s="246"/>
      <c r="E41" s="246"/>
      <c r="F41" s="246"/>
      <c r="G41" s="246"/>
      <c r="H41" s="246"/>
      <c r="I41" s="145"/>
      <c r="K41" s="2"/>
      <c r="L41" s="2"/>
      <c r="M41" s="2"/>
      <c r="Q41" s="57"/>
    </row>
    <row r="42" spans="1:18" ht="12" customHeight="1" x14ac:dyDescent="0.3">
      <c r="A42" s="243">
        <v>2</v>
      </c>
      <c r="B42" s="249">
        <f>SUMIFS(Programplan[POÄNG],Programplan[TERMIN],$A42)-SUMIFS(Programplan[POÄNG],Programplan[TERMIN],$A42,Programplan[BETYG],"U")-SUMIFS(Programplan[POÄNG],Programplan[TERMIN],$A42,Programplan[BETYG],"")</f>
        <v>6</v>
      </c>
      <c r="C42" s="251" t="s">
        <v>934</v>
      </c>
      <c r="D42" s="247">
        <v>1</v>
      </c>
      <c r="E42" s="247">
        <f>IF(SUMIFS(Programplan[Block 1],Programplan[TERMIN],VALUE($A42),Programplan[PERIOD],$D42)+SUMIFS(Programplan[Block 1],Programplan[TERMIN],VALUE($A42),Programplan[PERIOD]," 1, 2")/2=0,"",SUMIFS(Programplan[Block 1],Programplan[TERMIN],VALUE($A42),Programplan[PERIOD],$D42)+SUMIFS(Programplan[Block 1],Programplan[TERMIN],VALUE($A42),Programplan[PERIOD]," 1, 2")/2)</f>
        <v>0.5</v>
      </c>
      <c r="F42" s="247">
        <f>IF(SUMIFS(Programplan[Block 2],Programplan[TERMIN],VALUE($A42),Programplan[PERIOD],$D42)+SUMIFS(Programplan[Block 2],Programplan[TERMIN],VALUE($A42),Programplan[PERIOD]," 1, 2")/2=0,"",SUMIFS(Programplan[Block 2],Programplan[TERMIN],VALUE($A42),Programplan[PERIOD],$D42)+SUMIFS(Programplan[Block 2],Programplan[TERMIN],VALUE($A42),Programplan[PERIOD]," 1, 2")/2)</f>
        <v>1</v>
      </c>
      <c r="G42" s="247" t="str">
        <f>IF(SUMIFS(Programplan[Block 3],Programplan[TERMIN],VALUE($A42),Programplan[PERIOD],$D42)+SUMIFS(Programplan[Block 3],Programplan[TERMIN],VALUE($A42),Programplan[PERIOD]," 1, 2")/2=0,"",SUMIFS(Programplan[Block 3],Programplan[TERMIN],VALUE($A42),Programplan[PERIOD],$D42)+SUMIFS(Programplan[Block 3],Programplan[TERMIN],VALUE($A42),Programplan[PERIOD]," 1, 2")/2)</f>
        <v/>
      </c>
      <c r="H42" s="245" t="str">
        <f>IF(SUMIFS(Programplan[Block 4],Programplan[TERMIN],VALUE($A42),Programplan[PERIOD],$D42)+SUMIFS(Programplan[Block 4],Programplan[TERMIN],VALUE($A42),Programplan[PERIOD]," 1, 2")/2=0,"",SUMIFS(Programplan[Block 4],Programplan[TERMIN],VALUE($A42),Programplan[PERIOD],$D42)+SUMIFS(Programplan[Block 4],Programplan[TERMIN],VALUE($A42),Programplan[PERIOD]," 1, 2")/2)</f>
        <v/>
      </c>
      <c r="I42" s="145"/>
      <c r="K42" s="2"/>
      <c r="L42" s="2"/>
      <c r="M42" s="2"/>
      <c r="Q42" s="57"/>
    </row>
    <row r="43" spans="1:18" ht="12" customHeight="1" x14ac:dyDescent="0.3">
      <c r="A43" s="243"/>
      <c r="B43" s="249"/>
      <c r="C43" s="252"/>
      <c r="D43" s="245"/>
      <c r="E43" s="245"/>
      <c r="F43" s="245"/>
      <c r="G43" s="245"/>
      <c r="H43" s="245"/>
      <c r="I43" s="145"/>
      <c r="K43" s="2"/>
      <c r="L43" s="2"/>
      <c r="M43" s="2"/>
      <c r="Q43" s="57"/>
    </row>
    <row r="44" spans="1:18" ht="12" customHeight="1" x14ac:dyDescent="0.3">
      <c r="A44" s="243"/>
      <c r="B44" s="249"/>
      <c r="C44" s="252"/>
      <c r="D44" s="245"/>
      <c r="E44" s="248"/>
      <c r="F44" s="248"/>
      <c r="G44" s="248"/>
      <c r="H44" s="248"/>
      <c r="I44" s="145"/>
      <c r="K44" s="2"/>
      <c r="L44" s="2"/>
      <c r="M44" s="2"/>
      <c r="Q44" s="57"/>
    </row>
    <row r="45" spans="1:18" ht="12" customHeight="1" x14ac:dyDescent="0.3">
      <c r="A45" s="243">
        <v>2</v>
      </c>
      <c r="B45" s="249"/>
      <c r="C45" s="253" t="s">
        <v>934</v>
      </c>
      <c r="D45" s="244">
        <v>2</v>
      </c>
      <c r="E45" s="245">
        <f>IF(SUMIFS(Programplan[Block 1],Programplan[TERMIN],VALUE($A45),Programplan[PERIOD],$D45)+SUMIFS(Programplan[Block 1],Programplan[TERMIN],VALUE($A45),Programplan[PERIOD]," 1, 2")/2=0,"",SUMIFS(Programplan[Block 1],Programplan[TERMIN],VALUE($A45),Programplan[PERIOD],$D45)+SUMIFS(Programplan[Block 1],Programplan[TERMIN],VALUE($A45),Programplan[PERIOD]," 1, 2")/2)</f>
        <v>0.5</v>
      </c>
      <c r="F45" s="245">
        <f>IF(SUMIFS(Programplan[Block 2],Programplan[TERMIN],VALUE($A45),Programplan[PERIOD],$D45)+SUMIFS(Programplan[Block 2],Programplan[TERMIN],VALUE($A45),Programplan[PERIOD]," 1, 2")/2=0,"",SUMIFS(Programplan[Block 2],Programplan[TERMIN],VALUE($A45),Programplan[PERIOD],$D45)+SUMIFS(Programplan[Block 2],Programplan[TERMIN],VALUE($A45),Programplan[PERIOD]," 1, 2")/2)</f>
        <v>1</v>
      </c>
      <c r="G45" s="245" t="str">
        <f>IF(SUMIFS(Programplan[Block 3],Programplan[TERMIN],VALUE($A45),Programplan[PERIOD],$D45)+SUMIFS(Programplan[Block 3],Programplan[TERMIN],VALUE($A45),Programplan[PERIOD]," 1, 2")/2=0,"",SUMIFS(Programplan[Block 3],Programplan[TERMIN],VALUE($A45),Programplan[PERIOD],$D45)+SUMIFS(Programplan[Block 3],Programplan[TERMIN],VALUE($A45),Programplan[PERIOD]," 1, 2")/2)</f>
        <v/>
      </c>
      <c r="H45" s="244" t="str">
        <f>IF(SUMIFS(Programplan[Block 4],Programplan[TERMIN],VALUE($A45),Programplan[PERIOD],$D45)+SUMIFS(Programplan[Block 4],Programplan[TERMIN],VALUE($A45),Programplan[PERIOD]," 1, 2")/2=0,"",SUMIFS(Programplan[Block 4],Programplan[TERMIN],VALUE($A45),Programplan[PERIOD],$D45)+SUMIFS(Programplan[Block 4],Programplan[TERMIN],VALUE($A45),Programplan[PERIOD]," 1, 2")/2)</f>
        <v/>
      </c>
      <c r="I45" s="145"/>
      <c r="K45" s="2"/>
      <c r="L45" s="2"/>
      <c r="M45" s="2"/>
      <c r="Q45" s="57"/>
    </row>
    <row r="46" spans="1:18" ht="12" customHeight="1" x14ac:dyDescent="0.3">
      <c r="A46" s="243"/>
      <c r="B46" s="249"/>
      <c r="C46" s="252"/>
      <c r="D46" s="245"/>
      <c r="E46" s="245"/>
      <c r="F46" s="245"/>
      <c r="G46" s="245"/>
      <c r="H46" s="245"/>
      <c r="I46" s="145"/>
      <c r="K46" s="2"/>
      <c r="L46" s="2"/>
      <c r="M46" s="2"/>
      <c r="Q46" s="57"/>
    </row>
    <row r="47" spans="1:18" ht="12" customHeight="1" thickBot="1" x14ac:dyDescent="0.35">
      <c r="A47" s="243"/>
      <c r="B47" s="250"/>
      <c r="C47" s="254"/>
      <c r="D47" s="246"/>
      <c r="E47" s="246"/>
      <c r="F47" s="246"/>
      <c r="G47" s="246"/>
      <c r="H47" s="246"/>
      <c r="I47" s="145"/>
      <c r="K47" s="2"/>
      <c r="L47" s="2"/>
      <c r="M47" s="2"/>
      <c r="Q47" s="57"/>
    </row>
    <row r="48" spans="1:18" ht="12" customHeight="1" x14ac:dyDescent="0.3">
      <c r="A48" s="243">
        <v>3</v>
      </c>
      <c r="B48" s="249">
        <f>SUMIFS(Programplan[POÄNG],Programplan[TERMIN],$A48)-SUMIFS(Programplan[POÄNG],Programplan[TERMIN],$A48,Programplan[BETYG],"U")-SUMIFS(Programplan[POÄNG],Programplan[TERMIN],$A48,Programplan[BETYG],"")</f>
        <v>0</v>
      </c>
      <c r="C48" s="251" t="s">
        <v>934</v>
      </c>
      <c r="D48" s="247">
        <v>1</v>
      </c>
      <c r="E48" s="247">
        <f>IF(SUMIFS(Programplan[Block 1],Programplan[TERMIN],VALUE($A48),Programplan[PERIOD],$D48)+SUMIFS(Programplan[Block 1],Programplan[TERMIN],VALUE($A48),Programplan[PERIOD]," 1, 2")/2=0,"",SUMIFS(Programplan[Block 1],Programplan[TERMIN],VALUE($A48),Programplan[PERIOD],$D48)+SUMIFS(Programplan[Block 1],Programplan[TERMIN],VALUE($A48),Programplan[PERIOD]," 1, 2")/2)</f>
        <v>1.5</v>
      </c>
      <c r="F48" s="247" t="str">
        <f>IF(SUMIFS(Programplan[Block 2],Programplan[TERMIN],VALUE($A48),Programplan[PERIOD],$D48)+SUMIFS(Programplan[Block 2],Programplan[TERMIN],VALUE($A48),Programplan[PERIOD]," 1, 2")/2=0,"",SUMIFS(Programplan[Block 2],Programplan[TERMIN],VALUE($A48),Programplan[PERIOD],$D48)+SUMIFS(Programplan[Block 2],Programplan[TERMIN],VALUE($A48),Programplan[PERIOD]," 1, 2")/2)</f>
        <v/>
      </c>
      <c r="G48" s="247">
        <f>IF(SUMIFS(Programplan[Block 3],Programplan[TERMIN],VALUE($A48),Programplan[PERIOD],$D48)+SUMIFS(Programplan[Block 3],Programplan[TERMIN],VALUE($A48),Programplan[PERIOD]," 1, 2")/2=0,"",SUMIFS(Programplan[Block 3],Programplan[TERMIN],VALUE($A48),Programplan[PERIOD],$D48)+SUMIFS(Programplan[Block 3],Programplan[TERMIN],VALUE($A48),Programplan[PERIOD]," 1, 2")/2)</f>
        <v>0.5</v>
      </c>
      <c r="H48" s="245" t="str">
        <f>IF(SUMIFS(Programplan[Block 4],Programplan[TERMIN],VALUE($A48),Programplan[PERIOD],$D48)+SUMIFS(Programplan[Block 4],Programplan[TERMIN],VALUE($A48),Programplan[PERIOD]," 1, 2")/2=0,"",SUMIFS(Programplan[Block 4],Programplan[TERMIN],VALUE($A48),Programplan[PERIOD],$D48)+SUMIFS(Programplan[Block 4],Programplan[TERMIN],VALUE($A48),Programplan[PERIOD]," 1, 2")/2)</f>
        <v/>
      </c>
      <c r="I48" s="145"/>
      <c r="K48" s="2"/>
      <c r="L48" s="2"/>
      <c r="M48" s="2"/>
      <c r="Q48" s="57"/>
    </row>
    <row r="49" spans="1:17" ht="12" customHeight="1" x14ac:dyDescent="0.3">
      <c r="A49" s="243"/>
      <c r="B49" s="249"/>
      <c r="C49" s="252"/>
      <c r="D49" s="245"/>
      <c r="E49" s="245"/>
      <c r="F49" s="245"/>
      <c r="G49" s="245"/>
      <c r="H49" s="245"/>
      <c r="I49" s="145"/>
      <c r="K49" s="2"/>
      <c r="L49" s="2"/>
      <c r="M49" s="2"/>
      <c r="Q49" s="57"/>
    </row>
    <row r="50" spans="1:17" ht="12" customHeight="1" x14ac:dyDescent="0.3">
      <c r="A50" s="243"/>
      <c r="B50" s="249"/>
      <c r="C50" s="252"/>
      <c r="D50" s="245"/>
      <c r="E50" s="248"/>
      <c r="F50" s="248"/>
      <c r="G50" s="248"/>
      <c r="H50" s="248"/>
      <c r="I50" s="145"/>
      <c r="K50" s="2"/>
      <c r="L50" s="2"/>
      <c r="M50" s="2"/>
      <c r="Q50" s="57"/>
    </row>
    <row r="51" spans="1:17" ht="12" customHeight="1" x14ac:dyDescent="0.3">
      <c r="A51" s="243">
        <v>3</v>
      </c>
      <c r="B51" s="249"/>
      <c r="C51" s="253" t="s">
        <v>934</v>
      </c>
      <c r="D51" s="244">
        <v>2</v>
      </c>
      <c r="E51" s="245">
        <f>IF(SUMIFS(Programplan[Block 1],Programplan[TERMIN],VALUE($A51),Programplan[PERIOD],$D51)+SUMIFS(Programplan[Block 1],Programplan[TERMIN],VALUE($A51),Programplan[PERIOD]," 1, 2")/2=0,"",SUMIFS(Programplan[Block 1],Programplan[TERMIN],VALUE($A51),Programplan[PERIOD],$D51)+SUMIFS(Programplan[Block 1],Programplan[TERMIN],VALUE($A51),Programplan[PERIOD]," 1, 2")/2)</f>
        <v>0.5</v>
      </c>
      <c r="F51" s="245" t="str">
        <f>IF(SUMIFS(Programplan[Block 2],Programplan[TERMIN],VALUE($A51),Programplan[PERIOD],$D51)+SUMIFS(Programplan[Block 2],Programplan[TERMIN],VALUE($A51),Programplan[PERIOD]," 1, 2")/2=0,"",SUMIFS(Programplan[Block 2],Programplan[TERMIN],VALUE($A51),Programplan[PERIOD],$D51)+SUMIFS(Programplan[Block 2],Programplan[TERMIN],VALUE($A51),Programplan[PERIOD]," 1, 2")/2)</f>
        <v/>
      </c>
      <c r="G51" s="245">
        <f>IF(SUMIFS(Programplan[Block 3],Programplan[TERMIN],VALUE($A51),Programplan[PERIOD],$D51)+SUMIFS(Programplan[Block 3],Programplan[TERMIN],VALUE($A51),Programplan[PERIOD]," 1, 2")/2=0,"",SUMIFS(Programplan[Block 3],Programplan[TERMIN],VALUE($A51),Programplan[PERIOD],$D51)+SUMIFS(Programplan[Block 3],Programplan[TERMIN],VALUE($A51),Programplan[PERIOD]," 1, 2")/2)</f>
        <v>0.5</v>
      </c>
      <c r="H51" s="244" t="str">
        <f>IF(SUMIFS(Programplan[Block 4],Programplan[TERMIN],VALUE($A51),Programplan[PERIOD],$D51)+SUMIFS(Programplan[Block 4],Programplan[TERMIN],VALUE($A51),Programplan[PERIOD]," 1, 2")/2=0,"",SUMIFS(Programplan[Block 4],Programplan[TERMIN],VALUE($A51),Programplan[PERIOD],$D51)+SUMIFS(Programplan[Block 4],Programplan[TERMIN],VALUE($A51),Programplan[PERIOD]," 1, 2")/2)</f>
        <v/>
      </c>
      <c r="I51" s="145"/>
      <c r="Q51" s="57"/>
    </row>
    <row r="52" spans="1:17" ht="12" customHeight="1" x14ac:dyDescent="0.3">
      <c r="A52" s="243"/>
      <c r="B52" s="249"/>
      <c r="C52" s="252"/>
      <c r="D52" s="245"/>
      <c r="E52" s="245"/>
      <c r="F52" s="245"/>
      <c r="G52" s="245"/>
      <c r="H52" s="245"/>
      <c r="I52" s="145"/>
      <c r="Q52" s="57"/>
    </row>
    <row r="53" spans="1:17" ht="12" customHeight="1" thickBot="1" x14ac:dyDescent="0.35">
      <c r="A53" s="243"/>
      <c r="B53" s="250"/>
      <c r="C53" s="254"/>
      <c r="D53" s="246"/>
      <c r="E53" s="246"/>
      <c r="F53" s="246"/>
      <c r="G53" s="246"/>
      <c r="H53" s="246"/>
      <c r="I53" s="145"/>
      <c r="Q53" s="57"/>
    </row>
    <row r="54" spans="1:17" ht="12" customHeight="1" x14ac:dyDescent="0.3">
      <c r="A54" s="243">
        <v>4</v>
      </c>
      <c r="B54" s="249">
        <f>SUMIFS(Programplan[POÄNG],Programplan[TERMIN],$A54)-SUMIFS(Programplan[POÄNG],Programplan[TERMIN],$A54,Programplan[BETYG],"U")-SUMIFS(Programplan[POÄNG],Programplan[TERMIN],$A54,Programplan[BETYG],"")</f>
        <v>0</v>
      </c>
      <c r="C54" s="251" t="s">
        <v>934</v>
      </c>
      <c r="D54" s="247">
        <v>1</v>
      </c>
      <c r="E54" s="247" t="str">
        <f>IF(SUMIFS(Programplan[Block 1],Programplan[TERMIN],VALUE($A54),Programplan[PERIOD],$D54)+SUMIFS(Programplan[Block 1],Programplan[TERMIN],VALUE($A54),Programplan[PERIOD]," 1, 2")/2=0,"",SUMIFS(Programplan[Block 1],Programplan[TERMIN],VALUE($A54),Programplan[PERIOD],$D54)+SUMIFS(Programplan[Block 1],Programplan[TERMIN],VALUE($A54),Programplan[PERIOD]," 1, 2")/2)</f>
        <v/>
      </c>
      <c r="F54" s="247" t="str">
        <f>IF(SUMIFS(Programplan[Block 2],Programplan[TERMIN],VALUE($A54),Programplan[PERIOD],$D54)+SUMIFS(Programplan[Block 2],Programplan[TERMIN],VALUE($A54),Programplan[PERIOD]," 1, 2")/2=0,"",SUMIFS(Programplan[Block 2],Programplan[TERMIN],VALUE($A54),Programplan[PERIOD],$D54)+SUMIFS(Programplan[Block 2],Programplan[TERMIN],VALUE($A54),Programplan[PERIOD]," 1, 2")/2)</f>
        <v/>
      </c>
      <c r="G54" s="247" t="str">
        <f>IF(SUMIFS(Programplan[Block 3],Programplan[TERMIN],VALUE($A54),Programplan[PERIOD],$D54)+SUMIFS(Programplan[Block 3],Programplan[TERMIN],VALUE($A54),Programplan[PERIOD]," 1, 2")/2=0,"",SUMIFS(Programplan[Block 3],Programplan[TERMIN],VALUE($A54),Programplan[PERIOD],$D54)+SUMIFS(Programplan[Block 3],Programplan[TERMIN],VALUE($A54),Programplan[PERIOD]," 1, 2")/2)</f>
        <v/>
      </c>
      <c r="H54" s="245" t="str">
        <f>IF(SUMIFS(Programplan[Block 4],Programplan[TERMIN],VALUE($A54),Programplan[PERIOD],$D54)+SUMIFS(Programplan[Block 4],Programplan[TERMIN],VALUE($A54),Programplan[PERIOD]," 1, 2")/2=0,"",SUMIFS(Programplan[Block 4],Programplan[TERMIN],VALUE($A54),Programplan[PERIOD],$D54)+SUMIFS(Programplan[Block 4],Programplan[TERMIN],VALUE($A54),Programplan[PERIOD]," 1, 2")/2)</f>
        <v/>
      </c>
      <c r="I54" s="145"/>
      <c r="P54" s="144"/>
      <c r="Q54" s="57"/>
    </row>
    <row r="55" spans="1:17" ht="12" customHeight="1" x14ac:dyDescent="0.3">
      <c r="A55" s="243"/>
      <c r="B55" s="249"/>
      <c r="C55" s="252"/>
      <c r="D55" s="245"/>
      <c r="E55" s="245"/>
      <c r="F55" s="245"/>
      <c r="G55" s="245"/>
      <c r="H55" s="245"/>
      <c r="I55" s="145"/>
      <c r="P55" s="7"/>
      <c r="Q55" s="57"/>
    </row>
    <row r="56" spans="1:17" ht="12" customHeight="1" x14ac:dyDescent="0.3">
      <c r="A56" s="243"/>
      <c r="B56" s="249"/>
      <c r="C56" s="252"/>
      <c r="D56" s="245"/>
      <c r="E56" s="248"/>
      <c r="F56" s="248"/>
      <c r="G56" s="248"/>
      <c r="H56" s="248"/>
      <c r="I56" s="145"/>
      <c r="P56" s="144"/>
      <c r="Q56" s="57"/>
    </row>
    <row r="57" spans="1:17" ht="12" customHeight="1" x14ac:dyDescent="0.3">
      <c r="A57" s="243">
        <v>4</v>
      </c>
      <c r="B57" s="249"/>
      <c r="C57" s="253" t="s">
        <v>934</v>
      </c>
      <c r="D57" s="244">
        <v>2</v>
      </c>
      <c r="E57" s="245" t="str">
        <f>IF(SUMIFS(Programplan[Block 1],Programplan[TERMIN],VALUE($A57),Programplan[PERIOD],$D57)+SUMIFS(Programplan[Block 1],Programplan[TERMIN],VALUE($A57),Programplan[PERIOD]," 1, 2")/2=0,"",SUMIFS(Programplan[Block 1],Programplan[TERMIN],VALUE($A57),Programplan[PERIOD],$D57)+SUMIFS(Programplan[Block 1],Programplan[TERMIN],VALUE($A57),Programplan[PERIOD]," 1, 2")/2)</f>
        <v/>
      </c>
      <c r="F57" s="245" t="str">
        <f>IF(SUMIFS(Programplan[Block 2],Programplan[TERMIN],VALUE($A57),Programplan[PERIOD],$D57)+SUMIFS(Programplan[Block 2],Programplan[TERMIN],VALUE($A57),Programplan[PERIOD]," 1, 2")/2=0,"",SUMIFS(Programplan[Block 2],Programplan[TERMIN],VALUE($A57),Programplan[PERIOD],$D57)+SUMIFS(Programplan[Block 2],Programplan[TERMIN],VALUE($A57),Programplan[PERIOD]," 1, 2")/2)</f>
        <v/>
      </c>
      <c r="G57" s="245" t="str">
        <f>IF(SUMIFS(Programplan[Block 3],Programplan[TERMIN],VALUE($A57),Programplan[PERIOD],$D57)+SUMIFS(Programplan[Block 3],Programplan[TERMIN],VALUE($A57),Programplan[PERIOD]," 1, 2")/2=0,"",SUMIFS(Programplan[Block 3],Programplan[TERMIN],VALUE($A57),Programplan[PERIOD],$D57)+SUMIFS(Programplan[Block 3],Programplan[TERMIN],VALUE($A57),Programplan[PERIOD]," 1, 2")/2)</f>
        <v/>
      </c>
      <c r="H57" s="244" t="str">
        <f>IF(SUMIFS(Programplan[Block 4],Programplan[TERMIN],VALUE($A57),Programplan[PERIOD],$D57)+SUMIFS(Programplan[Block 4],Programplan[TERMIN],VALUE($A57),Programplan[PERIOD]," 1, 2")/2=0,"",SUMIFS(Programplan[Block 4],Programplan[TERMIN],VALUE($A57),Programplan[PERIOD],$D57)+SUMIFS(Programplan[Block 4],Programplan[TERMIN],VALUE($A57),Programplan[PERIOD]," 1, 2")/2)</f>
        <v/>
      </c>
      <c r="I57" s="145"/>
      <c r="P57" s="144"/>
      <c r="Q57" s="57"/>
    </row>
    <row r="58" spans="1:17" ht="12" customHeight="1" x14ac:dyDescent="0.3">
      <c r="A58" s="243"/>
      <c r="B58" s="249"/>
      <c r="C58" s="252"/>
      <c r="D58" s="245"/>
      <c r="E58" s="245"/>
      <c r="F58" s="245"/>
      <c r="G58" s="245"/>
      <c r="H58" s="245"/>
      <c r="I58" s="145"/>
      <c r="P58" s="7"/>
      <c r="Q58" s="57"/>
    </row>
    <row r="59" spans="1:17" ht="12" customHeight="1" thickBot="1" x14ac:dyDescent="0.35">
      <c r="A59" s="243"/>
      <c r="B59" s="250"/>
      <c r="C59" s="254"/>
      <c r="D59" s="246"/>
      <c r="E59" s="246"/>
      <c r="F59" s="246"/>
      <c r="G59" s="246"/>
      <c r="H59" s="246"/>
      <c r="I59" s="145"/>
      <c r="P59" s="144"/>
      <c r="Q59" s="57"/>
    </row>
    <row r="60" spans="1:17" ht="12" customHeight="1" x14ac:dyDescent="0.3">
      <c r="A60" s="243">
        <v>5</v>
      </c>
      <c r="B60" s="249">
        <f>SUMIFS(Programplan[POÄNG],Programplan[TERMIN],$A60)-SUMIFS(Programplan[POÄNG],Programplan[TERMIN],$A60,Programplan[BETYG],"U")-SUMIFS(Programplan[POÄNG],Programplan[TERMIN],$A60,Programplan[BETYG],"")</f>
        <v>0</v>
      </c>
      <c r="C60" s="251" t="s">
        <v>934</v>
      </c>
      <c r="D60" s="247">
        <v>1</v>
      </c>
      <c r="E60" s="247" t="str">
        <f>IF(SUMIFS(Programplan[Block 1],Programplan[TERMIN],VALUE($A60),Programplan[PERIOD],$D60)+SUMIFS(Programplan[Block 1],Programplan[TERMIN],VALUE($A60),Programplan[PERIOD]," 1, 2")/2=0,"",SUMIFS(Programplan[Block 1],Programplan[TERMIN],VALUE($A60),Programplan[PERIOD],$D60)+SUMIFS(Programplan[Block 1],Programplan[TERMIN],VALUE($A60),Programplan[PERIOD]," 1, 2")/2)</f>
        <v/>
      </c>
      <c r="F60" s="247" t="str">
        <f>IF(SUMIFS(Programplan[Block 2],Programplan[TERMIN],VALUE($A60),Programplan[PERIOD],$D60)+SUMIFS(Programplan[Block 2],Programplan[TERMIN],VALUE($A60),Programplan[PERIOD]," 1, 2")/2=0,"",SUMIFS(Programplan[Block 2],Programplan[TERMIN],VALUE($A60),Programplan[PERIOD],$D60)+SUMIFS(Programplan[Block 2],Programplan[TERMIN],VALUE($A60),Programplan[PERIOD]," 1, 2")/2)</f>
        <v/>
      </c>
      <c r="G60" s="247" t="str">
        <f>IF(SUMIFS(Programplan[Block 3],Programplan[TERMIN],VALUE($A60),Programplan[PERIOD],$D60)+SUMIFS(Programplan[Block 3],Programplan[TERMIN],VALUE($A60),Programplan[PERIOD]," 1, 2")/2=0,"",SUMIFS(Programplan[Block 3],Programplan[TERMIN],VALUE($A60),Programplan[PERIOD],$D60)+SUMIFS(Programplan[Block 3],Programplan[TERMIN],VALUE($A60),Programplan[PERIOD]," 1, 2")/2)</f>
        <v/>
      </c>
      <c r="H60" s="245" t="str">
        <f>IF(SUMIFS(Programplan[Block 4],Programplan[TERMIN],VALUE($A60),Programplan[PERIOD],$D60)+SUMIFS(Programplan[Block 4],Programplan[TERMIN],VALUE($A60),Programplan[PERIOD]," 1, 2")/2=0,"",SUMIFS(Programplan[Block 4],Programplan[TERMIN],VALUE($A60),Programplan[PERIOD],$D60)+SUMIFS(Programplan[Block 4],Programplan[TERMIN],VALUE($A60),Programplan[PERIOD]," 1, 2")/2)</f>
        <v/>
      </c>
      <c r="P60" s="37"/>
      <c r="Q60" s="57"/>
    </row>
    <row r="61" spans="1:17" ht="12" customHeight="1" x14ac:dyDescent="0.3">
      <c r="A61" s="243"/>
      <c r="B61" s="249"/>
      <c r="C61" s="252"/>
      <c r="D61" s="245"/>
      <c r="E61" s="245"/>
      <c r="F61" s="245"/>
      <c r="G61" s="245"/>
      <c r="H61" s="245"/>
      <c r="P61" s="7"/>
      <c r="Q61" s="57"/>
    </row>
    <row r="62" spans="1:17" ht="12" customHeight="1" x14ac:dyDescent="0.3">
      <c r="A62" s="243"/>
      <c r="B62" s="249"/>
      <c r="C62" s="252"/>
      <c r="D62" s="245"/>
      <c r="E62" s="248"/>
      <c r="F62" s="248"/>
      <c r="G62" s="248"/>
      <c r="H62" s="248"/>
      <c r="P62" s="144"/>
      <c r="Q62" s="57"/>
    </row>
    <row r="63" spans="1:17" ht="12" customHeight="1" x14ac:dyDescent="0.3">
      <c r="A63" s="243">
        <v>5</v>
      </c>
      <c r="B63" s="249"/>
      <c r="C63" s="253" t="s">
        <v>934</v>
      </c>
      <c r="D63" s="244">
        <v>2</v>
      </c>
      <c r="E63" s="245" t="str">
        <f>IF(SUMIFS(Programplan[Block 1],Programplan[TERMIN],VALUE($A63),Programplan[PERIOD],$D63)+SUMIFS(Programplan[Block 1],Programplan[TERMIN],VALUE($A63),Programplan[PERIOD]," 1, 2")/2=0,"",SUMIFS(Programplan[Block 1],Programplan[TERMIN],VALUE($A63),Programplan[PERIOD],$D63)+SUMIFS(Programplan[Block 1],Programplan[TERMIN],VALUE($A63),Programplan[PERIOD]," 1, 2")/2)</f>
        <v/>
      </c>
      <c r="F63" s="245" t="str">
        <f>IF(SUMIFS(Programplan[Block 2],Programplan[TERMIN],VALUE($A63),Programplan[PERIOD],$D63)+SUMIFS(Programplan[Block 2],Programplan[TERMIN],VALUE($A63),Programplan[PERIOD]," 1, 2")/2=0,"",SUMIFS(Programplan[Block 2],Programplan[TERMIN],VALUE($A63),Programplan[PERIOD],$D63)+SUMIFS(Programplan[Block 2],Programplan[TERMIN],VALUE($A63),Programplan[PERIOD]," 1, 2")/2)</f>
        <v/>
      </c>
      <c r="G63" s="245" t="str">
        <f>IF(SUMIFS(Programplan[Block 3],Programplan[TERMIN],VALUE($A63),Programplan[PERIOD],$D63)+SUMIFS(Programplan[Block 3],Programplan[TERMIN],VALUE($A63),Programplan[PERIOD]," 1, 2")/2=0,"",SUMIFS(Programplan[Block 3],Programplan[TERMIN],VALUE($A63),Programplan[PERIOD],$D63)+SUMIFS(Programplan[Block 3],Programplan[TERMIN],VALUE($A63),Programplan[PERIOD]," 1, 2")/2)</f>
        <v/>
      </c>
      <c r="H63" s="244" t="str">
        <f>IF(SUMIFS(Programplan[Block 4],Programplan[TERMIN],VALUE($A63),Programplan[PERIOD],$D63)+SUMIFS(Programplan[Block 4],Programplan[TERMIN],VALUE($A63),Programplan[PERIOD]," 1, 2")/2=0,"",SUMIFS(Programplan[Block 4],Programplan[TERMIN],VALUE($A63),Programplan[PERIOD],$D63)+SUMIFS(Programplan[Block 4],Programplan[TERMIN],VALUE($A63),Programplan[PERIOD]," 1, 2")/2)</f>
        <v/>
      </c>
      <c r="P63" s="144"/>
      <c r="Q63" s="57"/>
    </row>
    <row r="64" spans="1:17" ht="12" customHeight="1" x14ac:dyDescent="0.3">
      <c r="A64" s="243"/>
      <c r="B64" s="249"/>
      <c r="C64" s="252"/>
      <c r="D64" s="245"/>
      <c r="E64" s="245"/>
      <c r="F64" s="245"/>
      <c r="G64" s="245"/>
      <c r="H64" s="245"/>
      <c r="P64" s="7"/>
      <c r="Q64" s="57"/>
    </row>
    <row r="65" spans="1:17" ht="12" customHeight="1" thickBot="1" x14ac:dyDescent="0.35">
      <c r="A65" s="243"/>
      <c r="B65" s="250"/>
      <c r="C65" s="254"/>
      <c r="D65" s="246"/>
      <c r="E65" s="246"/>
      <c r="F65" s="246"/>
      <c r="G65" s="246"/>
      <c r="H65" s="246"/>
      <c r="P65" s="144"/>
      <c r="Q65" s="57"/>
    </row>
    <row r="66" spans="1:17" ht="12" customHeight="1" x14ac:dyDescent="0.3">
      <c r="A66" s="243">
        <v>6</v>
      </c>
      <c r="B66" s="249">
        <f>SUMIFS(Programplan[POÄNG],Programplan[TERMIN],$A66)-SUMIFS(Programplan[POÄNG],Programplan[TERMIN],$A66,Programplan[BETYG],"U")-SUMIFS(Programplan[POÄNG],Programplan[TERMIN],$A66,Programplan[BETYG],"")</f>
        <v>0</v>
      </c>
      <c r="C66" s="251" t="s">
        <v>934</v>
      </c>
      <c r="D66" s="247">
        <v>1</v>
      </c>
      <c r="E66" s="247" t="str">
        <f>IF(SUMIFS(Programplan[Block 1],Programplan[TERMIN],VALUE($A66),Programplan[PERIOD],$D66)+SUMIFS(Programplan[Block 1],Programplan[TERMIN],VALUE($A66),Programplan[PERIOD]," 1, 2")/2=0,"",SUMIFS(Programplan[Block 1],Programplan[TERMIN],VALUE($A66),Programplan[PERIOD],$D66)+SUMIFS(Programplan[Block 1],Programplan[TERMIN],VALUE($A66),Programplan[PERIOD]," 1, 2")/2)</f>
        <v/>
      </c>
      <c r="F66" s="247" t="str">
        <f>IF(SUMIFS(Programplan[Block 2],Programplan[TERMIN],VALUE($A66),Programplan[PERIOD],$D66)+SUMIFS(Programplan[Block 2],Programplan[TERMIN],VALUE($A66),Programplan[PERIOD]," 1, 2")/2=0,"",SUMIFS(Programplan[Block 2],Programplan[TERMIN],VALUE($A66),Programplan[PERIOD],$D66)+SUMIFS(Programplan[Block 2],Programplan[TERMIN],VALUE($A66),Programplan[PERIOD]," 1, 2")/2)</f>
        <v/>
      </c>
      <c r="G66" s="247" t="str">
        <f>IF(SUMIFS(Programplan[Block 3],Programplan[TERMIN],VALUE($A66),Programplan[PERIOD],$D66)+SUMIFS(Programplan[Block 3],Programplan[TERMIN],VALUE($A66),Programplan[PERIOD]," 1, 2")/2=0,"",SUMIFS(Programplan[Block 3],Programplan[TERMIN],VALUE($A66),Programplan[PERIOD],$D66)+SUMIFS(Programplan[Block 3],Programplan[TERMIN],VALUE($A66),Programplan[PERIOD]," 1, 2")/2)</f>
        <v/>
      </c>
      <c r="H66" s="245" t="str">
        <f>IF(SUMIFS(Programplan[Block 4],Programplan[TERMIN],VALUE($A66),Programplan[PERIOD],$D66)+SUMIFS(Programplan[Block 4],Programplan[TERMIN],VALUE($A66),Programplan[PERIOD]," 1, 2")/2=0,"",SUMIFS(Programplan[Block 4],Programplan[TERMIN],VALUE($A66),Programplan[PERIOD],$D66)+SUMIFS(Programplan[Block 4],Programplan[TERMIN],VALUE($A66),Programplan[PERIOD]," 1, 2")/2)</f>
        <v/>
      </c>
      <c r="P66" s="7"/>
      <c r="Q66" s="57"/>
    </row>
    <row r="67" spans="1:17" ht="12" customHeight="1" x14ac:dyDescent="0.3">
      <c r="A67" s="243"/>
      <c r="B67" s="249"/>
      <c r="C67" s="252"/>
      <c r="D67" s="245"/>
      <c r="E67" s="245"/>
      <c r="F67" s="245"/>
      <c r="G67" s="245"/>
      <c r="H67" s="245"/>
      <c r="P67" s="144"/>
      <c r="Q67" s="57"/>
    </row>
    <row r="68" spans="1:17" ht="12" customHeight="1" x14ac:dyDescent="0.3">
      <c r="A68" s="243"/>
      <c r="B68" s="249"/>
      <c r="C68" s="252"/>
      <c r="D68" s="245"/>
      <c r="E68" s="248"/>
      <c r="F68" s="248"/>
      <c r="G68" s="248"/>
      <c r="H68" s="248"/>
      <c r="P68" s="37"/>
      <c r="Q68" s="57"/>
    </row>
    <row r="69" spans="1:17" ht="12" customHeight="1" x14ac:dyDescent="0.3">
      <c r="A69" s="243">
        <v>6</v>
      </c>
      <c r="B69" s="249"/>
      <c r="C69" s="253" t="s">
        <v>934</v>
      </c>
      <c r="D69" s="244">
        <v>2</v>
      </c>
      <c r="E69" s="245" t="str">
        <f>IF(SUMIFS(Programplan[Block 1],Programplan[TERMIN],VALUE($A69),Programplan[PERIOD],$D69)+SUMIFS(Programplan[Block 1],Programplan[TERMIN],VALUE($A69),Programplan[PERIOD]," 1, 2")/2=0,"",SUMIFS(Programplan[Block 1],Programplan[TERMIN],VALUE($A69),Programplan[PERIOD],$D69)+SUMIFS(Programplan[Block 1],Programplan[TERMIN],VALUE($A69),Programplan[PERIOD]," 1, 2")/2)</f>
        <v/>
      </c>
      <c r="F69" s="245">
        <f>IF(SUMIFS(Programplan[Block 2],Programplan[TERMIN],VALUE($A69),Programplan[PERIOD],$D69)+SUMIFS(Programplan[Block 2],Programplan[TERMIN],VALUE($A69),Programplan[PERIOD]," 1, 2")/2=0,"",SUMIFS(Programplan[Block 2],Programplan[TERMIN],VALUE($A69),Programplan[PERIOD],$D69)+SUMIFS(Programplan[Block 2],Programplan[TERMIN],VALUE($A69),Programplan[PERIOD]," 1, 2")/2)</f>
        <v>1</v>
      </c>
      <c r="G69" s="245" t="str">
        <f>IF(SUMIFS(Programplan[Block 3],Programplan[TERMIN],VALUE($A69),Programplan[PERIOD],$D69)+SUMIFS(Programplan[Block 3],Programplan[TERMIN],VALUE($A69),Programplan[PERIOD]," 1, 2")/2=0,"",SUMIFS(Programplan[Block 3],Programplan[TERMIN],VALUE($A69),Programplan[PERIOD],$D69)+SUMIFS(Programplan[Block 3],Programplan[TERMIN],VALUE($A69),Programplan[PERIOD]," 1, 2")/2)</f>
        <v/>
      </c>
      <c r="H69" s="244" t="str">
        <f>IF(SUMIFS(Programplan[Block 4],Programplan[TERMIN],VALUE($A69),Programplan[PERIOD],$D69)+SUMIFS(Programplan[Block 4],Programplan[TERMIN],VALUE($A69),Programplan[PERIOD]," 1, 2")/2=0,"",SUMIFS(Programplan[Block 4],Programplan[TERMIN],VALUE($A69),Programplan[PERIOD],$D69)+SUMIFS(Programplan[Block 4],Programplan[TERMIN],VALUE($A69),Programplan[PERIOD]," 1, 2")/2)</f>
        <v/>
      </c>
      <c r="P69" s="7"/>
      <c r="Q69" s="57"/>
    </row>
    <row r="70" spans="1:17" ht="12" customHeight="1" x14ac:dyDescent="0.3">
      <c r="A70" s="243"/>
      <c r="B70" s="249"/>
      <c r="C70" s="252"/>
      <c r="D70" s="245"/>
      <c r="E70" s="245"/>
      <c r="F70" s="245"/>
      <c r="G70" s="245"/>
      <c r="H70" s="245"/>
      <c r="P70" s="144"/>
      <c r="Q70" s="57"/>
    </row>
    <row r="71" spans="1:17" ht="12" customHeight="1" thickBot="1" x14ac:dyDescent="0.35">
      <c r="A71" s="243"/>
      <c r="B71" s="250"/>
      <c r="C71" s="254"/>
      <c r="D71" s="246"/>
      <c r="E71" s="246"/>
      <c r="F71" s="246"/>
      <c r="G71" s="246"/>
      <c r="H71" s="246"/>
      <c r="P71" s="7"/>
      <c r="Q71" s="57"/>
    </row>
    <row r="72" spans="1:17" ht="12" customHeight="1" x14ac:dyDescent="0.3">
      <c r="A72" s="243">
        <v>7</v>
      </c>
      <c r="B72" s="249">
        <f>SUMIFS(Programplan[POÄNG],Programplan[TERMIN],$A72)-SUMIFS(Programplan[POÄNG],Programplan[TERMIN],$A72,Programplan[BETYG],"U")-SUMIFS(Programplan[POÄNG],Programplan[TERMIN],$A72,Programplan[BETYG],"")</f>
        <v>6</v>
      </c>
      <c r="C72" s="251" t="s">
        <v>934</v>
      </c>
      <c r="D72" s="247">
        <v>1</v>
      </c>
      <c r="E72" s="247" t="str">
        <f>IF(SUMIFS(Programplan[Block 1],Programplan[TERMIN],VALUE($A72),Programplan[PERIOD],$D72)+SUMIFS(Programplan[Block 1],Programplan[TERMIN],VALUE($A72),Programplan[PERIOD]," 1, 2")/2=0,"",SUMIFS(Programplan[Block 1],Programplan[TERMIN],VALUE($A72),Programplan[PERIOD],$D72)+SUMIFS(Programplan[Block 1],Programplan[TERMIN],VALUE($A72),Programplan[PERIOD]," 1, 2")/2)</f>
        <v/>
      </c>
      <c r="F72" s="247" t="str">
        <f>IF(SUMIFS(Programplan[Block 2],Programplan[TERMIN],VALUE($A72),Programplan[PERIOD],$D72)+SUMIFS(Programplan[Block 2],Programplan[TERMIN],VALUE($A72),Programplan[PERIOD]," 1, 2")/2=0,"",SUMIFS(Programplan[Block 2],Programplan[TERMIN],VALUE($A72),Programplan[PERIOD],$D72)+SUMIFS(Programplan[Block 2],Programplan[TERMIN],VALUE($A72),Programplan[PERIOD]," 1, 2")/2)</f>
        <v/>
      </c>
      <c r="G72" s="247" t="str">
        <f>IF(SUMIFS(Programplan[Block 3],Programplan[TERMIN],VALUE($A72),Programplan[PERIOD],$D72)+SUMIFS(Programplan[Block 3],Programplan[TERMIN],VALUE($A72),Programplan[PERIOD]," 1, 2")/2=0,"",SUMIFS(Programplan[Block 3],Programplan[TERMIN],VALUE($A72),Programplan[PERIOD],$D72)+SUMIFS(Programplan[Block 3],Programplan[TERMIN],VALUE($A72),Programplan[PERIOD]," 1, 2")/2)</f>
        <v/>
      </c>
      <c r="H72" s="245" t="str">
        <f>IF(SUMIFS(Programplan[Block 4],Programplan[TERMIN],VALUE($A72),Programplan[PERIOD],$D72)+SUMIFS(Programplan[Block 4],Programplan[TERMIN],VALUE($A72),Programplan[PERIOD]," 1, 2")/2=0,"",SUMIFS(Programplan[Block 4],Programplan[TERMIN],VALUE($A72),Programplan[PERIOD],$D72)+SUMIFS(Programplan[Block 4],Programplan[TERMIN],VALUE($A72),Programplan[PERIOD]," 1, 2")/2)</f>
        <v/>
      </c>
    </row>
    <row r="73" spans="1:17" ht="12" customHeight="1" x14ac:dyDescent="0.3">
      <c r="A73" s="243"/>
      <c r="B73" s="249"/>
      <c r="C73" s="252"/>
      <c r="D73" s="245"/>
      <c r="E73" s="245"/>
      <c r="F73" s="245"/>
      <c r="G73" s="245"/>
      <c r="H73" s="245"/>
    </row>
    <row r="74" spans="1:17" ht="12" customHeight="1" x14ac:dyDescent="0.3">
      <c r="A74" s="243"/>
      <c r="B74" s="249"/>
      <c r="C74" s="252"/>
      <c r="D74" s="245"/>
      <c r="E74" s="248"/>
      <c r="F74" s="248"/>
      <c r="G74" s="248"/>
      <c r="H74" s="248"/>
    </row>
    <row r="75" spans="1:17" ht="12" customHeight="1" x14ac:dyDescent="0.3">
      <c r="A75" s="243">
        <v>7</v>
      </c>
      <c r="B75" s="249"/>
      <c r="C75" s="253" t="s">
        <v>934</v>
      </c>
      <c r="D75" s="244">
        <v>2</v>
      </c>
      <c r="E75" s="245" t="str">
        <f>IF(SUMIFS(Programplan[Block 1],Programplan[TERMIN],VALUE($A75),Programplan[PERIOD],$D75)+SUMIFS(Programplan[Block 1],Programplan[TERMIN],VALUE($A75),Programplan[PERIOD]," 1, 2")/2=0,"",SUMIFS(Programplan[Block 1],Programplan[TERMIN],VALUE($A75),Programplan[PERIOD],$D75)+SUMIFS(Programplan[Block 1],Programplan[TERMIN],VALUE($A75),Programplan[PERIOD]," 1, 2")/2)</f>
        <v/>
      </c>
      <c r="F75" s="245" t="str">
        <f>IF(SUMIFS(Programplan[Block 2],Programplan[TERMIN],VALUE($A75),Programplan[PERIOD],$D75)+SUMIFS(Programplan[Block 2],Programplan[TERMIN],VALUE($A75),Programplan[PERIOD]," 1, 2")/2=0,"",SUMIFS(Programplan[Block 2],Programplan[TERMIN],VALUE($A75),Programplan[PERIOD],$D75)+SUMIFS(Programplan[Block 2],Programplan[TERMIN],VALUE($A75),Programplan[PERIOD]," 1, 2")/2)</f>
        <v/>
      </c>
      <c r="G75" s="245" t="str">
        <f>IF(SUMIFS(Programplan[Block 3],Programplan[TERMIN],VALUE($A75),Programplan[PERIOD],$D75)+SUMIFS(Programplan[Block 3],Programplan[TERMIN],VALUE($A75),Programplan[PERIOD]," 1, 2")/2=0,"",SUMIFS(Programplan[Block 3],Programplan[TERMIN],VALUE($A75),Programplan[PERIOD],$D75)+SUMIFS(Programplan[Block 3],Programplan[TERMIN],VALUE($A75),Programplan[PERIOD]," 1, 2")/2)</f>
        <v/>
      </c>
      <c r="H75" s="244" t="str">
        <f>IF(SUMIFS(Programplan[Block 4],Programplan[TERMIN],VALUE($A75),Programplan[PERIOD],$D75)+SUMIFS(Programplan[Block 4],Programplan[TERMIN],VALUE($A75),Programplan[PERIOD]," 1, 2")/2=0,"",SUMIFS(Programplan[Block 4],Programplan[TERMIN],VALUE($A75),Programplan[PERIOD],$D75)+SUMIFS(Programplan[Block 4],Programplan[TERMIN],VALUE($A75),Programplan[PERIOD]," 1, 2")/2)</f>
        <v/>
      </c>
    </row>
    <row r="76" spans="1:17" ht="12" customHeight="1" x14ac:dyDescent="0.3">
      <c r="A76" s="243"/>
      <c r="B76" s="249"/>
      <c r="C76" s="252"/>
      <c r="D76" s="245"/>
      <c r="E76" s="245"/>
      <c r="F76" s="245"/>
      <c r="G76" s="245"/>
      <c r="H76" s="245"/>
    </row>
    <row r="77" spans="1:17" ht="12" customHeight="1" thickBot="1" x14ac:dyDescent="0.35">
      <c r="A77" s="243"/>
      <c r="B77" s="250"/>
      <c r="C77" s="254"/>
      <c r="D77" s="246"/>
      <c r="E77" s="246"/>
      <c r="F77" s="246"/>
      <c r="G77" s="246"/>
      <c r="H77" s="246"/>
    </row>
    <row r="78" spans="1:17" ht="12" customHeight="1" x14ac:dyDescent="0.3">
      <c r="A78" s="243">
        <v>8</v>
      </c>
      <c r="B78" s="249">
        <f>SUMIFS(Programplan[POÄNG],Programplan[TERMIN],$A78)-SUMIFS(Programplan[POÄNG],Programplan[TERMIN],$A78,Programplan[BETYG],"U")-SUMIFS(Programplan[POÄNG],Programplan[TERMIN],$A78,Programplan[BETYG],"")</f>
        <v>0</v>
      </c>
      <c r="C78" s="251" t="s">
        <v>934</v>
      </c>
      <c r="D78" s="247">
        <v>1</v>
      </c>
      <c r="E78" s="247" t="str">
        <f>IF(SUMIFS(Programplan[Block 1],Programplan[TERMIN],VALUE($A78),Programplan[PERIOD],$D78)+SUMIFS(Programplan[Block 1],Programplan[TERMIN],VALUE($A78),Programplan[PERIOD]," 1, 2")/2=0,"",SUMIFS(Programplan[Block 1],Programplan[TERMIN],VALUE($A78),Programplan[PERIOD],$D78)+SUMIFS(Programplan[Block 1],Programplan[TERMIN],VALUE($A78),Programplan[PERIOD]," 1, 2")/2)</f>
        <v/>
      </c>
      <c r="F78" s="247" t="str">
        <f>IF(SUMIFS(Programplan[Block 2],Programplan[TERMIN],VALUE($A78),Programplan[PERIOD],$D78)+SUMIFS(Programplan[Block 2],Programplan[TERMIN],VALUE($A78),Programplan[PERIOD]," 1, 2")/2=0,"",SUMIFS(Programplan[Block 2],Programplan[TERMIN],VALUE($A78),Programplan[PERIOD],$D78)+SUMIFS(Programplan[Block 2],Programplan[TERMIN],VALUE($A78),Programplan[PERIOD]," 1, 2")/2)</f>
        <v/>
      </c>
      <c r="G78" s="247" t="str">
        <f>IF(SUMIFS(Programplan[Block 3],Programplan[TERMIN],VALUE($A78),Programplan[PERIOD],$D78)+SUMIFS(Programplan[Block 3],Programplan[TERMIN],VALUE($A78),Programplan[PERIOD]," 1, 2")/2=0,"",SUMIFS(Programplan[Block 3],Programplan[TERMIN],VALUE($A78),Programplan[PERIOD],$D78)+SUMIFS(Programplan[Block 3],Programplan[TERMIN],VALUE($A78),Programplan[PERIOD]," 1, 2")/2)</f>
        <v/>
      </c>
      <c r="H78" s="245" t="str">
        <f>IF(SUMIFS(Programplan[Block 4],Programplan[TERMIN],VALUE($A78),Programplan[PERIOD],$D78)+SUMIFS(Programplan[Block 4],Programplan[TERMIN],VALUE($A78),Programplan[PERIOD],"1, 2")/2=0,"",SUMIFS(Programplan[Block 4],Programplan[TERMIN],VALUE($A78),Programplan[PERIOD],$D78)+SUMIFS(Programplan[Block 4],Programplan[TERMIN],VALUE($A78),Programplan[PERIOD]," 1, 2")/2)</f>
        <v/>
      </c>
    </row>
    <row r="79" spans="1:17" ht="12" customHeight="1" x14ac:dyDescent="0.3">
      <c r="A79" s="243"/>
      <c r="B79" s="249"/>
      <c r="C79" s="252"/>
      <c r="D79" s="245"/>
      <c r="E79" s="245"/>
      <c r="F79" s="245"/>
      <c r="G79" s="245"/>
      <c r="H79" s="245"/>
    </row>
    <row r="80" spans="1:17" ht="12" customHeight="1" x14ac:dyDescent="0.3">
      <c r="A80" s="243"/>
      <c r="B80" s="249"/>
      <c r="C80" s="252"/>
      <c r="D80" s="245"/>
      <c r="E80" s="248"/>
      <c r="F80" s="248"/>
      <c r="G80" s="248"/>
      <c r="H80" s="248"/>
    </row>
    <row r="81" spans="1:8" ht="12" customHeight="1" x14ac:dyDescent="0.3">
      <c r="A81" s="243">
        <v>8</v>
      </c>
      <c r="B81" s="249"/>
      <c r="C81" s="253" t="s">
        <v>934</v>
      </c>
      <c r="D81" s="244">
        <v>2</v>
      </c>
      <c r="E81" s="245" t="str">
        <f>IF(SUMIFS(Programplan[Block 1],Programplan[TERMIN],VALUE($A81),Programplan[PERIOD],$D81)+SUMIFS(Programplan[Block 1],Programplan[TERMIN],VALUE($A81),Programplan[PERIOD]," 1, 2")/2=0,"",SUMIFS(Programplan[Block 1],Programplan[TERMIN],VALUE($A81),Programplan[PERIOD],$D81)+SUMIFS(Programplan[Block 1],Programplan[TERMIN],VALUE($A81),Programplan[PERIOD]," 1, 2")/2)</f>
        <v/>
      </c>
      <c r="F81" s="245">
        <f>IF(SUMIFS(Programplan[Block 2],Programplan[TERMIN],VALUE($A81),Programplan[PERIOD],$D81)+SUMIFS(Programplan[Block 2],Programplan[TERMIN],VALUE($A81),Programplan[PERIOD]," 1, 2")/2=0,"",SUMIFS(Programplan[Block 2],Programplan[TERMIN],VALUE($A81),Programplan[PERIOD],$D81)+SUMIFS(Programplan[Block 2],Programplan[TERMIN],VALUE($A81),Programplan[PERIOD]," 1, 2")/2)</f>
        <v>1</v>
      </c>
      <c r="G81" s="245" t="str">
        <f>IF(SUMIFS(Programplan[Block 3],Programplan[TERMIN],VALUE($A81),Programplan[PERIOD],$D81)+SUMIFS(Programplan[Block 3],Programplan[TERMIN],VALUE($A81),Programplan[PERIOD]," 1, 2")/2=0,"",SUMIFS(Programplan[Block 3],Programplan[TERMIN],VALUE($A81),Programplan[PERIOD],$D81)+SUMIFS(Programplan[Block 3],Programplan[TERMIN],VALUE($A81),Programplan[PERIOD]," 1, 2")/2)</f>
        <v/>
      </c>
      <c r="H81" s="244" t="str">
        <f>IF(SUMIFS(Programplan[Block 4],Programplan[TERMIN],VALUE($A81),Programplan[PERIOD],$D81)+SUMIFS(Programplan[Block 4],Programplan[TERMIN],VALUE($A81),Programplan[PERIOD],"1, 2")/2=0,"",SUMIFS(Programplan[Block 4],Programplan[TERMIN],VALUE($A81),Programplan[PERIOD],$D81)+SUMIFS(Programplan[Block 4],Programplan[TERMIN],VALUE($A81),Programplan[PERIOD]," 1, 2")/2)</f>
        <v/>
      </c>
    </row>
    <row r="82" spans="1:8" ht="12" customHeight="1" x14ac:dyDescent="0.3">
      <c r="A82" s="243"/>
      <c r="B82" s="249"/>
      <c r="C82" s="252"/>
      <c r="D82" s="245"/>
      <c r="E82" s="245"/>
      <c r="F82" s="245"/>
      <c r="G82" s="245"/>
      <c r="H82" s="245"/>
    </row>
    <row r="83" spans="1:8" ht="12" customHeight="1" thickBot="1" x14ac:dyDescent="0.35">
      <c r="A83" s="243"/>
      <c r="B83" s="250"/>
      <c r="C83" s="254"/>
      <c r="D83" s="246"/>
      <c r="E83" s="246"/>
      <c r="F83" s="246"/>
      <c r="G83" s="246"/>
      <c r="H83" s="246"/>
    </row>
    <row r="84" spans="1:8" ht="12" customHeight="1" x14ac:dyDescent="0.3">
      <c r="A84" s="243">
        <v>9</v>
      </c>
      <c r="B84" s="249">
        <f>SUMIFS(Programplan[POÄNG],Programplan[TERMIN],$A84)-SUMIFS(Programplan[POÄNG],Programplan[TERMIN],$A84,Programplan[BETYG],"U")-SUMIFS(Programplan[POÄNG],Programplan[TERMIN],$A84,Programplan[BETYG],"")</f>
        <v>6</v>
      </c>
      <c r="C84" s="251" t="s">
        <v>934</v>
      </c>
      <c r="D84" s="247">
        <v>1</v>
      </c>
      <c r="E84" s="247" t="str">
        <f>IF(SUMIFS(Programplan[Block 1],Programplan[TERMIN],VALUE($A84),Programplan[PERIOD],$D84)+SUMIFS(Programplan[Block 1],Programplan[TERMIN],VALUE($A84),Programplan[PERIOD]," 1, 2")/2=0,"",SUMIFS(Programplan[Block 1],Programplan[TERMIN],VALUE($A84),Programplan[PERIOD],$D84)+SUMIFS(Programplan[Block 1],Programplan[TERMIN],VALUE($A84),Programplan[PERIOD]," 1, 2")/2)</f>
        <v/>
      </c>
      <c r="F84" s="247" t="str">
        <f>IF(SUMIFS(Programplan[Block 2],Programplan[TERMIN],VALUE($A84),Programplan[PERIOD],$D84)+SUMIFS(Programplan[Block 2],Programplan[TERMIN],VALUE($A84),Programplan[PERIOD]," 1, 2")/2=0,"",SUMIFS(Programplan[Block 2],Programplan[TERMIN],VALUE($A84),Programplan[PERIOD],$D84)+SUMIFS(Programplan[Block 2],Programplan[TERMIN],VALUE($A84),Programplan[PERIOD]," 1, 2")/2)</f>
        <v/>
      </c>
      <c r="G84" s="247" t="str">
        <f>IF(SUMIFS(Programplan[Block 3],Programplan[TERMIN],VALUE($A84),Programplan[PERIOD],$D84)+SUMIFS(Programplan[Block 3],Programplan[TERMIN],VALUE($A84),Programplan[PERIOD]," 1, 2")/2=0,"",SUMIFS(Programplan[Block 3],Programplan[TERMIN],VALUE($A84),Programplan[PERIOD],$D84)+SUMIFS(Programplan[Block 3],Programplan[TERMIN],VALUE($A84),Programplan[PERIOD]," 1, 2")/2)</f>
        <v/>
      </c>
      <c r="H84" s="245" t="str">
        <f>IF(SUMIFS(Programplan[Block 4],Programplan[TERMIN],VALUE($A84),Programplan[PERIOD],$D84)+SUMIFS(Programplan[Block 4],Programplan[TERMIN],VALUE($A84),Programplan[PERIOD],"1, 2")/2=0,"",SUMIFS(Programplan[Block 4],Programplan[TERMIN],VALUE($A84),Programplan[PERIOD],$D84)+SUMIFS(Programplan[Block 4],Programplan[TERMIN],VALUE($A84),Programplan[PERIOD]," 1, 2")/2)</f>
        <v/>
      </c>
    </row>
    <row r="85" spans="1:8" ht="12" customHeight="1" x14ac:dyDescent="0.3">
      <c r="A85" s="243"/>
      <c r="B85" s="249"/>
      <c r="C85" s="252"/>
      <c r="D85" s="245"/>
      <c r="E85" s="245"/>
      <c r="F85" s="245"/>
      <c r="G85" s="245"/>
      <c r="H85" s="245"/>
    </row>
    <row r="86" spans="1:8" ht="12" customHeight="1" x14ac:dyDescent="0.3">
      <c r="A86" s="243"/>
      <c r="B86" s="249"/>
      <c r="C86" s="252"/>
      <c r="D86" s="245"/>
      <c r="E86" s="248"/>
      <c r="F86" s="248"/>
      <c r="G86" s="248"/>
      <c r="H86" s="248"/>
    </row>
    <row r="87" spans="1:8" ht="12" customHeight="1" x14ac:dyDescent="0.3">
      <c r="A87" s="243">
        <v>9</v>
      </c>
      <c r="B87" s="249"/>
      <c r="C87" s="253" t="s">
        <v>934</v>
      </c>
      <c r="D87" s="244">
        <v>2</v>
      </c>
      <c r="E87" s="245" t="str">
        <f>IF(SUMIFS(Programplan[Block 1],Programplan[TERMIN],VALUE($A87),Programplan[PERIOD],$D87)+SUMIFS(Programplan[Block 1],Programplan[TERMIN],VALUE($A87),Programplan[PERIOD]," 1, 2")/2=0,"",SUMIFS(Programplan[Block 1],Programplan[TERMIN],VALUE($A87),Programplan[PERIOD],$D87)+SUMIFS(Programplan[Block 1],Programplan[TERMIN],VALUE($A87),Programplan[PERIOD]," 1, 2")/2)</f>
        <v/>
      </c>
      <c r="F87" s="245" t="str">
        <f>IF(SUMIFS(Programplan[Block 2],Programplan[TERMIN],VALUE($A87),Programplan[PERIOD],$D87)+SUMIFS(Programplan[Block 2],Programplan[TERMIN],VALUE($A87),Programplan[PERIOD]," 1, 2")/2=0,"",SUMIFS(Programplan[Block 2],Programplan[TERMIN],VALUE($A87),Programplan[PERIOD],$D87)+SUMIFS(Programplan[Block 2],Programplan[TERMIN],VALUE($A87),Programplan[PERIOD]," 1, 2")/2)</f>
        <v/>
      </c>
      <c r="G87" s="245" t="str">
        <f>IF(SUMIFS(Programplan[Block 3],Programplan[TERMIN],VALUE($A87),Programplan[PERIOD],$D87)+SUMIFS(Programplan[Block 3],Programplan[TERMIN],VALUE($A87),Programplan[PERIOD]," 1, 2")/2=0,"",SUMIFS(Programplan[Block 3],Programplan[TERMIN],VALUE($A87),Programplan[PERIOD],$D87)+SUMIFS(Programplan[Block 3],Programplan[TERMIN],VALUE($A87),Programplan[PERIOD]," 1, 2")/2)</f>
        <v/>
      </c>
      <c r="H87" s="244" t="str">
        <f>IF(SUMIFS(Programplan[Block 4],Programplan[TERMIN],VALUE($A87),Programplan[PERIOD],$D87)+SUMIFS(Programplan[Block 4],Programplan[TERMIN],VALUE($A87),Programplan[PERIOD],"1, 2")/2=0,"",SUMIFS(Programplan[Block 4],Programplan[TERMIN],VALUE($A87),Programplan[PERIOD],$D87)+SUMIFS(Programplan[Block 4],Programplan[TERMIN],VALUE($A87),Programplan[PERIOD]," 1, 2")/2)</f>
        <v/>
      </c>
    </row>
    <row r="88" spans="1:8" ht="12" customHeight="1" x14ac:dyDescent="0.3">
      <c r="A88" s="243"/>
      <c r="B88" s="249"/>
      <c r="C88" s="252"/>
      <c r="D88" s="245"/>
      <c r="E88" s="245"/>
      <c r="F88" s="245"/>
      <c r="G88" s="245"/>
      <c r="H88" s="245"/>
    </row>
    <row r="89" spans="1:8" ht="12" customHeight="1" thickBot="1" x14ac:dyDescent="0.35">
      <c r="A89" s="243"/>
      <c r="B89" s="250"/>
      <c r="C89" s="254"/>
      <c r="D89" s="246"/>
      <c r="E89" s="246"/>
      <c r="F89" s="246"/>
      <c r="G89" s="246"/>
      <c r="H89" s="246"/>
    </row>
  </sheetData>
  <mergeCells count="173">
    <mergeCell ref="A63:A65"/>
    <mergeCell ref="A66:A68"/>
    <mergeCell ref="A69:A71"/>
    <mergeCell ref="A72:A74"/>
    <mergeCell ref="A75:A77"/>
    <mergeCell ref="A78:A80"/>
    <mergeCell ref="A36:A38"/>
    <mergeCell ref="A39:A41"/>
    <mergeCell ref="A42:A44"/>
    <mergeCell ref="A45:A47"/>
    <mergeCell ref="A48:A50"/>
    <mergeCell ref="A51:A53"/>
    <mergeCell ref="A54:A56"/>
    <mergeCell ref="A57:A59"/>
    <mergeCell ref="A60:A62"/>
    <mergeCell ref="K2:O2"/>
    <mergeCell ref="O22:Q22"/>
    <mergeCell ref="B19:G20"/>
    <mergeCell ref="K16:Q16"/>
    <mergeCell ref="A16:F16"/>
    <mergeCell ref="P13:R13"/>
    <mergeCell ref="K19:P20"/>
    <mergeCell ref="F11:H11"/>
    <mergeCell ref="F7:H7"/>
    <mergeCell ref="F8:H8"/>
    <mergeCell ref="F9:H9"/>
    <mergeCell ref="F10:H10"/>
    <mergeCell ref="F13:J13"/>
    <mergeCell ref="L13:O13"/>
    <mergeCell ref="L5:M5"/>
    <mergeCell ref="N5:O5"/>
    <mergeCell ref="B6:D6"/>
    <mergeCell ref="F6:I6"/>
    <mergeCell ref="P8:R8"/>
    <mergeCell ref="P9:R9"/>
    <mergeCell ref="B7:C7"/>
    <mergeCell ref="B8:C8"/>
    <mergeCell ref="B9:C9"/>
    <mergeCell ref="B10:C10"/>
    <mergeCell ref="E34:H34"/>
    <mergeCell ref="B34:D34"/>
    <mergeCell ref="O23:Q23"/>
    <mergeCell ref="O24:Q24"/>
    <mergeCell ref="O25:Q25"/>
    <mergeCell ref="O26:Q26"/>
    <mergeCell ref="O27:Q27"/>
    <mergeCell ref="O28:Q28"/>
    <mergeCell ref="O29:Q29"/>
    <mergeCell ref="O30:Q30"/>
    <mergeCell ref="O31:Q31"/>
    <mergeCell ref="O32:Q32"/>
    <mergeCell ref="E39:E41"/>
    <mergeCell ref="F39:F41"/>
    <mergeCell ref="G39:G41"/>
    <mergeCell ref="H39:H41"/>
    <mergeCell ref="D39:D41"/>
    <mergeCell ref="E36:E38"/>
    <mergeCell ref="F36:F38"/>
    <mergeCell ref="G36:G38"/>
    <mergeCell ref="H36:H38"/>
    <mergeCell ref="C57:C59"/>
    <mergeCell ref="D57:D59"/>
    <mergeCell ref="C48:C50"/>
    <mergeCell ref="D48:D50"/>
    <mergeCell ref="C51:C53"/>
    <mergeCell ref="D51:D53"/>
    <mergeCell ref="B48:B53"/>
    <mergeCell ref="C39:C41"/>
    <mergeCell ref="B36:B41"/>
    <mergeCell ref="B42:B47"/>
    <mergeCell ref="C42:C44"/>
    <mergeCell ref="D42:D44"/>
    <mergeCell ref="C45:C47"/>
    <mergeCell ref="D45:D47"/>
    <mergeCell ref="D36:D38"/>
    <mergeCell ref="C36:C38"/>
    <mergeCell ref="H42:H44"/>
    <mergeCell ref="H45:H47"/>
    <mergeCell ref="H48:H50"/>
    <mergeCell ref="H51:H53"/>
    <mergeCell ref="H54:H56"/>
    <mergeCell ref="H57:H59"/>
    <mergeCell ref="G42:G44"/>
    <mergeCell ref="G45:G47"/>
    <mergeCell ref="G48:G50"/>
    <mergeCell ref="G51:G53"/>
    <mergeCell ref="G54:G56"/>
    <mergeCell ref="E60:E62"/>
    <mergeCell ref="F60:F62"/>
    <mergeCell ref="G60:G62"/>
    <mergeCell ref="B35:C35"/>
    <mergeCell ref="B60:B65"/>
    <mergeCell ref="B66:B71"/>
    <mergeCell ref="B72:B77"/>
    <mergeCell ref="B78:B83"/>
    <mergeCell ref="G57:G59"/>
    <mergeCell ref="E57:E59"/>
    <mergeCell ref="F42:F44"/>
    <mergeCell ref="F45:F47"/>
    <mergeCell ref="F48:F50"/>
    <mergeCell ref="F51:F53"/>
    <mergeCell ref="F54:F56"/>
    <mergeCell ref="F57:F59"/>
    <mergeCell ref="E42:E44"/>
    <mergeCell ref="E45:E47"/>
    <mergeCell ref="E48:E50"/>
    <mergeCell ref="E51:E53"/>
    <mergeCell ref="E54:E56"/>
    <mergeCell ref="B54:B59"/>
    <mergeCell ref="C54:C56"/>
    <mergeCell ref="D54:D56"/>
    <mergeCell ref="D69:D71"/>
    <mergeCell ref="D72:D74"/>
    <mergeCell ref="B84:B89"/>
    <mergeCell ref="C60:C62"/>
    <mergeCell ref="C63:C65"/>
    <mergeCell ref="C66:C68"/>
    <mergeCell ref="C69:C71"/>
    <mergeCell ref="C72:C74"/>
    <mergeCell ref="C75:C77"/>
    <mergeCell ref="C78:C80"/>
    <mergeCell ref="C81:C83"/>
    <mergeCell ref="C84:C86"/>
    <mergeCell ref="C87:C89"/>
    <mergeCell ref="D87:D89"/>
    <mergeCell ref="H60:H62"/>
    <mergeCell ref="E63:E65"/>
    <mergeCell ref="F63:F65"/>
    <mergeCell ref="G63:G65"/>
    <mergeCell ref="H63:H65"/>
    <mergeCell ref="D75:D77"/>
    <mergeCell ref="E72:E74"/>
    <mergeCell ref="F72:F74"/>
    <mergeCell ref="G72:G74"/>
    <mergeCell ref="H72:H74"/>
    <mergeCell ref="E75:E77"/>
    <mergeCell ref="F75:F77"/>
    <mergeCell ref="G75:G77"/>
    <mergeCell ref="H75:H77"/>
    <mergeCell ref="E66:E68"/>
    <mergeCell ref="F66:F68"/>
    <mergeCell ref="G66:G68"/>
    <mergeCell ref="H66:H68"/>
    <mergeCell ref="E69:E71"/>
    <mergeCell ref="F69:F71"/>
    <mergeCell ref="G69:G71"/>
    <mergeCell ref="D60:D62"/>
    <mergeCell ref="D63:D65"/>
    <mergeCell ref="D66:D68"/>
    <mergeCell ref="P7:R7"/>
    <mergeCell ref="A81:A83"/>
    <mergeCell ref="A84:A86"/>
    <mergeCell ref="A87:A89"/>
    <mergeCell ref="H69:H71"/>
    <mergeCell ref="E84:E86"/>
    <mergeCell ref="F84:F86"/>
    <mergeCell ref="G84:G86"/>
    <mergeCell ref="H84:H86"/>
    <mergeCell ref="E87:E89"/>
    <mergeCell ref="F87:F89"/>
    <mergeCell ref="G87:G89"/>
    <mergeCell ref="H87:H89"/>
    <mergeCell ref="E78:E80"/>
    <mergeCell ref="F78:F80"/>
    <mergeCell ref="G78:G80"/>
    <mergeCell ref="H78:H80"/>
    <mergeCell ref="E81:E83"/>
    <mergeCell ref="F81:F83"/>
    <mergeCell ref="G81:G83"/>
    <mergeCell ref="H81:H83"/>
    <mergeCell ref="D78:D80"/>
    <mergeCell ref="D81:D83"/>
    <mergeCell ref="D84:D86"/>
  </mergeCells>
  <conditionalFormatting sqref="N14 L13">
    <cfRule type="dataBar" priority="13">
      <dataBar showValue="0">
        <cfvo type="num" val="0"/>
        <cfvo type="formula" val="Kurspoäng_som_krävs"/>
        <color theme="4"/>
      </dataBar>
      <extLst>
        <ext xmlns:x14="http://schemas.microsoft.com/office/spreadsheetml/2009/9/main" uri="{B025F937-C7B1-47D3-B67F-A62EFF666E3E}">
          <x14:id>{7638AA57-3DBF-439B-8AC0-72C19C3CFC94}</x14:id>
        </ext>
      </extLst>
    </cfRule>
  </conditionalFormatting>
  <conditionalFormatting sqref="N14 L13">
    <cfRule type="dataBar" priority="29">
      <dataBar>
        <cfvo type="num" val="0"/>
        <cfvo type="num" val="$L$7"/>
        <color theme="4"/>
      </dataBar>
      <extLst>
        <ext xmlns:x14="http://schemas.microsoft.com/office/spreadsheetml/2009/9/main" uri="{B025F937-C7B1-47D3-B67F-A62EFF666E3E}">
          <x14:id>{AD4AE96E-58F0-44E8-8FDA-DD75CDB38D17}</x14:id>
        </ext>
      </extLst>
    </cfRule>
    <cfRule type="dataBar" priority="30">
      <dataBar>
        <cfvo type="percent" val="0"/>
        <cfvo type="percent" val="100"/>
        <color theme="4"/>
      </dataBar>
      <extLst>
        <ext xmlns:x14="http://schemas.microsoft.com/office/spreadsheetml/2009/9/main" uri="{B025F937-C7B1-47D3-B67F-A62EFF666E3E}">
          <x14:id>{A3156B49-4E70-4B9B-A8C6-8E29A24BBC4A}</x14:id>
        </ext>
      </extLst>
    </cfRule>
    <cfRule type="dataBar" priority="31">
      <dataBar>
        <cfvo type="min"/>
        <cfvo type="max"/>
        <color rgb="FFFFB628"/>
      </dataBar>
      <extLst>
        <ext xmlns:x14="http://schemas.microsoft.com/office/spreadsheetml/2009/9/main" uri="{B025F937-C7B1-47D3-B67F-A62EFF666E3E}">
          <x14:id>{76309163-D934-4406-8A4B-038689215D44}</x14:id>
        </ext>
      </extLst>
    </cfRule>
  </conditionalFormatting>
  <conditionalFormatting sqref="L13">
    <cfRule type="dataBar" priority="7">
      <dataBar>
        <cfvo type="num" val="0"/>
        <cfvo type="num" val="$L$7"/>
        <color theme="4"/>
      </dataBar>
      <extLst>
        <ext xmlns:x14="http://schemas.microsoft.com/office/spreadsheetml/2009/9/main" uri="{B025F937-C7B1-47D3-B67F-A62EFF666E3E}">
          <x14:id>{10B42EE6-A197-4392-86AC-C3266CE5CB36}</x14:id>
        </ext>
      </extLst>
    </cfRule>
    <cfRule type="dataBar" priority="8">
      <dataBar>
        <cfvo type="min"/>
        <cfvo type="max"/>
        <color rgb="FF638EC6"/>
      </dataBar>
      <extLst>
        <ext xmlns:x14="http://schemas.microsoft.com/office/spreadsheetml/2009/9/main" uri="{B025F937-C7B1-47D3-B67F-A62EFF666E3E}">
          <x14:id>{A3D36D7B-016E-4016-9CBA-2DF75A58F3C4}</x14:id>
        </ext>
      </extLst>
    </cfRule>
    <cfRule type="dataBar" priority="9">
      <dataBar>
        <cfvo type="num" val="0"/>
        <cfvo type="num" val="&quot;$M$7&quot;"/>
        <color theme="4"/>
      </dataBar>
      <extLst>
        <ext xmlns:x14="http://schemas.microsoft.com/office/spreadsheetml/2009/9/main" uri="{B025F937-C7B1-47D3-B67F-A62EFF666E3E}">
          <x14:id>{8DB9956E-DDC8-49E9-B3DB-23D131A016AD}</x14:id>
        </ext>
      </extLst>
    </cfRule>
  </conditionalFormatting>
  <conditionalFormatting sqref="E36:H89">
    <cfRule type="dataBar" priority="6">
      <dataBar>
        <cfvo type="min"/>
        <cfvo type="max"/>
        <color rgb="FFFFB628"/>
      </dataBar>
      <extLst>
        <ext xmlns:x14="http://schemas.microsoft.com/office/spreadsheetml/2009/9/main" uri="{B025F937-C7B1-47D3-B67F-A62EFF666E3E}">
          <x14:id>{707A1A05-0B80-472D-85FA-305DC54BE16C}</x14:id>
        </ext>
      </extLst>
    </cfRule>
  </conditionalFormatting>
  <conditionalFormatting sqref="E36:H89">
    <cfRule type="dataBar" priority="4">
      <dataBar>
        <cfvo type="min"/>
        <cfvo type="max"/>
        <color rgb="FFFFB628"/>
      </dataBar>
      <extLst>
        <ext xmlns:x14="http://schemas.microsoft.com/office/spreadsheetml/2009/9/main" uri="{B025F937-C7B1-47D3-B67F-A62EFF666E3E}">
          <x14:id>{C1C6AF2F-A38B-4EDD-833F-0DBA054C183A}</x14:id>
        </ext>
      </extLst>
    </cfRule>
  </conditionalFormatting>
  <conditionalFormatting sqref="B36:B89">
    <cfRule type="dataBar" priority="1">
      <dataBar showValue="0">
        <cfvo type="num" val="0"/>
        <cfvo type="num" val="30"/>
        <color rgb="FFFFC000"/>
      </dataBar>
      <extLst>
        <ext xmlns:x14="http://schemas.microsoft.com/office/spreadsheetml/2009/9/main" uri="{B025F937-C7B1-47D3-B67F-A62EFF666E3E}">
          <x14:id>{3DBC6D8D-AACA-4C2B-BB31-872FC660A39F}</x14:id>
        </ext>
      </extLst>
    </cfRule>
  </conditionalFormatting>
  <printOptions horizontalCentered="1"/>
  <pageMargins left="0.25" right="0.25" top="0.75" bottom="0.75" header="0.3" footer="0.3"/>
  <pageSetup scale="66" fitToHeight="0" orientation="portrait" r:id="rId1"/>
  <headerFooter differentFirst="1">
    <oddFooter>Page &amp;P of &amp;N</oddFooter>
  </headerFooter>
  <ignoredErrors>
    <ignoredError sqref="N8:N9 O8:O9"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1034" r:id="rId4" name="Etikett 1">
              <controlPr defaultSize="0" autoFill="0" autoLine="0" autoPict="0">
                <anchor moveWithCells="1">
                  <from>
                    <xdr:col>9</xdr:col>
                    <xdr:colOff>9525</xdr:colOff>
                    <xdr:row>35</xdr:row>
                    <xdr:rowOff>57150</xdr:rowOff>
                  </from>
                  <to>
                    <xdr:col>12</xdr:col>
                    <xdr:colOff>57150</xdr:colOff>
                    <xdr:row>41</xdr:row>
                    <xdr:rowOff>0</xdr:rowOff>
                  </to>
                </anchor>
              </controlPr>
            </control>
          </mc:Choice>
        </mc:AlternateContent>
        <mc:AlternateContent xmlns:mc="http://schemas.openxmlformats.org/markup-compatibility/2006">
          <mc:Choice Requires="x14">
            <control shapeId="1038" r:id="rId5" name="Etikett 2">
              <controlPr defaultSize="0" autoFill="0" autoLine="0" autoPict="0">
                <anchor moveWithCells="1">
                  <from>
                    <xdr:col>9</xdr:col>
                    <xdr:colOff>9525</xdr:colOff>
                    <xdr:row>41</xdr:row>
                    <xdr:rowOff>57150</xdr:rowOff>
                  </from>
                  <to>
                    <xdr:col>12</xdr:col>
                    <xdr:colOff>57150</xdr:colOff>
                    <xdr:row>47</xdr:row>
                    <xdr:rowOff>0</xdr:rowOff>
                  </to>
                </anchor>
              </controlPr>
            </control>
          </mc:Choice>
        </mc:AlternateContent>
        <mc:AlternateContent xmlns:mc="http://schemas.openxmlformats.org/markup-compatibility/2006">
          <mc:Choice Requires="x14">
            <control shapeId="1039" r:id="rId6" name="Etikett 3">
              <controlPr defaultSize="0" autoFill="0" autoLine="0" autoPict="0">
                <anchor moveWithCells="1">
                  <from>
                    <xdr:col>9</xdr:col>
                    <xdr:colOff>9525</xdr:colOff>
                    <xdr:row>47</xdr:row>
                    <xdr:rowOff>57150</xdr:rowOff>
                  </from>
                  <to>
                    <xdr:col>12</xdr:col>
                    <xdr:colOff>57150</xdr:colOff>
                    <xdr:row>53</xdr:row>
                    <xdr:rowOff>0</xdr:rowOff>
                  </to>
                </anchor>
              </controlPr>
            </control>
          </mc:Choice>
        </mc:AlternateContent>
        <mc:AlternateContent xmlns:mc="http://schemas.openxmlformats.org/markup-compatibility/2006">
          <mc:Choice Requires="x14">
            <control shapeId="1040" r:id="rId7" name="Etikett 4">
              <controlPr defaultSize="0" autoFill="0" autoLine="0" autoPict="0">
                <anchor moveWithCells="1">
                  <from>
                    <xdr:col>9</xdr:col>
                    <xdr:colOff>9525</xdr:colOff>
                    <xdr:row>53</xdr:row>
                    <xdr:rowOff>57150</xdr:rowOff>
                  </from>
                  <to>
                    <xdr:col>12</xdr:col>
                    <xdr:colOff>57150</xdr:colOff>
                    <xdr:row>59</xdr:row>
                    <xdr:rowOff>0</xdr:rowOff>
                  </to>
                </anchor>
              </controlPr>
            </control>
          </mc:Choice>
        </mc:AlternateContent>
        <mc:AlternateContent xmlns:mc="http://schemas.openxmlformats.org/markup-compatibility/2006">
          <mc:Choice Requires="x14">
            <control shapeId="1041" r:id="rId8" name="Etikett 5">
              <controlPr defaultSize="0" autoFill="0" autoLine="0" autoPict="0">
                <anchor moveWithCells="1">
                  <from>
                    <xdr:col>9</xdr:col>
                    <xdr:colOff>9525</xdr:colOff>
                    <xdr:row>59</xdr:row>
                    <xdr:rowOff>57150</xdr:rowOff>
                  </from>
                  <to>
                    <xdr:col>12</xdr:col>
                    <xdr:colOff>57150</xdr:colOff>
                    <xdr:row>65</xdr:row>
                    <xdr:rowOff>0</xdr:rowOff>
                  </to>
                </anchor>
              </controlPr>
            </control>
          </mc:Choice>
        </mc:AlternateContent>
        <mc:AlternateContent xmlns:mc="http://schemas.openxmlformats.org/markup-compatibility/2006">
          <mc:Choice Requires="x14">
            <control shapeId="1042" r:id="rId9" name="Etikett 6">
              <controlPr defaultSize="0" autoFill="0" autoLine="0" autoPict="0">
                <anchor moveWithCells="1">
                  <from>
                    <xdr:col>9</xdr:col>
                    <xdr:colOff>9525</xdr:colOff>
                    <xdr:row>65</xdr:row>
                    <xdr:rowOff>57150</xdr:rowOff>
                  </from>
                  <to>
                    <xdr:col>12</xdr:col>
                    <xdr:colOff>57150</xdr:colOff>
                    <xdr:row>71</xdr:row>
                    <xdr:rowOff>0</xdr:rowOff>
                  </to>
                </anchor>
              </controlPr>
            </control>
          </mc:Choice>
        </mc:AlternateContent>
        <mc:AlternateContent xmlns:mc="http://schemas.openxmlformats.org/markup-compatibility/2006">
          <mc:Choice Requires="x14">
            <control shapeId="1043" r:id="rId10" name="Etikett 7">
              <controlPr defaultSize="0" autoFill="0" autoLine="0" autoPict="0">
                <anchor moveWithCells="1">
                  <from>
                    <xdr:col>9</xdr:col>
                    <xdr:colOff>9525</xdr:colOff>
                    <xdr:row>71</xdr:row>
                    <xdr:rowOff>57150</xdr:rowOff>
                  </from>
                  <to>
                    <xdr:col>12</xdr:col>
                    <xdr:colOff>57150</xdr:colOff>
                    <xdr:row>77</xdr:row>
                    <xdr:rowOff>0</xdr:rowOff>
                  </to>
                </anchor>
              </controlPr>
            </control>
          </mc:Choice>
        </mc:AlternateContent>
        <mc:AlternateContent xmlns:mc="http://schemas.openxmlformats.org/markup-compatibility/2006">
          <mc:Choice Requires="x14">
            <control shapeId="1044" r:id="rId11" name="Etikett 8">
              <controlPr defaultSize="0" autoFill="0" autoLine="0" autoPict="0">
                <anchor moveWithCells="1">
                  <from>
                    <xdr:col>9</xdr:col>
                    <xdr:colOff>9525</xdr:colOff>
                    <xdr:row>77</xdr:row>
                    <xdr:rowOff>57150</xdr:rowOff>
                  </from>
                  <to>
                    <xdr:col>12</xdr:col>
                    <xdr:colOff>57150</xdr:colOff>
                    <xdr:row>83</xdr:row>
                    <xdr:rowOff>0</xdr:rowOff>
                  </to>
                </anchor>
              </controlPr>
            </control>
          </mc:Choice>
        </mc:AlternateContent>
        <mc:AlternateContent xmlns:mc="http://schemas.openxmlformats.org/markup-compatibility/2006">
          <mc:Choice Requires="x14">
            <control shapeId="1045" r:id="rId12" name="Etikett 9">
              <controlPr defaultSize="0" autoFill="0" autoLine="0" autoPict="0">
                <anchor moveWithCells="1">
                  <from>
                    <xdr:col>9</xdr:col>
                    <xdr:colOff>9525</xdr:colOff>
                    <xdr:row>83</xdr:row>
                    <xdr:rowOff>57150</xdr:rowOff>
                  </from>
                  <to>
                    <xdr:col>12</xdr:col>
                    <xdr:colOff>57150</xdr:colOff>
                    <xdr:row>89</xdr:row>
                    <xdr:rowOff>0</xdr:rowOff>
                  </to>
                </anchor>
              </controlPr>
            </control>
          </mc:Choice>
        </mc:AlternateContent>
      </controls>
    </mc:Choice>
  </mc:AlternateContent>
  <tableParts count="1">
    <tablePart r:id="rId13"/>
  </tableParts>
  <extLst>
    <ext xmlns:x14="http://schemas.microsoft.com/office/spreadsheetml/2009/9/main" uri="{78C0D931-6437-407d-A8EE-F0AAD7539E65}">
      <x14:conditionalFormattings>
        <x14:conditionalFormatting xmlns:xm="http://schemas.microsoft.com/office/excel/2006/main">
          <x14:cfRule type="dataBar" id="{7638AA57-3DBF-439B-8AC0-72C19C3CFC94}">
            <x14:dataBar minLength="0" maxLength="100" gradient="0">
              <x14:cfvo type="num">
                <xm:f>0</xm:f>
              </x14:cfvo>
              <x14:cfvo type="formula">
                <xm:f>Kurspoäng_som_krävs</xm:f>
              </x14:cfvo>
              <x14:negativeFillColor rgb="FFFF0000"/>
              <x14:axisColor rgb="FF000000"/>
            </x14:dataBar>
          </x14:cfRule>
          <xm:sqref>N14 L13</xm:sqref>
        </x14:conditionalFormatting>
        <x14:conditionalFormatting xmlns:xm="http://schemas.microsoft.com/office/excel/2006/main">
          <x14:cfRule type="dataBar" id="{AD4AE96E-58F0-44E8-8FDA-DD75CDB38D17}">
            <x14:dataBar minLength="0" maxLength="100" gradient="0">
              <x14:cfvo type="num">
                <xm:f>0</xm:f>
              </x14:cfvo>
              <x14:cfvo type="num">
                <xm:f>$L$7</xm:f>
              </x14:cfvo>
              <x14:negativeFillColor rgb="FFFF0000"/>
              <x14:axisColor rgb="FF000000"/>
            </x14:dataBar>
          </x14:cfRule>
          <x14:cfRule type="dataBar" id="{A3156B49-4E70-4B9B-A8C6-8E29A24BBC4A}">
            <x14:dataBar minLength="0" maxLength="100" gradient="0">
              <x14:cfvo type="percent">
                <xm:f>0</xm:f>
              </x14:cfvo>
              <x14:cfvo type="percent">
                <xm:f>100</xm:f>
              </x14:cfvo>
              <x14:negativeFillColor rgb="FFFF0000"/>
              <x14:axisColor rgb="FF000000"/>
            </x14:dataBar>
          </x14:cfRule>
          <x14:cfRule type="dataBar" id="{76309163-D934-4406-8A4B-038689215D44}">
            <x14:dataBar minLength="0" maxLength="100" gradient="0">
              <x14:cfvo type="autoMin"/>
              <x14:cfvo type="autoMax"/>
              <x14:negativeFillColor rgb="FFFF0000"/>
              <x14:axisColor rgb="FF000000"/>
            </x14:dataBar>
          </x14:cfRule>
          <xm:sqref>N14 L13</xm:sqref>
        </x14:conditionalFormatting>
        <x14:conditionalFormatting xmlns:xm="http://schemas.microsoft.com/office/excel/2006/main">
          <x14:cfRule type="dataBar" id="{10B42EE6-A197-4392-86AC-C3266CE5CB36}">
            <x14:dataBar minLength="0" maxLength="100" gradient="0">
              <x14:cfvo type="num">
                <xm:f>0</xm:f>
              </x14:cfvo>
              <x14:cfvo type="num">
                <xm:f>$L$7</xm:f>
              </x14:cfvo>
              <x14:negativeFillColor rgb="FFFF0000"/>
              <x14:axisColor rgb="FF000000"/>
            </x14:dataBar>
          </x14:cfRule>
          <x14:cfRule type="dataBar" id="{A3D36D7B-016E-4016-9CBA-2DF75A58F3C4}">
            <x14:dataBar minLength="0" maxLength="100" gradient="0" axisPosition="none">
              <x14:cfvo type="autoMin"/>
              <x14:cfvo type="autoMax"/>
              <x14:negativeFillColor rgb="FFFF0000"/>
            </x14:dataBar>
          </x14:cfRule>
          <x14:cfRule type="dataBar" id="{8DB9956E-DDC8-49E9-B3DB-23D131A016AD}">
            <x14:dataBar minLength="0" maxLength="100" gradient="0" direction="leftToRight">
              <x14:cfvo type="num">
                <xm:f>0</xm:f>
              </x14:cfvo>
              <x14:cfvo type="num">
                <xm:f>"$M$7"</xm:f>
              </x14:cfvo>
              <x14:negativeFillColor rgb="FFFF0000"/>
              <x14:axisColor rgb="FF000000"/>
            </x14:dataBar>
          </x14:cfRule>
          <xm:sqref>L13</xm:sqref>
        </x14:conditionalFormatting>
        <x14:conditionalFormatting xmlns:xm="http://schemas.microsoft.com/office/excel/2006/main">
          <x14:cfRule type="dataBar" id="{707A1A05-0B80-472D-85FA-305DC54BE16C}">
            <x14:dataBar minLength="0" maxLength="100" gradient="0">
              <x14:cfvo type="autoMin"/>
              <x14:cfvo type="autoMax"/>
              <x14:negativeFillColor rgb="FFFF0000"/>
              <x14:axisColor rgb="FF000000"/>
            </x14:dataBar>
          </x14:cfRule>
          <xm:sqref>E36:H89</xm:sqref>
        </x14:conditionalFormatting>
        <x14:conditionalFormatting xmlns:xm="http://schemas.microsoft.com/office/excel/2006/main">
          <x14:cfRule type="dataBar" id="{C1C6AF2F-A38B-4EDD-833F-0DBA054C183A}">
            <x14:dataBar minLength="0" maxLength="100" gradient="0">
              <x14:cfvo type="autoMin"/>
              <x14:cfvo type="autoMax"/>
              <x14:negativeFillColor rgb="FFFF0000"/>
              <x14:axisColor rgb="FF000000"/>
            </x14:dataBar>
          </x14:cfRule>
          <xm:sqref>E36:H89</xm:sqref>
        </x14:conditionalFormatting>
        <x14:conditionalFormatting xmlns:xm="http://schemas.microsoft.com/office/excel/2006/main">
          <x14:cfRule type="dataBar" id="{3DBC6D8D-AACA-4C2B-BB31-872FC660A39F}">
            <x14:dataBar minLength="0" maxLength="100" gradient="0">
              <x14:cfvo type="num">
                <xm:f>0</xm:f>
              </x14:cfvo>
              <x14:cfvo type="num">
                <xm:f>30</xm:f>
              </x14:cfvo>
              <x14:negativeFillColor rgb="FFFF0000"/>
              <x14:axisColor rgb="FF000000"/>
            </x14:dataBar>
          </x14:cfRule>
          <xm:sqref>B36:B89</xm:sqref>
        </x14:conditionalFormatting>
        <x14:conditionalFormatting xmlns:xm="http://schemas.microsoft.com/office/excel/2006/main">
          <x14:cfRule type="iconSet" priority="28" id="{B809C01C-2A41-44F9-A3C9-F1E22D7B83B0}">
            <x14:iconSet custom="1">
              <x14:cfvo type="percent">
                <xm:f>0</xm:f>
              </x14:cfvo>
              <x14:cfvo type="num">
                <xm:f>1</xm:f>
              </x14:cfvo>
              <x14:cfvo type="num">
                <xm:f>2</xm:f>
              </x14:cfvo>
              <x14:cfIcon iconSet="3Symbols2" iconId="2"/>
              <x14:cfIcon iconSet="NoIcons" iconId="0"/>
              <x14:cfIcon iconSet="NoIcons" iconId="0"/>
            </x14:iconSet>
          </x14:cfRule>
          <xm:sqref>P7:P10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4">
    <tabColor rgb="FF00B0F0"/>
    <pageSetUpPr autoPageBreaks="0" fitToPage="1"/>
  </sheetPr>
  <dimension ref="A1:Y102"/>
  <sheetViews>
    <sheetView showGridLines="0" topLeftCell="A10" zoomScaleNormal="100" workbookViewId="0">
      <selection activeCell="C17" sqref="C17"/>
    </sheetView>
  </sheetViews>
  <sheetFormatPr defaultRowHeight="18" customHeight="1" x14ac:dyDescent="0.3"/>
  <cols>
    <col min="1" max="1" width="2.375" style="44" customWidth="1"/>
    <col min="2" max="2" width="45.75" style="44" customWidth="1"/>
    <col min="3" max="3" width="12.875" style="44" customWidth="1"/>
    <col min="4" max="4" width="13.75" style="44" bestFit="1" customWidth="1"/>
    <col min="5" max="5" width="17.375" style="44" customWidth="1"/>
    <col min="6" max="6" width="9.125" style="44" bestFit="1" customWidth="1"/>
    <col min="7" max="7" width="13.125" style="44" bestFit="1" customWidth="1"/>
    <col min="8" max="9" width="22.5" style="44" bestFit="1" customWidth="1"/>
    <col min="10" max="10" width="19.375" style="44" bestFit="1" customWidth="1"/>
    <col min="11" max="11" width="23.25" style="44" customWidth="1"/>
    <col min="12" max="13" width="13.25" style="44" hidden="1" customWidth="1"/>
    <col min="14" max="15" width="9" style="44" hidden="1" customWidth="1"/>
    <col min="16" max="16" width="0" style="44" hidden="1" customWidth="1"/>
    <col min="17" max="20" width="9" style="44"/>
    <col min="21" max="21" width="11.375" style="44" bestFit="1" customWidth="1"/>
    <col min="22" max="16384" width="9" style="44"/>
  </cols>
  <sheetData>
    <row r="1" spans="1:25" ht="6.75" customHeight="1" x14ac:dyDescent="0.3">
      <c r="A1" s="42"/>
      <c r="B1" s="42"/>
      <c r="C1" s="42"/>
      <c r="D1" s="42"/>
      <c r="E1" s="42"/>
      <c r="F1" s="42"/>
      <c r="G1" s="42"/>
      <c r="H1" s="42"/>
      <c r="I1" s="42"/>
      <c r="J1" s="43"/>
      <c r="K1" s="43"/>
      <c r="L1" s="43"/>
      <c r="M1" s="43"/>
      <c r="N1" s="43"/>
      <c r="O1" s="43"/>
      <c r="P1" s="43"/>
      <c r="Q1" s="43"/>
      <c r="R1" s="43"/>
      <c r="S1" s="43"/>
      <c r="T1" s="43"/>
      <c r="U1" s="43"/>
      <c r="V1" s="43"/>
      <c r="W1" s="43"/>
      <c r="X1" s="43"/>
      <c r="Y1" s="43"/>
    </row>
    <row r="2" spans="1:25" ht="59.25" customHeight="1" x14ac:dyDescent="0.45">
      <c r="A2" s="278" t="s">
        <v>22</v>
      </c>
      <c r="B2" s="278"/>
      <c r="C2" s="45"/>
      <c r="D2" s="46"/>
      <c r="E2" s="280" t="str">
        <f xml:space="preserve"> CONCATENATE(Program,IF(TechSpec=" Ingen","",CONCATENATE("
med inriktning ",TechSpec)),IF(OR(EcoSpec=" Ingen",EcoSpec=""),"",CONCATENATE(" och ",EcoSpec)))</f>
        <v>Civilingenjör i Industriell Ekonomi</v>
      </c>
      <c r="F2" s="281"/>
      <c r="G2" s="281"/>
      <c r="H2" s="281"/>
      <c r="I2" s="281"/>
      <c r="J2" s="281"/>
      <c r="K2" s="281"/>
      <c r="L2" s="43"/>
      <c r="M2" s="43"/>
      <c r="N2" s="43"/>
      <c r="O2" s="43"/>
      <c r="P2" s="43"/>
      <c r="Q2" s="43"/>
      <c r="R2" s="43"/>
      <c r="S2" s="43"/>
      <c r="T2" s="43"/>
      <c r="U2" s="43"/>
      <c r="V2" s="43"/>
      <c r="W2" s="43"/>
      <c r="X2" s="43"/>
      <c r="Y2" s="43"/>
    </row>
    <row r="3" spans="1:25" ht="6.75" customHeight="1" x14ac:dyDescent="0.3">
      <c r="A3" s="42"/>
      <c r="B3" s="42"/>
      <c r="C3" s="42"/>
      <c r="D3" s="42"/>
      <c r="E3" s="42"/>
      <c r="F3" s="47"/>
      <c r="G3" s="42"/>
      <c r="H3" s="42"/>
      <c r="I3" s="42"/>
      <c r="J3" s="43"/>
      <c r="K3" s="43"/>
      <c r="L3" s="43"/>
      <c r="M3" s="43"/>
      <c r="N3" s="43"/>
      <c r="O3" s="43"/>
      <c r="P3" s="43"/>
      <c r="Q3" s="43"/>
      <c r="R3" s="43"/>
      <c r="S3" s="43"/>
      <c r="T3" s="43"/>
      <c r="U3" s="43"/>
      <c r="V3" s="43"/>
      <c r="W3" s="43"/>
      <c r="X3" s="43"/>
      <c r="Y3" s="43"/>
    </row>
    <row r="4" spans="1:25" ht="9" customHeight="1" x14ac:dyDescent="0.3">
      <c r="B4" s="282"/>
      <c r="C4" s="282"/>
      <c r="D4" s="282"/>
      <c r="L4" s="48"/>
      <c r="M4" s="48"/>
      <c r="N4" s="48"/>
      <c r="O4" s="48"/>
      <c r="P4" s="48"/>
      <c r="Q4" s="48"/>
      <c r="R4" s="48"/>
      <c r="S4" s="48"/>
      <c r="T4" s="48"/>
      <c r="U4" s="48"/>
    </row>
    <row r="5" spans="1:25" ht="35.25" customHeight="1" x14ac:dyDescent="0.3">
      <c r="B5" s="218" t="s">
        <v>10</v>
      </c>
      <c r="C5" s="220">
        <v>2012</v>
      </c>
      <c r="D5" s="221"/>
      <c r="E5" s="219"/>
      <c r="F5" s="288" t="s">
        <v>2077</v>
      </c>
      <c r="G5" s="288"/>
      <c r="H5" s="288"/>
      <c r="I5" s="288"/>
      <c r="J5" s="288"/>
      <c r="K5" s="219"/>
      <c r="L5" s="49"/>
      <c r="M5" s="49"/>
      <c r="N5" s="48"/>
      <c r="O5" s="48"/>
      <c r="P5" s="48"/>
      <c r="Q5" s="48"/>
      <c r="R5" s="48"/>
      <c r="S5" s="48"/>
      <c r="T5" s="48"/>
      <c r="U5" s="48"/>
    </row>
    <row r="6" spans="1:25" ht="35.25" customHeight="1" x14ac:dyDescent="0.3">
      <c r="B6" s="218" t="s">
        <v>11</v>
      </c>
      <c r="C6" s="222" t="s">
        <v>16</v>
      </c>
      <c r="D6" s="223"/>
      <c r="E6" s="219"/>
      <c r="F6" s="289"/>
      <c r="G6" s="289"/>
      <c r="H6" s="289"/>
      <c r="I6" s="289"/>
      <c r="J6" s="289"/>
      <c r="K6" s="219"/>
      <c r="L6" s="49"/>
      <c r="M6" s="49"/>
      <c r="N6" s="48"/>
      <c r="O6" s="48"/>
      <c r="P6" s="48"/>
      <c r="Q6" s="48"/>
      <c r="R6" s="48"/>
      <c r="S6" s="48"/>
      <c r="T6" s="48"/>
      <c r="U6" s="48"/>
    </row>
    <row r="7" spans="1:25" ht="35.25" customHeight="1" x14ac:dyDescent="0.3">
      <c r="B7" s="218" t="s">
        <v>90</v>
      </c>
      <c r="C7" s="220" t="s">
        <v>171</v>
      </c>
      <c r="D7" s="224"/>
      <c r="E7" s="219"/>
      <c r="F7" s="289"/>
      <c r="G7" s="289"/>
      <c r="H7" s="289"/>
      <c r="I7" s="289"/>
      <c r="J7" s="289"/>
      <c r="K7" s="219"/>
      <c r="L7" s="49">
        <v>1</v>
      </c>
      <c r="M7" s="49"/>
      <c r="N7" s="48"/>
      <c r="O7" s="48"/>
      <c r="P7" s="48"/>
      <c r="Q7" s="48"/>
      <c r="R7" s="48"/>
      <c r="S7" s="48"/>
      <c r="T7" s="48"/>
      <c r="U7" s="48"/>
    </row>
    <row r="8" spans="1:25" ht="35.25" customHeight="1" thickBot="1" x14ac:dyDescent="0.35">
      <c r="B8" s="218" t="s">
        <v>91</v>
      </c>
      <c r="C8" s="220" t="s">
        <v>171</v>
      </c>
      <c r="D8" s="224"/>
      <c r="E8" s="219"/>
      <c r="F8" s="290"/>
      <c r="G8" s="290"/>
      <c r="H8" s="290"/>
      <c r="I8" s="290"/>
      <c r="J8" s="290"/>
      <c r="K8" s="219"/>
      <c r="L8" s="49">
        <v>2</v>
      </c>
      <c r="M8" s="49"/>
      <c r="N8" s="48"/>
      <c r="O8" s="48"/>
      <c r="P8" s="48"/>
      <c r="Q8" s="48"/>
      <c r="R8" s="48"/>
      <c r="S8" s="48"/>
      <c r="T8" s="48"/>
      <c r="U8" s="48"/>
    </row>
    <row r="9" spans="1:25" ht="11.25" customHeight="1" thickTop="1" x14ac:dyDescent="0.3">
      <c r="B9" s="50"/>
      <c r="C9" s="80"/>
      <c r="D9" s="49"/>
      <c r="E9" s="49"/>
      <c r="F9" s="285"/>
      <c r="G9" s="285"/>
      <c r="H9" s="285"/>
      <c r="I9" s="285"/>
      <c r="J9" s="143"/>
      <c r="K9" s="143"/>
      <c r="L9" s="49">
        <v>3</v>
      </c>
      <c r="M9" s="49"/>
      <c r="N9" s="48"/>
      <c r="O9" s="48"/>
      <c r="P9" s="48"/>
      <c r="Q9" s="48"/>
      <c r="R9" s="48"/>
      <c r="S9" s="48"/>
      <c r="T9" s="48"/>
      <c r="U9" s="48"/>
    </row>
    <row r="10" spans="1:25" ht="18.75" customHeight="1" x14ac:dyDescent="0.3">
      <c r="L10" s="48"/>
      <c r="M10" s="48"/>
      <c r="N10" s="48"/>
      <c r="O10" s="48"/>
      <c r="P10" s="48"/>
      <c r="Q10" s="48"/>
      <c r="R10" s="48"/>
      <c r="S10" s="48"/>
      <c r="T10" s="48"/>
      <c r="U10" s="48"/>
    </row>
    <row r="11" spans="1:25" ht="9.75" customHeight="1" x14ac:dyDescent="0.45">
      <c r="A11" s="46"/>
      <c r="B11" s="46"/>
      <c r="C11" s="46"/>
      <c r="D11" s="46"/>
      <c r="E11" s="46"/>
      <c r="F11" s="46"/>
      <c r="G11" s="46"/>
      <c r="H11" s="46"/>
      <c r="I11" s="46"/>
      <c r="J11" s="46"/>
      <c r="K11" s="46"/>
      <c r="L11" s="43"/>
      <c r="M11" s="43"/>
      <c r="N11" s="43"/>
      <c r="O11" s="43"/>
      <c r="P11" s="43"/>
      <c r="Q11" s="43"/>
      <c r="R11" s="43"/>
      <c r="S11" s="43"/>
      <c r="T11" s="43"/>
      <c r="U11" s="43"/>
      <c r="V11" s="43"/>
      <c r="W11" s="43"/>
      <c r="X11" s="43"/>
      <c r="Y11" s="43"/>
    </row>
    <row r="12" spans="1:25" ht="50.25" customHeight="1" x14ac:dyDescent="0.3">
      <c r="A12" s="279" t="s">
        <v>97</v>
      </c>
      <c r="B12" s="279"/>
      <c r="C12" s="279"/>
      <c r="D12" s="51"/>
      <c r="E12" s="283" t="s">
        <v>2030</v>
      </c>
      <c r="F12" s="284"/>
      <c r="G12" s="284"/>
      <c r="H12" s="60"/>
      <c r="I12" s="42"/>
      <c r="J12" s="43"/>
      <c r="K12" s="43"/>
      <c r="L12" s="43"/>
      <c r="M12" s="43"/>
      <c r="N12" s="43"/>
      <c r="O12" s="43"/>
      <c r="P12" s="43"/>
      <c r="Q12" s="43"/>
      <c r="R12" s="43"/>
      <c r="S12" s="43"/>
      <c r="T12" s="43"/>
      <c r="U12" s="43"/>
      <c r="V12" s="43"/>
      <c r="W12" s="43"/>
      <c r="X12" s="43"/>
      <c r="Y12" s="43"/>
    </row>
    <row r="13" spans="1:25" ht="9" customHeight="1" x14ac:dyDescent="0.45">
      <c r="A13" s="46"/>
      <c r="B13" s="46"/>
      <c r="C13" s="46"/>
      <c r="D13" s="46"/>
      <c r="E13" s="41"/>
      <c r="F13" s="46"/>
      <c r="G13" s="46"/>
      <c r="H13" s="46"/>
      <c r="I13" s="46"/>
      <c r="J13" s="46"/>
      <c r="K13" s="46"/>
      <c r="L13" s="43"/>
      <c r="M13" s="43"/>
      <c r="N13" s="43"/>
      <c r="O13" s="43"/>
      <c r="P13" s="43"/>
      <c r="Q13" s="43"/>
      <c r="R13" s="43"/>
      <c r="S13" s="43"/>
      <c r="T13" s="43"/>
      <c r="U13" s="43"/>
      <c r="V13" s="43"/>
      <c r="W13" s="43"/>
      <c r="X13" s="43"/>
      <c r="Y13" s="43"/>
    </row>
    <row r="14" spans="1:25" ht="9" customHeight="1" x14ac:dyDescent="0.3">
      <c r="A14" s="79"/>
      <c r="B14" s="79"/>
      <c r="C14" s="79"/>
      <c r="D14" s="79"/>
      <c r="E14" s="79"/>
      <c r="F14" s="79"/>
      <c r="G14" s="79"/>
      <c r="H14" s="79"/>
      <c r="I14" s="79"/>
      <c r="J14" s="79"/>
      <c r="K14" s="79"/>
      <c r="L14" s="79"/>
      <c r="M14" s="79"/>
      <c r="N14" s="79"/>
    </row>
    <row r="15" spans="1:25" ht="18" customHeight="1" x14ac:dyDescent="0.3">
      <c r="B15" s="52" t="s">
        <v>7</v>
      </c>
      <c r="C15" s="54" t="s">
        <v>49</v>
      </c>
      <c r="D15" s="53" t="s">
        <v>8</v>
      </c>
      <c r="E15" s="53" t="s">
        <v>19</v>
      </c>
      <c r="F15" s="53" t="s">
        <v>9</v>
      </c>
      <c r="G15" s="54" t="s">
        <v>43</v>
      </c>
      <c r="H15" s="54" t="s">
        <v>42</v>
      </c>
      <c r="I15" s="54" t="s">
        <v>4</v>
      </c>
      <c r="J15" s="55" t="s">
        <v>28</v>
      </c>
      <c r="K15" s="55" t="s">
        <v>44</v>
      </c>
      <c r="L15" s="79" t="s">
        <v>930</v>
      </c>
      <c r="M15" s="79" t="s">
        <v>931</v>
      </c>
      <c r="N15" s="79" t="s">
        <v>932</v>
      </c>
      <c r="O15" s="44" t="s">
        <v>933</v>
      </c>
      <c r="P15" s="44" t="s">
        <v>2040</v>
      </c>
    </row>
    <row r="16" spans="1:25" ht="20.25" customHeight="1" x14ac:dyDescent="0.3">
      <c r="B16" s="44" t="s">
        <v>131</v>
      </c>
      <c r="C16" s="34"/>
      <c r="D16" s="44" t="s">
        <v>130</v>
      </c>
      <c r="E16" s="44" t="s">
        <v>182</v>
      </c>
      <c r="F16" s="44" t="s">
        <v>105</v>
      </c>
      <c r="G16" s="34">
        <v>8</v>
      </c>
      <c r="H16" s="34">
        <v>1</v>
      </c>
      <c r="I16" s="34">
        <v>1</v>
      </c>
      <c r="J16" s="34" t="s">
        <v>2042</v>
      </c>
      <c r="K16" s="34" t="s">
        <v>2043</v>
      </c>
      <c r="L16" s="146">
        <f>IFERROR(IF(SEARCH("1",Programplan[[#This Row],[BLOCK]])&gt;0,COUNTA(Programplan[[#This Row],[BLOCK]]),""),"")</f>
        <v>1</v>
      </c>
      <c r="M16" s="147">
        <f>IFERROR(IF(SEARCH("2",Programplan[[#This Row],[BLOCK]],1)&gt;0,COUNTA(Programplan[[#This Row],[BLOCK]]),""),"")</f>
        <v>1</v>
      </c>
      <c r="N16" s="147" t="str">
        <f>IFERROR(IF(SEARCH("3",Programplan[[#This Row],[BLOCK]],1)&gt;0,COUNTA(Programplan[[#This Row],[BLOCK]]),""),"")</f>
        <v/>
      </c>
      <c r="O16" s="148" t="str">
        <f>IFERROR(IF(SEARCH("4",Programplan[[#This Row],[BLOCK]],1)&gt;0,COUNTA(Programplan[[#This Row],[BLOCK]]),""),"")</f>
        <v/>
      </c>
      <c r="P16" s="148">
        <f>COUNTIF(Programplan[[#This Row],[BETYG]],"G")+COUNTIF(Programplan[[#This Row],[BETYG]],"3")+COUNTIF(Programplan[[#This Row],[BETYG]],"4")+COUNTIF(Programplan[[#This Row],[BETYG]],"5")</f>
        <v>0</v>
      </c>
    </row>
    <row r="17" spans="2:16" ht="20.25" customHeight="1" x14ac:dyDescent="0.3">
      <c r="B17" s="44" t="s">
        <v>135</v>
      </c>
      <c r="C17" s="34" t="s">
        <v>2065</v>
      </c>
      <c r="D17" s="44" t="s">
        <v>134</v>
      </c>
      <c r="E17" s="44" t="s">
        <v>182</v>
      </c>
      <c r="F17" s="44" t="s">
        <v>105</v>
      </c>
      <c r="G17" s="34">
        <v>6</v>
      </c>
      <c r="H17" s="34">
        <v>1</v>
      </c>
      <c r="I17" s="34">
        <v>1</v>
      </c>
      <c r="J17" s="34">
        <v>2</v>
      </c>
      <c r="K17" s="34">
        <v>3</v>
      </c>
      <c r="L17" s="146" t="str">
        <f>IFERROR(IF(SEARCH("1",Programplan[[#This Row],[BLOCK]])&gt;0,COUNTA(Programplan[[#This Row],[BLOCK]]),""),"")</f>
        <v/>
      </c>
      <c r="M17" s="147" t="str">
        <f>IFERROR(IF(SEARCH("2",Programplan[[#This Row],[BLOCK]],1)&gt;0,COUNTA(Programplan[[#This Row],[BLOCK]]),""),"")</f>
        <v/>
      </c>
      <c r="N17" s="147">
        <f>IFERROR(IF(SEARCH("3",Programplan[[#This Row],[BLOCK]],1)&gt;0,COUNTA(Programplan[[#This Row],[BLOCK]]),""),"")</f>
        <v>1</v>
      </c>
      <c r="O17" s="148" t="str">
        <f>IFERROR(IF(SEARCH("4",Programplan[[#This Row],[BLOCK]],1)&gt;0,COUNTA(Programplan[[#This Row],[BLOCK]]),""),"")</f>
        <v/>
      </c>
      <c r="P17" s="148">
        <f>COUNTIF(Programplan[[#This Row],[BETYG]],"G")+COUNTIF(Programplan[[#This Row],[BETYG]],"3")+COUNTIF(Programplan[[#This Row],[BETYG]],"4")+COUNTIF(Programplan[[#This Row],[BETYG]],"5")</f>
        <v>1</v>
      </c>
    </row>
    <row r="18" spans="2:16" ht="20.25" customHeight="1" x14ac:dyDescent="0.3">
      <c r="B18" s="44" t="s">
        <v>133</v>
      </c>
      <c r="C18" s="34">
        <v>4</v>
      </c>
      <c r="D18" s="44" t="s">
        <v>132</v>
      </c>
      <c r="E18" s="44" t="s">
        <v>182</v>
      </c>
      <c r="F18" s="44" t="s">
        <v>105</v>
      </c>
      <c r="G18" s="34">
        <v>10</v>
      </c>
      <c r="H18" s="34">
        <v>1</v>
      </c>
      <c r="I18" s="34">
        <v>1</v>
      </c>
      <c r="J18" s="34" t="s">
        <v>2042</v>
      </c>
      <c r="K18" s="34" t="s">
        <v>2044</v>
      </c>
      <c r="L18" s="146">
        <f>IFERROR(IF(SEARCH("1",Programplan[[#This Row],[BLOCK]])&gt;0,COUNTA(Programplan[[#This Row],[BLOCK]]),""),"")</f>
        <v>1</v>
      </c>
      <c r="M18" s="147">
        <f>IFERROR(IF(SEARCH("2",Programplan[[#This Row],[BLOCK]],1)&gt;0,COUNTA(Programplan[[#This Row],[BLOCK]]),""),"")</f>
        <v>1</v>
      </c>
      <c r="N18" s="147" t="str">
        <f>IFERROR(IF(SEARCH("3",Programplan[[#This Row],[BLOCK]],1)&gt;0,COUNTA(Programplan[[#This Row],[BLOCK]]),""),"")</f>
        <v/>
      </c>
      <c r="O18" s="148">
        <f>IFERROR(IF(SEARCH("4",Programplan[[#This Row],[BLOCK]],1)&gt;0,COUNTA(Programplan[[#This Row],[BLOCK]]),""),"")</f>
        <v>1</v>
      </c>
      <c r="P18" s="148">
        <f>COUNTIF(Programplan[[#This Row],[BETYG]],"G")+COUNTIF(Programplan[[#This Row],[BETYG]],"3")+COUNTIF(Programplan[[#This Row],[BETYG]],"4")+COUNTIF(Programplan[[#This Row],[BETYG]],"5")</f>
        <v>1</v>
      </c>
    </row>
    <row r="19" spans="2:16" ht="20.25" customHeight="1" x14ac:dyDescent="0.3">
      <c r="B19" s="44" t="s">
        <v>137</v>
      </c>
      <c r="C19" s="34" t="s">
        <v>2065</v>
      </c>
      <c r="D19" s="44" t="s">
        <v>136</v>
      </c>
      <c r="E19" s="44" t="s">
        <v>182</v>
      </c>
      <c r="F19" s="44" t="s">
        <v>105</v>
      </c>
      <c r="G19" s="34">
        <v>6</v>
      </c>
      <c r="H19" s="34">
        <v>1</v>
      </c>
      <c r="I19" s="34">
        <v>2</v>
      </c>
      <c r="J19" s="34">
        <v>1</v>
      </c>
      <c r="K19" s="34">
        <v>2</v>
      </c>
      <c r="L19" s="146" t="str">
        <f>IFERROR(IF(SEARCH("1",Programplan[[#This Row],[BLOCK]])&gt;0,COUNTA(Programplan[[#This Row],[BLOCK]]),""),"")</f>
        <v/>
      </c>
      <c r="M19" s="147">
        <f>IFERROR(IF(SEARCH("2",Programplan[[#This Row],[BLOCK]],1)&gt;0,COUNTA(Programplan[[#This Row],[BLOCK]]),""),"")</f>
        <v>1</v>
      </c>
      <c r="N19" s="147" t="str">
        <f>IFERROR(IF(SEARCH("3",Programplan[[#This Row],[BLOCK]],1)&gt;0,COUNTA(Programplan[[#This Row],[BLOCK]]),""),"")</f>
        <v/>
      </c>
      <c r="O19" s="148" t="str">
        <f>IFERROR(IF(SEARCH("4",Programplan[[#This Row],[BLOCK]],1)&gt;0,COUNTA(Programplan[[#This Row],[BLOCK]]),""),"")</f>
        <v/>
      </c>
      <c r="P19" s="148">
        <f>COUNTIF(Programplan[[#This Row],[BETYG]],"G")+COUNTIF(Programplan[[#This Row],[BETYG]],"3")+COUNTIF(Programplan[[#This Row],[BETYG]],"4")+COUNTIF(Programplan[[#This Row],[BETYG]],"5")</f>
        <v>1</v>
      </c>
    </row>
    <row r="20" spans="2:16" ht="20.25" customHeight="1" x14ac:dyDescent="0.3">
      <c r="B20" s="44" t="s">
        <v>143</v>
      </c>
      <c r="C20" s="34"/>
      <c r="D20" s="44" t="s">
        <v>142</v>
      </c>
      <c r="E20" s="44" t="s">
        <v>182</v>
      </c>
      <c r="F20" s="44" t="s">
        <v>105</v>
      </c>
      <c r="G20" s="34">
        <v>8</v>
      </c>
      <c r="H20" s="34">
        <v>1</v>
      </c>
      <c r="I20" s="34">
        <v>2</v>
      </c>
      <c r="J20" s="34">
        <v>2</v>
      </c>
      <c r="K20" s="34">
        <v>2</v>
      </c>
      <c r="L20" s="146" t="str">
        <f>IFERROR(IF(SEARCH("1",Programplan[[#This Row],[BLOCK]])&gt;0,COUNTA(Programplan[[#This Row],[BLOCK]]),""),"")</f>
        <v/>
      </c>
      <c r="M20" s="147">
        <f>IFERROR(IF(SEARCH("2",Programplan[[#This Row],[BLOCK]],1)&gt;0,COUNTA(Programplan[[#This Row],[BLOCK]]),""),"")</f>
        <v>1</v>
      </c>
      <c r="N20" s="147" t="str">
        <f>IFERROR(IF(SEARCH("3",Programplan[[#This Row],[BLOCK]],1)&gt;0,COUNTA(Programplan[[#This Row],[BLOCK]]),""),"")</f>
        <v/>
      </c>
      <c r="O20" s="148" t="str">
        <f>IFERROR(IF(SEARCH("4",Programplan[[#This Row],[BLOCK]],1)&gt;0,COUNTA(Programplan[[#This Row],[BLOCK]]),""),"")</f>
        <v/>
      </c>
      <c r="P20" s="148">
        <f>COUNTIF(Programplan[[#This Row],[BETYG]],"G")+COUNTIF(Programplan[[#This Row],[BETYG]],"3")+COUNTIF(Programplan[[#This Row],[BETYG]],"4")+COUNTIF(Programplan[[#This Row],[BETYG]],"5")</f>
        <v>0</v>
      </c>
    </row>
    <row r="21" spans="2:16" ht="20.25" customHeight="1" x14ac:dyDescent="0.3">
      <c r="B21" s="44" t="s">
        <v>141</v>
      </c>
      <c r="C21" s="34"/>
      <c r="D21" s="44" t="s">
        <v>140</v>
      </c>
      <c r="E21" s="44" t="s">
        <v>182</v>
      </c>
      <c r="F21" s="44" t="s">
        <v>106</v>
      </c>
      <c r="G21" s="34">
        <v>6</v>
      </c>
      <c r="H21" s="34">
        <v>1</v>
      </c>
      <c r="I21" s="34">
        <v>2</v>
      </c>
      <c r="J21" s="34" t="s">
        <v>2042</v>
      </c>
      <c r="K21" s="34" t="s">
        <v>2045</v>
      </c>
      <c r="L21" s="146">
        <f>IFERROR(IF(SEARCH("1",Programplan[[#This Row],[BLOCK]])&gt;0,COUNTA(Programplan[[#This Row],[BLOCK]]),""),"")</f>
        <v>1</v>
      </c>
      <c r="M21" s="147" t="str">
        <f>IFERROR(IF(SEARCH("2",Programplan[[#This Row],[BLOCK]],1)&gt;0,COUNTA(Programplan[[#This Row],[BLOCK]]),""),"")</f>
        <v/>
      </c>
      <c r="N21" s="147" t="str">
        <f>IFERROR(IF(SEARCH("3",Programplan[[#This Row],[BLOCK]],1)&gt;0,COUNTA(Programplan[[#This Row],[BLOCK]]),""),"")</f>
        <v/>
      </c>
      <c r="O21" s="148" t="str">
        <f>IFERROR(IF(SEARCH("4",Programplan[[#This Row],[BLOCK]],1)&gt;0,COUNTA(Programplan[[#This Row],[BLOCK]]),""),"")</f>
        <v/>
      </c>
      <c r="P21" s="148">
        <f>COUNTIF(Programplan[[#This Row],[BETYG]],"G")+COUNTIF(Programplan[[#This Row],[BETYG]],"3")+COUNTIF(Programplan[[#This Row],[BETYG]],"4")+COUNTIF(Programplan[[#This Row],[BETYG]],"5")</f>
        <v>0</v>
      </c>
    </row>
    <row r="22" spans="2:16" ht="20.25" customHeight="1" x14ac:dyDescent="0.3">
      <c r="B22" s="44" t="s">
        <v>147</v>
      </c>
      <c r="C22" s="34"/>
      <c r="D22" s="44" t="s">
        <v>146</v>
      </c>
      <c r="E22" s="44" t="s">
        <v>182</v>
      </c>
      <c r="F22" s="44" t="s">
        <v>105</v>
      </c>
      <c r="G22" s="34">
        <v>6</v>
      </c>
      <c r="H22" s="34">
        <v>2</v>
      </c>
      <c r="I22" s="34">
        <v>3</v>
      </c>
      <c r="J22" s="34">
        <v>1</v>
      </c>
      <c r="K22" s="34">
        <v>1</v>
      </c>
      <c r="L22" s="146">
        <f>IFERROR(IF(SEARCH("1",Programplan[[#This Row],[BLOCK]])&gt;0,COUNTA(Programplan[[#This Row],[BLOCK]]),""),"")</f>
        <v>1</v>
      </c>
      <c r="M22" s="147" t="str">
        <f>IFERROR(IF(SEARCH("2",Programplan[[#This Row],[BLOCK]],1)&gt;0,COUNTA(Programplan[[#This Row],[BLOCK]]),""),"")</f>
        <v/>
      </c>
      <c r="N22" s="147" t="str">
        <f>IFERROR(IF(SEARCH("3",Programplan[[#This Row],[BLOCK]],1)&gt;0,COUNTA(Programplan[[#This Row],[BLOCK]]),""),"")</f>
        <v/>
      </c>
      <c r="O22" s="148" t="str">
        <f>IFERROR(IF(SEARCH("4",Programplan[[#This Row],[BLOCK]],1)&gt;0,COUNTA(Programplan[[#This Row],[BLOCK]]),""),"")</f>
        <v/>
      </c>
      <c r="P22" s="148">
        <f>COUNTIF(Programplan[[#This Row],[BETYG]],"G")+COUNTIF(Programplan[[#This Row],[BETYG]],"3")+COUNTIF(Programplan[[#This Row],[BETYG]],"4")+COUNTIF(Programplan[[#This Row],[BETYG]],"5")</f>
        <v>0</v>
      </c>
    </row>
    <row r="23" spans="2:16" ht="20.25" customHeight="1" x14ac:dyDescent="0.3">
      <c r="B23" s="44" t="s">
        <v>149</v>
      </c>
      <c r="C23" s="34"/>
      <c r="D23" s="44" t="s">
        <v>148</v>
      </c>
      <c r="E23" s="44" t="s">
        <v>182</v>
      </c>
      <c r="F23" s="44" t="s">
        <v>105</v>
      </c>
      <c r="G23" s="34">
        <v>10</v>
      </c>
      <c r="H23" s="34">
        <v>2</v>
      </c>
      <c r="I23" s="34">
        <v>3</v>
      </c>
      <c r="J23" s="34" t="s">
        <v>2042</v>
      </c>
      <c r="K23" s="34" t="s">
        <v>2046</v>
      </c>
      <c r="L23" s="146">
        <f>IFERROR(IF(SEARCH("1",Programplan[[#This Row],[BLOCK]])&gt;0,COUNTA(Programplan[[#This Row],[BLOCK]]),""),"")</f>
        <v>1</v>
      </c>
      <c r="M23" s="147" t="str">
        <f>IFERROR(IF(SEARCH("2",Programplan[[#This Row],[BLOCK]],1)&gt;0,COUNTA(Programplan[[#This Row],[BLOCK]]),""),"")</f>
        <v/>
      </c>
      <c r="N23" s="147">
        <f>IFERROR(IF(SEARCH("3",Programplan[[#This Row],[BLOCK]],1)&gt;0,COUNTA(Programplan[[#This Row],[BLOCK]]),""),"")</f>
        <v>1</v>
      </c>
      <c r="O23" s="148" t="str">
        <f>IFERROR(IF(SEARCH("4",Programplan[[#This Row],[BLOCK]],1)&gt;0,COUNTA(Programplan[[#This Row],[BLOCK]]),""),"")</f>
        <v/>
      </c>
      <c r="P23" s="148">
        <f>COUNTIF(Programplan[[#This Row],[BETYG]],"G")+COUNTIF(Programplan[[#This Row],[BETYG]],"3")+COUNTIF(Programplan[[#This Row],[BETYG]],"4")+COUNTIF(Programplan[[#This Row],[BETYG]],"5")</f>
        <v>0</v>
      </c>
    </row>
    <row r="24" spans="2:16" ht="20.25" customHeight="1" x14ac:dyDescent="0.3">
      <c r="B24" s="44" t="s">
        <v>279</v>
      </c>
      <c r="C24" s="34"/>
      <c r="D24" s="44" t="s">
        <v>278</v>
      </c>
      <c r="E24" s="44" t="s">
        <v>183</v>
      </c>
      <c r="F24" s="44" t="s">
        <v>105</v>
      </c>
      <c r="G24" s="34">
        <v>4</v>
      </c>
      <c r="H24" s="34">
        <v>3</v>
      </c>
      <c r="I24" s="34">
        <v>6</v>
      </c>
      <c r="J24" s="34">
        <v>2</v>
      </c>
      <c r="K24" s="34">
        <v>2</v>
      </c>
      <c r="L24" s="146" t="str">
        <f>IFERROR(IF(SEARCH("1",Programplan[[#This Row],[BLOCK]])&gt;0,COUNTA(Programplan[[#This Row],[BLOCK]]),""),"")</f>
        <v/>
      </c>
      <c r="M24" s="147">
        <f>IFERROR(IF(SEARCH("2",Programplan[[#This Row],[BLOCK]],1)&gt;0,COUNTA(Programplan[[#This Row],[BLOCK]]),""),"")</f>
        <v>1</v>
      </c>
      <c r="N24" s="147" t="str">
        <f>IFERROR(IF(SEARCH("3",Programplan[[#This Row],[BLOCK]],1)&gt;0,COUNTA(Programplan[[#This Row],[BLOCK]]),""),"")</f>
        <v/>
      </c>
      <c r="O24" s="148" t="str">
        <f>IFERROR(IF(SEARCH("4",Programplan[[#This Row],[BLOCK]],1)&gt;0,COUNTA(Programplan[[#This Row],[BLOCK]]),""),"")</f>
        <v/>
      </c>
      <c r="P24" s="148">
        <f>COUNTIF(Programplan[[#This Row],[BETYG]],"G")+COUNTIF(Programplan[[#This Row],[BETYG]],"3")+COUNTIF(Programplan[[#This Row],[BETYG]],"4")+COUNTIF(Programplan[[#This Row],[BETYG]],"5")</f>
        <v>0</v>
      </c>
    </row>
    <row r="25" spans="2:16" ht="20.25" customHeight="1" x14ac:dyDescent="0.3">
      <c r="B25" s="44" t="s">
        <v>552</v>
      </c>
      <c r="C25" s="34" t="s">
        <v>2065</v>
      </c>
      <c r="D25" s="44" t="s">
        <v>551</v>
      </c>
      <c r="E25" s="44" t="s">
        <v>29</v>
      </c>
      <c r="F25" s="44" t="s">
        <v>110</v>
      </c>
      <c r="G25" s="34">
        <v>6</v>
      </c>
      <c r="H25" s="34">
        <v>4</v>
      </c>
      <c r="I25" s="34">
        <v>7</v>
      </c>
      <c r="J25" s="34" t="s">
        <v>333</v>
      </c>
      <c r="K25" s="34" t="s">
        <v>333</v>
      </c>
      <c r="L25" s="146" t="str">
        <f>IFERROR(IF(SEARCH("1",Programplan[[#This Row],[BLOCK]])&gt;0,COUNTA(Programplan[[#This Row],[BLOCK]]),""),"")</f>
        <v/>
      </c>
      <c r="M25" s="147">
        <f>IFERROR(IF(SEARCH("2",Programplan[[#This Row],[BLOCK]],1)&gt;0,COUNTA(Programplan[[#This Row],[BLOCK]]),""),"")</f>
        <v>1</v>
      </c>
      <c r="N25" s="147" t="str">
        <f>IFERROR(IF(SEARCH("3",Programplan[[#This Row],[BLOCK]],1)&gt;0,COUNTA(Programplan[[#This Row],[BLOCK]]),""),"")</f>
        <v/>
      </c>
      <c r="O25" s="148" t="str">
        <f>IFERROR(IF(SEARCH("4",Programplan[[#This Row],[BLOCK]],1)&gt;0,COUNTA(Programplan[[#This Row],[BLOCK]]),""),"")</f>
        <v/>
      </c>
      <c r="P25" s="148">
        <f>COUNTIF(Programplan[[#This Row],[BETYG]],"G")+COUNTIF(Programplan[[#This Row],[BETYG]],"3")+COUNTIF(Programplan[[#This Row],[BETYG]],"4")+COUNTIF(Programplan[[#This Row],[BETYG]],"5")</f>
        <v>1</v>
      </c>
    </row>
    <row r="26" spans="2:16" ht="20.25" customHeight="1" x14ac:dyDescent="0.3">
      <c r="B26" s="44" t="s">
        <v>670</v>
      </c>
      <c r="C26" s="34"/>
      <c r="D26" s="44" t="s">
        <v>669</v>
      </c>
      <c r="E26" s="44" t="s">
        <v>99</v>
      </c>
      <c r="F26" s="44" t="s">
        <v>110</v>
      </c>
      <c r="G26" s="34">
        <v>6</v>
      </c>
      <c r="H26" s="34">
        <v>4</v>
      </c>
      <c r="I26" s="34">
        <v>7</v>
      </c>
      <c r="J26" s="34" t="s">
        <v>333</v>
      </c>
      <c r="K26" s="34" t="s">
        <v>333</v>
      </c>
      <c r="L26" s="146" t="str">
        <f>IFERROR(IF(SEARCH("1",Programplan[[#This Row],[BLOCK]])&gt;0,COUNTA(Programplan[[#This Row],[BLOCK]]),""),"")</f>
        <v/>
      </c>
      <c r="M26" s="147">
        <f>IFERROR(IF(SEARCH("2",Programplan[[#This Row],[BLOCK]],1)&gt;0,COUNTA(Programplan[[#This Row],[BLOCK]]),""),"")</f>
        <v>1</v>
      </c>
      <c r="N26" s="147" t="str">
        <f>IFERROR(IF(SEARCH("3",Programplan[[#This Row],[BLOCK]],1)&gt;0,COUNTA(Programplan[[#This Row],[BLOCK]]),""),"")</f>
        <v/>
      </c>
      <c r="O26" s="148" t="str">
        <f>IFERROR(IF(SEARCH("4",Programplan[[#This Row],[BLOCK]],1)&gt;0,COUNTA(Programplan[[#This Row],[BLOCK]]),""),"")</f>
        <v/>
      </c>
      <c r="P26" s="148">
        <f>COUNTIF(Programplan[[#This Row],[BETYG]],"G")+COUNTIF(Programplan[[#This Row],[BETYG]],"3")+COUNTIF(Programplan[[#This Row],[BETYG]],"4")+COUNTIF(Programplan[[#This Row],[BETYG]],"5")</f>
        <v>0</v>
      </c>
    </row>
    <row r="27" spans="2:16" ht="20.25" customHeight="1" x14ac:dyDescent="0.3">
      <c r="B27" s="44" t="s">
        <v>787</v>
      </c>
      <c r="C27" s="34"/>
      <c r="D27" s="44" t="s">
        <v>786</v>
      </c>
      <c r="E27" s="44" t="s">
        <v>183</v>
      </c>
      <c r="F27" s="44" t="s">
        <v>110</v>
      </c>
      <c r="G27" s="34">
        <v>12</v>
      </c>
      <c r="H27" s="34">
        <v>4</v>
      </c>
      <c r="I27" s="34">
        <v>7</v>
      </c>
      <c r="J27" s="34" t="s">
        <v>199</v>
      </c>
      <c r="K27" s="34" t="s">
        <v>199</v>
      </c>
      <c r="L27" s="146">
        <f>IFERROR(IF(SEARCH("1",Programplan[[#This Row],[BLOCK]])&gt;0,COUNTA(Programplan[[#This Row],[BLOCK]]),""),"")</f>
        <v>1</v>
      </c>
      <c r="M27" s="147">
        <f>IFERROR(IF(SEARCH("2",Programplan[[#This Row],[BLOCK]],1)&gt;0,COUNTA(Programplan[[#This Row],[BLOCK]]),""),"")</f>
        <v>1</v>
      </c>
      <c r="N27" s="147" t="str">
        <f>IFERROR(IF(SEARCH("3",Programplan[[#This Row],[BLOCK]],1)&gt;0,COUNTA(Programplan[[#This Row],[BLOCK]]),""),"")</f>
        <v/>
      </c>
      <c r="O27" s="148" t="str">
        <f>IFERROR(IF(SEARCH("4",Programplan[[#This Row],[BLOCK]],1)&gt;0,COUNTA(Programplan[[#This Row],[BLOCK]]),""),"")</f>
        <v/>
      </c>
      <c r="P27" s="148">
        <f>COUNTIF(Programplan[[#This Row],[BETYG]],"G")+COUNTIF(Programplan[[#This Row],[BETYG]],"3")+COUNTIF(Programplan[[#This Row],[BETYG]],"4")+COUNTIF(Programplan[[#This Row],[BETYG]],"5")</f>
        <v>0</v>
      </c>
    </row>
    <row r="28" spans="2:16" ht="20.25" customHeight="1" x14ac:dyDescent="0.3">
      <c r="B28" s="44" t="s">
        <v>279</v>
      </c>
      <c r="C28" s="34"/>
      <c r="D28" s="44" t="s">
        <v>278</v>
      </c>
      <c r="E28" s="44" t="s">
        <v>183</v>
      </c>
      <c r="F28" s="44" t="s">
        <v>105</v>
      </c>
      <c r="G28" s="34">
        <v>4</v>
      </c>
      <c r="H28" s="34">
        <v>4</v>
      </c>
      <c r="I28" s="34">
        <v>8</v>
      </c>
      <c r="J28" s="34">
        <v>2</v>
      </c>
      <c r="K28" s="34">
        <v>2</v>
      </c>
      <c r="L28" s="146" t="str">
        <f>IFERROR(IF(SEARCH("1",Programplan[[#This Row],[BLOCK]])&gt;0,COUNTA(Programplan[[#This Row],[BLOCK]]),""),"")</f>
        <v/>
      </c>
      <c r="M28" s="147">
        <f>IFERROR(IF(SEARCH("2",Programplan[[#This Row],[BLOCK]],1)&gt;0,COUNTA(Programplan[[#This Row],[BLOCK]]),""),"")</f>
        <v>1</v>
      </c>
      <c r="N28" s="147" t="str">
        <f>IFERROR(IF(SEARCH("3",Programplan[[#This Row],[BLOCK]],1)&gt;0,COUNTA(Programplan[[#This Row],[BLOCK]]),""),"")</f>
        <v/>
      </c>
      <c r="O28" s="148" t="str">
        <f>IFERROR(IF(SEARCH("4",Programplan[[#This Row],[BLOCK]],1)&gt;0,COUNTA(Programplan[[#This Row],[BLOCK]]),""),"")</f>
        <v/>
      </c>
      <c r="P28" s="148">
        <f>COUNTIF(Programplan[[#This Row],[BETYG]],"G")+COUNTIF(Programplan[[#This Row],[BETYG]],"3")+COUNTIF(Programplan[[#This Row],[BETYG]],"4")+COUNTIF(Programplan[[#This Row],[BETYG]],"5")</f>
        <v>0</v>
      </c>
    </row>
    <row r="29" spans="2:16" ht="20.25" customHeight="1" x14ac:dyDescent="0.3">
      <c r="B29" s="44" t="s">
        <v>314</v>
      </c>
      <c r="C29" s="34"/>
      <c r="D29" s="44" t="s">
        <v>313</v>
      </c>
      <c r="E29" s="44" t="s">
        <v>21</v>
      </c>
      <c r="F29" s="44" t="s">
        <v>106</v>
      </c>
      <c r="G29" s="34">
        <v>6</v>
      </c>
      <c r="H29" s="34">
        <v>4</v>
      </c>
      <c r="I29" s="34">
        <v>8</v>
      </c>
      <c r="J29" s="34" t="s">
        <v>332</v>
      </c>
      <c r="K29" s="34" t="s">
        <v>222</v>
      </c>
      <c r="L29" s="146" t="str">
        <f>IFERROR(IF(SEARCH("1",Programplan[[#This Row],[BLOCK]])&gt;0,COUNTA(Programplan[[#This Row],[BLOCK]]),""),"")</f>
        <v/>
      </c>
      <c r="M29" s="147" t="str">
        <f>IFERROR(IF(SEARCH("2",Programplan[[#This Row],[BLOCK]],1)&gt;0,COUNTA(Programplan[[#This Row],[BLOCK]]),""),"")</f>
        <v/>
      </c>
      <c r="N29" s="147">
        <f>IFERROR(IF(SEARCH("3",Programplan[[#This Row],[BLOCK]],1)&gt;0,COUNTA(Programplan[[#This Row],[BLOCK]]),""),"")</f>
        <v>1</v>
      </c>
      <c r="O29" s="148" t="str">
        <f>IFERROR(IF(SEARCH("4",Programplan[[#This Row],[BLOCK]],1)&gt;0,COUNTA(Programplan[[#This Row],[BLOCK]]),""),"")</f>
        <v/>
      </c>
      <c r="P29" s="148">
        <f>COUNTIF(Programplan[[#This Row],[BETYG]],"G")+COUNTIF(Programplan[[#This Row],[BETYG]],"3")+COUNTIF(Programplan[[#This Row],[BETYG]],"4")+COUNTIF(Programplan[[#This Row],[BETYG]],"5")</f>
        <v>0</v>
      </c>
    </row>
    <row r="30" spans="2:16" ht="20.25" customHeight="1" x14ac:dyDescent="0.3">
      <c r="B30" s="44" t="s">
        <v>510</v>
      </c>
      <c r="C30" s="34" t="s">
        <v>2065</v>
      </c>
      <c r="D30" s="44" t="s">
        <v>509</v>
      </c>
      <c r="E30" s="44" t="s">
        <v>29</v>
      </c>
      <c r="F30" s="44" t="s">
        <v>110</v>
      </c>
      <c r="G30" s="34">
        <v>6</v>
      </c>
      <c r="H30" s="34">
        <v>5</v>
      </c>
      <c r="I30" s="34">
        <v>9</v>
      </c>
      <c r="J30" s="34" t="s">
        <v>332</v>
      </c>
      <c r="K30" s="34" t="s">
        <v>333</v>
      </c>
      <c r="L30" s="146" t="str">
        <f>IFERROR(IF(SEARCH("1",Programplan[[#This Row],[BLOCK]])&gt;0,COUNTA(Programplan[[#This Row],[BLOCK]]),""),"")</f>
        <v/>
      </c>
      <c r="M30" s="147">
        <f>IFERROR(IF(SEARCH("2",Programplan[[#This Row],[BLOCK]],1)&gt;0,COUNTA(Programplan[[#This Row],[BLOCK]]),""),"")</f>
        <v>1</v>
      </c>
      <c r="N30" s="147" t="str">
        <f>IFERROR(IF(SEARCH("3",Programplan[[#This Row],[BLOCK]],1)&gt;0,COUNTA(Programplan[[#This Row],[BLOCK]]),""),"")</f>
        <v/>
      </c>
      <c r="O30" s="148" t="str">
        <f>IFERROR(IF(SEARCH("4",Programplan[[#This Row],[BLOCK]],1)&gt;0,COUNTA(Programplan[[#This Row],[BLOCK]]),""),"")</f>
        <v/>
      </c>
      <c r="P30" s="148">
        <f>COUNTIF(Programplan[[#This Row],[BETYG]],"G")+COUNTIF(Programplan[[#This Row],[BETYG]],"3")+COUNTIF(Programplan[[#This Row],[BETYG]],"4")+COUNTIF(Programplan[[#This Row],[BETYG]],"5")</f>
        <v>1</v>
      </c>
    </row>
    <row r="31" spans="2:16" ht="20.25" customHeight="1" x14ac:dyDescent="0.3">
      <c r="C31" s="34"/>
      <c r="G31" s="34"/>
      <c r="H31" s="34"/>
      <c r="I31" s="34"/>
      <c r="J31" s="34"/>
      <c r="K31" s="34"/>
      <c r="L31" s="146"/>
      <c r="M31" s="147"/>
      <c r="N31" s="147"/>
      <c r="O31" s="148"/>
      <c r="P31" s="148"/>
    </row>
    <row r="32" spans="2:16" ht="20.25" customHeight="1" x14ac:dyDescent="0.3">
      <c r="B32" s="200"/>
      <c r="C32" s="201"/>
      <c r="D32" s="200"/>
      <c r="E32" s="200"/>
      <c r="F32" s="200"/>
      <c r="G32" s="201"/>
      <c r="H32" s="201"/>
      <c r="I32" s="201"/>
      <c r="J32" s="201"/>
      <c r="K32" s="201"/>
      <c r="L32" s="202"/>
      <c r="M32" s="203"/>
      <c r="N32" s="203"/>
      <c r="O32" s="204"/>
      <c r="P32" s="204"/>
    </row>
    <row r="33" spans="1:25" ht="9.75" customHeight="1" x14ac:dyDescent="0.45">
      <c r="A33" s="46"/>
      <c r="B33" s="46"/>
      <c r="C33" s="46"/>
      <c r="D33" s="46"/>
      <c r="E33" s="46"/>
      <c r="F33" s="46"/>
      <c r="G33" s="46"/>
      <c r="H33" s="46"/>
      <c r="I33" s="46"/>
      <c r="J33" s="46"/>
      <c r="K33" s="46"/>
      <c r="L33" s="43"/>
      <c r="M33" s="43"/>
      <c r="N33" s="43"/>
      <c r="O33" s="43"/>
      <c r="P33" s="43"/>
      <c r="Q33" s="43"/>
      <c r="R33" s="43"/>
      <c r="S33" s="43"/>
      <c r="T33" s="43"/>
      <c r="U33" s="43"/>
      <c r="V33" s="43"/>
      <c r="W33" s="43"/>
      <c r="X33" s="43"/>
      <c r="Y33" s="43"/>
    </row>
    <row r="34" spans="1:25" ht="50.25" customHeight="1" x14ac:dyDescent="0.3">
      <c r="A34" s="279" t="s">
        <v>2048</v>
      </c>
      <c r="B34" s="279"/>
      <c r="C34" s="279"/>
      <c r="D34" s="211"/>
      <c r="E34" s="286" t="s">
        <v>2067</v>
      </c>
      <c r="F34" s="287"/>
      <c r="G34" s="287"/>
      <c r="H34" s="287"/>
      <c r="I34" s="287"/>
      <c r="J34" s="43"/>
      <c r="K34" s="43"/>
      <c r="L34" s="43"/>
      <c r="M34" s="43"/>
      <c r="N34" s="43"/>
      <c r="O34" s="43"/>
      <c r="P34" s="43"/>
      <c r="Q34" s="43"/>
      <c r="R34" s="43"/>
      <c r="S34" s="43"/>
      <c r="T34" s="43"/>
      <c r="U34" s="43"/>
      <c r="V34" s="43"/>
      <c r="W34" s="43"/>
      <c r="X34" s="43"/>
      <c r="Y34" s="43"/>
    </row>
    <row r="35" spans="1:25" ht="9" customHeight="1" x14ac:dyDescent="0.45">
      <c r="A35" s="46"/>
      <c r="B35" s="46"/>
      <c r="C35" s="46"/>
      <c r="D35" s="46"/>
      <c r="E35" s="41"/>
      <c r="F35" s="46"/>
      <c r="G35" s="46"/>
      <c r="H35" s="46"/>
      <c r="I35" s="46"/>
      <c r="J35" s="46"/>
      <c r="K35" s="46"/>
      <c r="L35" s="43"/>
      <c r="M35" s="43"/>
      <c r="N35" s="43"/>
      <c r="O35" s="43"/>
      <c r="P35" s="43"/>
      <c r="Q35" s="43"/>
      <c r="R35" s="43"/>
      <c r="S35" s="43"/>
      <c r="T35" s="43"/>
      <c r="U35" s="43"/>
      <c r="V35" s="43"/>
      <c r="W35" s="43"/>
      <c r="X35" s="43"/>
      <c r="Y35" s="43"/>
    </row>
    <row r="36" spans="1:25" ht="9" customHeight="1" x14ac:dyDescent="0.3"/>
    <row r="37" spans="1:25" ht="32.25" customHeight="1" x14ac:dyDescent="0.3">
      <c r="B37" s="227" t="s">
        <v>2066</v>
      </c>
      <c r="C37" s="228">
        <v>1.875</v>
      </c>
    </row>
    <row r="38" spans="1:25" ht="20.25" customHeight="1" x14ac:dyDescent="0.3"/>
    <row r="39" spans="1:25" ht="20.25" customHeight="1" x14ac:dyDescent="0.3">
      <c r="B39" s="52" t="s">
        <v>7</v>
      </c>
      <c r="C39" s="54" t="s">
        <v>49</v>
      </c>
      <c r="D39" s="53" t="s">
        <v>8</v>
      </c>
      <c r="E39" s="53" t="s">
        <v>19</v>
      </c>
      <c r="F39" s="53" t="s">
        <v>9</v>
      </c>
      <c r="G39" s="54" t="s">
        <v>2060</v>
      </c>
      <c r="H39" s="205" t="s">
        <v>14</v>
      </c>
      <c r="I39" s="54" t="s">
        <v>2055</v>
      </c>
      <c r="J39" s="54" t="s">
        <v>2051</v>
      </c>
      <c r="K39" s="34"/>
      <c r="L39" s="146"/>
      <c r="M39" s="147"/>
      <c r="N39" s="147"/>
      <c r="O39" s="148"/>
    </row>
    <row r="40" spans="1:25" ht="18" customHeight="1" x14ac:dyDescent="0.3">
      <c r="B40" s="44" t="s">
        <v>2049</v>
      </c>
      <c r="C40" s="34"/>
      <c r="D40" s="34" t="s">
        <v>2056</v>
      </c>
      <c r="E40" s="44" t="s">
        <v>21</v>
      </c>
      <c r="G40" s="34">
        <v>3</v>
      </c>
      <c r="H40" s="34">
        <f>HPKVOT*Utlandsstudier[[#This Row],[CREDITS]]</f>
        <v>5.625</v>
      </c>
      <c r="I40" s="34" t="s">
        <v>2052</v>
      </c>
      <c r="J40" s="34" t="s">
        <v>2052</v>
      </c>
      <c r="K40" s="34"/>
      <c r="L40" s="34"/>
      <c r="M40" s="34"/>
    </row>
    <row r="41" spans="1:25" ht="18" customHeight="1" x14ac:dyDescent="0.3">
      <c r="B41" s="44" t="s">
        <v>2050</v>
      </c>
      <c r="C41" s="34"/>
      <c r="D41" s="34" t="s">
        <v>2057</v>
      </c>
      <c r="E41" s="44" t="s">
        <v>21</v>
      </c>
      <c r="G41" s="34">
        <v>4</v>
      </c>
      <c r="H41" s="34">
        <f>HPKVOT*Utlandsstudier[[#This Row],[CREDITS]]</f>
        <v>7.5</v>
      </c>
      <c r="I41" s="34" t="s">
        <v>2052</v>
      </c>
      <c r="J41" s="34" t="s">
        <v>2052</v>
      </c>
      <c r="K41" s="34"/>
      <c r="L41" s="34"/>
      <c r="M41" s="34"/>
    </row>
    <row r="42" spans="1:25" ht="18" customHeight="1" x14ac:dyDescent="0.3">
      <c r="B42" s="44" t="s">
        <v>2053</v>
      </c>
      <c r="C42" s="34"/>
      <c r="D42" s="34" t="s">
        <v>2058</v>
      </c>
      <c r="E42" s="44" t="s">
        <v>21</v>
      </c>
      <c r="G42" s="34">
        <v>3</v>
      </c>
      <c r="H42" s="34">
        <f>HPKVOT*Utlandsstudier[[#This Row],[CREDITS]]</f>
        <v>5.625</v>
      </c>
      <c r="I42" s="34" t="s">
        <v>2052</v>
      </c>
      <c r="J42" s="34" t="s">
        <v>2052</v>
      </c>
      <c r="K42" s="34"/>
      <c r="L42" s="34"/>
      <c r="M42" s="34"/>
    </row>
    <row r="43" spans="1:25" ht="18" customHeight="1" x14ac:dyDescent="0.3">
      <c r="B43" s="44" t="s">
        <v>2054</v>
      </c>
      <c r="C43" s="34"/>
      <c r="D43" s="34" t="s">
        <v>2059</v>
      </c>
      <c r="E43" s="44" t="s">
        <v>21</v>
      </c>
      <c r="G43" s="34">
        <v>3</v>
      </c>
      <c r="H43" s="34">
        <f>HPKVOT*Utlandsstudier[[#This Row],[CREDITS]]</f>
        <v>5.625</v>
      </c>
      <c r="I43" s="34" t="s">
        <v>2052</v>
      </c>
      <c r="J43" s="34" t="s">
        <v>2064</v>
      </c>
      <c r="K43" s="34"/>
      <c r="L43" s="34"/>
      <c r="M43" s="34"/>
    </row>
    <row r="44" spans="1:25" ht="18" customHeight="1" x14ac:dyDescent="0.3">
      <c r="B44" s="44" t="s">
        <v>2061</v>
      </c>
      <c r="C44" s="34"/>
      <c r="D44" s="34" t="s">
        <v>2062</v>
      </c>
      <c r="E44" s="44" t="s">
        <v>21</v>
      </c>
      <c r="G44" s="34">
        <v>3</v>
      </c>
      <c r="H44" s="157">
        <f>HPKVOT*Utlandsstudier[[#This Row],[CREDITS]]</f>
        <v>5.625</v>
      </c>
      <c r="I44" s="34" t="s">
        <v>2052</v>
      </c>
      <c r="J44" s="34" t="s">
        <v>2064</v>
      </c>
      <c r="K44" s="34"/>
      <c r="L44" s="34"/>
      <c r="M44" s="34"/>
    </row>
    <row r="45" spans="1:25" ht="18" customHeight="1" x14ac:dyDescent="0.3">
      <c r="C45" s="34"/>
      <c r="D45" s="34" t="s">
        <v>2074</v>
      </c>
      <c r="E45" s="44" t="s">
        <v>27</v>
      </c>
      <c r="G45" s="34"/>
      <c r="H45" s="157">
        <f>HPKVOT*Utlandsstudier[[#This Row],[CREDITS]]</f>
        <v>0</v>
      </c>
      <c r="I45" s="34" t="s">
        <v>2076</v>
      </c>
      <c r="J45" s="34" t="s">
        <v>2064</v>
      </c>
      <c r="K45" s="34"/>
      <c r="L45" s="34"/>
      <c r="M45" s="34"/>
    </row>
    <row r="46" spans="1:25" ht="18" customHeight="1" x14ac:dyDescent="0.3">
      <c r="C46" s="34"/>
      <c r="D46" s="34" t="s">
        <v>2075</v>
      </c>
      <c r="E46" s="44" t="s">
        <v>27</v>
      </c>
      <c r="G46" s="34"/>
      <c r="H46" s="157">
        <f>HPKVOT*Utlandsstudier[[#This Row],[CREDITS]]</f>
        <v>0</v>
      </c>
      <c r="I46" s="34" t="s">
        <v>2076</v>
      </c>
      <c r="J46" s="34" t="s">
        <v>2064</v>
      </c>
      <c r="K46" s="34"/>
      <c r="L46" s="34"/>
      <c r="M46" s="34"/>
    </row>
    <row r="47" spans="1:25" ht="18" customHeight="1" x14ac:dyDescent="0.3">
      <c r="B47" s="44" t="s">
        <v>2069</v>
      </c>
      <c r="C47" s="34"/>
      <c r="D47" s="34" t="s">
        <v>2068</v>
      </c>
      <c r="G47" s="34">
        <v>3</v>
      </c>
      <c r="H47" s="157">
        <f>HPKVOT*Utlandsstudier[[#This Row],[CREDITS]]</f>
        <v>5.625</v>
      </c>
      <c r="I47" s="34" t="s">
        <v>2064</v>
      </c>
      <c r="J47" s="34" t="s">
        <v>2064</v>
      </c>
      <c r="K47" s="34"/>
      <c r="L47" s="34"/>
      <c r="M47" s="34"/>
    </row>
    <row r="48" spans="1:25" ht="18" customHeight="1" x14ac:dyDescent="0.3">
      <c r="B48" s="44" t="s">
        <v>2070</v>
      </c>
      <c r="C48" s="34"/>
      <c r="D48" s="34" t="s">
        <v>2071</v>
      </c>
      <c r="G48" s="34">
        <v>3</v>
      </c>
      <c r="H48" s="157">
        <f>HPKVOT*Utlandsstudier[[#This Row],[CREDITS]]</f>
        <v>5.625</v>
      </c>
      <c r="I48" s="34" t="s">
        <v>2064</v>
      </c>
      <c r="J48" s="34" t="s">
        <v>2064</v>
      </c>
      <c r="K48" s="34"/>
      <c r="L48" s="34"/>
      <c r="M48" s="34"/>
    </row>
    <row r="49" spans="2:13" ht="18" customHeight="1" x14ac:dyDescent="0.3">
      <c r="B49" s="44" t="s">
        <v>2072</v>
      </c>
      <c r="C49" s="34"/>
      <c r="D49" s="34" t="s">
        <v>2073</v>
      </c>
      <c r="G49" s="34">
        <v>2</v>
      </c>
      <c r="H49" s="157">
        <f>HPKVOT*Utlandsstudier[[#This Row],[CREDITS]]</f>
        <v>3.75</v>
      </c>
      <c r="I49" s="34" t="s">
        <v>2064</v>
      </c>
      <c r="J49" s="34" t="s">
        <v>2064</v>
      </c>
      <c r="K49" s="34"/>
      <c r="L49" s="34"/>
      <c r="M49" s="34"/>
    </row>
    <row r="50" spans="2:13" ht="18" customHeight="1" x14ac:dyDescent="0.3">
      <c r="G50" s="53" t="s">
        <v>2063</v>
      </c>
      <c r="H50" s="34">
        <f>SUBTOTAL(109,Utlandsstudier[HÖGSKOLEPOÄNG])</f>
        <v>45</v>
      </c>
      <c r="I50" s="34"/>
      <c r="J50" s="34"/>
      <c r="K50" s="34"/>
      <c r="L50" s="34"/>
      <c r="M50" s="34"/>
    </row>
    <row r="51" spans="2:13" ht="18" customHeight="1" x14ac:dyDescent="0.3">
      <c r="G51" s="34"/>
      <c r="H51" s="34"/>
      <c r="I51" s="34"/>
      <c r="J51" s="34"/>
      <c r="K51" s="34"/>
      <c r="L51" s="34"/>
      <c r="M51" s="34"/>
    </row>
    <row r="52" spans="2:13" ht="18" customHeight="1" x14ac:dyDescent="0.3">
      <c r="G52" s="34"/>
      <c r="H52" s="34"/>
      <c r="I52" s="34"/>
      <c r="J52" s="34"/>
      <c r="K52" s="34"/>
      <c r="L52" s="34"/>
      <c r="M52" s="34"/>
    </row>
    <row r="53" spans="2:13" ht="18" customHeight="1" x14ac:dyDescent="0.3">
      <c r="G53" s="34"/>
      <c r="H53" s="34"/>
      <c r="I53" s="34"/>
      <c r="J53" s="34"/>
      <c r="K53" s="34"/>
      <c r="L53" s="34"/>
      <c r="M53" s="34"/>
    </row>
    <row r="54" spans="2:13" ht="18" customHeight="1" x14ac:dyDescent="0.3">
      <c r="G54" s="34"/>
      <c r="H54" s="34"/>
      <c r="I54" s="34"/>
      <c r="J54" s="34"/>
      <c r="K54" s="34"/>
      <c r="L54" s="34"/>
      <c r="M54" s="34"/>
    </row>
    <row r="55" spans="2:13" ht="18" customHeight="1" x14ac:dyDescent="0.3">
      <c r="G55" s="34"/>
      <c r="H55" s="34"/>
      <c r="I55" s="34"/>
      <c r="J55" s="34"/>
      <c r="K55" s="34"/>
      <c r="L55" s="34"/>
      <c r="M55" s="34"/>
    </row>
    <row r="56" spans="2:13" ht="18" customHeight="1" x14ac:dyDescent="0.3">
      <c r="G56" s="34"/>
      <c r="H56" s="34"/>
      <c r="I56" s="34"/>
      <c r="J56" s="34"/>
      <c r="K56" s="34"/>
      <c r="L56" s="34"/>
      <c r="M56" s="34"/>
    </row>
    <row r="57" spans="2:13" ht="18" customHeight="1" x14ac:dyDescent="0.3">
      <c r="G57" s="34"/>
      <c r="H57" s="34"/>
      <c r="I57" s="34"/>
      <c r="J57" s="34"/>
      <c r="K57" s="34"/>
      <c r="L57" s="34"/>
      <c r="M57" s="34"/>
    </row>
    <row r="58" spans="2:13" ht="18" customHeight="1" x14ac:dyDescent="0.3">
      <c r="G58" s="34"/>
      <c r="H58" s="34"/>
      <c r="I58" s="34"/>
      <c r="J58" s="34"/>
      <c r="K58" s="34"/>
      <c r="L58" s="34"/>
      <c r="M58" s="34"/>
    </row>
    <row r="59" spans="2:13" ht="18" customHeight="1" x14ac:dyDescent="0.3">
      <c r="G59" s="34"/>
      <c r="H59" s="34"/>
      <c r="I59" s="34"/>
      <c r="J59" s="34"/>
      <c r="K59" s="34"/>
      <c r="L59" s="34"/>
      <c r="M59" s="34"/>
    </row>
    <row r="60" spans="2:13" ht="18" customHeight="1" x14ac:dyDescent="0.3">
      <c r="G60" s="34"/>
      <c r="H60" s="34"/>
      <c r="I60" s="34"/>
      <c r="J60" s="34"/>
      <c r="K60" s="34"/>
      <c r="L60" s="34"/>
      <c r="M60" s="34"/>
    </row>
    <row r="61" spans="2:13" ht="18" customHeight="1" x14ac:dyDescent="0.3">
      <c r="G61" s="34"/>
      <c r="H61" s="34"/>
      <c r="I61" s="34"/>
      <c r="J61" s="34"/>
      <c r="K61" s="34"/>
      <c r="L61" s="34"/>
      <c r="M61" s="34"/>
    </row>
    <row r="62" spans="2:13" ht="18" customHeight="1" x14ac:dyDescent="0.3">
      <c r="G62" s="34"/>
      <c r="H62" s="34"/>
      <c r="I62" s="34"/>
      <c r="J62" s="34"/>
      <c r="K62" s="34"/>
      <c r="L62" s="34"/>
      <c r="M62" s="34"/>
    </row>
    <row r="63" spans="2:13" ht="18" customHeight="1" x14ac:dyDescent="0.3">
      <c r="G63" s="34"/>
      <c r="H63" s="34"/>
      <c r="I63" s="34"/>
      <c r="J63" s="34"/>
      <c r="K63" s="34"/>
      <c r="L63" s="34"/>
      <c r="M63" s="34"/>
    </row>
    <row r="64" spans="2:13" ht="18" customHeight="1" x14ac:dyDescent="0.3">
      <c r="G64" s="34"/>
      <c r="H64" s="34"/>
      <c r="I64" s="34"/>
      <c r="J64" s="34"/>
      <c r="K64" s="34"/>
      <c r="L64" s="34"/>
      <c r="M64" s="34"/>
    </row>
    <row r="65" spans="7:13" ht="18" customHeight="1" x14ac:dyDescent="0.3">
      <c r="G65" s="34"/>
      <c r="H65" s="34"/>
      <c r="I65" s="34"/>
      <c r="J65" s="34"/>
      <c r="K65" s="34"/>
      <c r="L65" s="34"/>
      <c r="M65" s="34"/>
    </row>
    <row r="66" spans="7:13" ht="18" customHeight="1" x14ac:dyDescent="0.3">
      <c r="G66" s="34"/>
      <c r="H66" s="34"/>
      <c r="I66" s="34"/>
      <c r="J66" s="34"/>
      <c r="K66" s="34"/>
      <c r="L66" s="34"/>
      <c r="M66" s="34"/>
    </row>
    <row r="67" spans="7:13" ht="18" customHeight="1" x14ac:dyDescent="0.3">
      <c r="G67" s="34"/>
      <c r="H67" s="34"/>
      <c r="I67" s="34"/>
      <c r="J67" s="34"/>
      <c r="K67" s="34"/>
      <c r="L67" s="34"/>
      <c r="M67" s="34"/>
    </row>
    <row r="68" spans="7:13" ht="18" customHeight="1" x14ac:dyDescent="0.3">
      <c r="G68" s="34"/>
      <c r="H68" s="34"/>
      <c r="I68" s="34"/>
      <c r="J68" s="34"/>
      <c r="K68" s="34"/>
      <c r="L68" s="34"/>
      <c r="M68" s="34"/>
    </row>
    <row r="69" spans="7:13" ht="18" customHeight="1" x14ac:dyDescent="0.3">
      <c r="G69" s="34"/>
      <c r="H69" s="34"/>
      <c r="I69" s="34"/>
      <c r="J69" s="34"/>
      <c r="K69" s="34"/>
      <c r="L69" s="34"/>
      <c r="M69" s="34"/>
    </row>
    <row r="70" spans="7:13" ht="18" customHeight="1" x14ac:dyDescent="0.3">
      <c r="G70" s="34"/>
      <c r="H70" s="34"/>
      <c r="I70" s="34"/>
      <c r="J70" s="34"/>
      <c r="K70" s="34"/>
      <c r="L70" s="34"/>
      <c r="M70" s="34"/>
    </row>
    <row r="71" spans="7:13" ht="18" customHeight="1" x14ac:dyDescent="0.3">
      <c r="G71" s="34"/>
      <c r="H71" s="34"/>
      <c r="I71" s="34"/>
      <c r="J71" s="34"/>
      <c r="K71" s="34"/>
      <c r="L71" s="34"/>
      <c r="M71" s="34"/>
    </row>
    <row r="72" spans="7:13" ht="18" customHeight="1" x14ac:dyDescent="0.3">
      <c r="G72" s="34"/>
      <c r="H72" s="34"/>
      <c r="I72" s="34"/>
      <c r="J72" s="34"/>
      <c r="K72" s="34"/>
      <c r="L72" s="34"/>
      <c r="M72" s="34"/>
    </row>
    <row r="73" spans="7:13" ht="18" customHeight="1" x14ac:dyDescent="0.3">
      <c r="G73" s="34"/>
      <c r="H73" s="34"/>
      <c r="I73" s="34"/>
      <c r="J73" s="34"/>
      <c r="K73" s="34"/>
      <c r="L73" s="34"/>
      <c r="M73" s="34"/>
    </row>
    <row r="74" spans="7:13" ht="18" customHeight="1" x14ac:dyDescent="0.3">
      <c r="G74" s="34"/>
      <c r="H74" s="34"/>
      <c r="I74" s="34"/>
      <c r="J74" s="34"/>
      <c r="K74" s="34"/>
      <c r="L74" s="34"/>
      <c r="M74" s="34"/>
    </row>
    <row r="75" spans="7:13" ht="18" customHeight="1" x14ac:dyDescent="0.3">
      <c r="G75" s="34"/>
      <c r="H75" s="34"/>
      <c r="I75" s="34"/>
      <c r="J75" s="34"/>
      <c r="K75" s="34"/>
      <c r="L75" s="34"/>
      <c r="M75" s="34"/>
    </row>
    <row r="76" spans="7:13" ht="18" customHeight="1" x14ac:dyDescent="0.3">
      <c r="G76" s="34"/>
      <c r="H76" s="34"/>
      <c r="I76" s="34"/>
      <c r="J76" s="34"/>
      <c r="K76" s="34"/>
      <c r="L76" s="34"/>
      <c r="M76" s="34"/>
    </row>
    <row r="77" spans="7:13" ht="18" customHeight="1" x14ac:dyDescent="0.3">
      <c r="G77" s="34"/>
      <c r="H77" s="34"/>
      <c r="I77" s="34"/>
      <c r="J77" s="34"/>
      <c r="K77" s="34"/>
      <c r="L77" s="34"/>
      <c r="M77" s="34"/>
    </row>
    <row r="78" spans="7:13" ht="18" customHeight="1" x14ac:dyDescent="0.3">
      <c r="G78" s="34"/>
      <c r="H78" s="34"/>
      <c r="I78" s="34"/>
      <c r="J78" s="34"/>
      <c r="K78" s="34"/>
      <c r="L78" s="34"/>
      <c r="M78" s="34"/>
    </row>
    <row r="79" spans="7:13" ht="18" customHeight="1" x14ac:dyDescent="0.3">
      <c r="G79" s="34"/>
      <c r="H79" s="34"/>
      <c r="I79" s="34"/>
      <c r="J79" s="34"/>
      <c r="K79" s="34"/>
      <c r="L79" s="34"/>
      <c r="M79" s="34"/>
    </row>
    <row r="80" spans="7:13" ht="18" customHeight="1" x14ac:dyDescent="0.3">
      <c r="G80" s="34"/>
      <c r="H80" s="34"/>
      <c r="I80" s="34"/>
      <c r="J80" s="34"/>
      <c r="K80" s="34"/>
      <c r="L80" s="34"/>
      <c r="M80" s="34"/>
    </row>
    <row r="81" spans="7:13" ht="18" customHeight="1" x14ac:dyDescent="0.3">
      <c r="G81" s="34"/>
      <c r="H81" s="34"/>
      <c r="I81" s="34"/>
      <c r="J81" s="34"/>
      <c r="K81" s="34"/>
      <c r="L81" s="34"/>
      <c r="M81" s="34"/>
    </row>
    <row r="82" spans="7:13" ht="18" customHeight="1" x14ac:dyDescent="0.3">
      <c r="G82" s="34"/>
      <c r="H82" s="34"/>
      <c r="I82" s="34"/>
      <c r="J82" s="34"/>
      <c r="K82" s="34"/>
      <c r="L82" s="34"/>
      <c r="M82" s="34"/>
    </row>
    <row r="83" spans="7:13" ht="18" customHeight="1" x14ac:dyDescent="0.3">
      <c r="G83" s="34"/>
      <c r="H83" s="34"/>
      <c r="I83" s="34"/>
      <c r="J83" s="34"/>
      <c r="K83" s="34"/>
      <c r="L83" s="34"/>
      <c r="M83" s="34"/>
    </row>
    <row r="84" spans="7:13" ht="18" customHeight="1" x14ac:dyDescent="0.3">
      <c r="G84" s="34"/>
      <c r="H84" s="34"/>
      <c r="I84" s="34"/>
      <c r="J84" s="34"/>
      <c r="K84" s="34"/>
      <c r="L84" s="34"/>
      <c r="M84" s="34"/>
    </row>
    <row r="85" spans="7:13" ht="18" customHeight="1" x14ac:dyDescent="0.3">
      <c r="G85" s="34"/>
      <c r="H85" s="34"/>
      <c r="I85" s="34"/>
      <c r="J85" s="34"/>
      <c r="K85" s="34"/>
      <c r="L85" s="34"/>
      <c r="M85" s="34"/>
    </row>
    <row r="86" spans="7:13" ht="18" customHeight="1" x14ac:dyDescent="0.3">
      <c r="G86" s="34"/>
      <c r="H86" s="34"/>
      <c r="I86" s="34"/>
      <c r="J86" s="34"/>
      <c r="K86" s="34"/>
      <c r="L86" s="34"/>
      <c r="M86" s="34"/>
    </row>
    <row r="87" spans="7:13" ht="18" customHeight="1" x14ac:dyDescent="0.3">
      <c r="G87" s="34"/>
      <c r="H87" s="34"/>
      <c r="I87" s="34"/>
      <c r="J87" s="34"/>
      <c r="K87" s="34"/>
      <c r="L87" s="34"/>
      <c r="M87" s="34"/>
    </row>
    <row r="88" spans="7:13" ht="18" customHeight="1" x14ac:dyDescent="0.3">
      <c r="G88" s="34"/>
      <c r="H88" s="34"/>
      <c r="I88" s="34"/>
      <c r="J88" s="34"/>
      <c r="K88" s="34"/>
      <c r="L88" s="34"/>
      <c r="M88" s="34"/>
    </row>
    <row r="89" spans="7:13" ht="18" customHeight="1" x14ac:dyDescent="0.3">
      <c r="G89" s="34"/>
      <c r="H89" s="34"/>
      <c r="I89" s="34"/>
      <c r="J89" s="34"/>
      <c r="K89" s="34"/>
      <c r="L89" s="34"/>
      <c r="M89" s="34"/>
    </row>
    <row r="90" spans="7:13" ht="18" customHeight="1" x14ac:dyDescent="0.3">
      <c r="G90" s="34"/>
      <c r="H90" s="34"/>
      <c r="I90" s="34"/>
      <c r="J90" s="34"/>
      <c r="K90" s="34"/>
      <c r="L90" s="34"/>
      <c r="M90" s="34"/>
    </row>
    <row r="91" spans="7:13" ht="18" customHeight="1" x14ac:dyDescent="0.3">
      <c r="G91" s="34"/>
      <c r="H91" s="34"/>
      <c r="I91" s="34"/>
      <c r="J91" s="34"/>
      <c r="K91" s="34"/>
    </row>
    <row r="92" spans="7:13" ht="18" customHeight="1" x14ac:dyDescent="0.3">
      <c r="G92" s="34"/>
      <c r="H92" s="34"/>
      <c r="I92" s="34"/>
      <c r="J92" s="34"/>
      <c r="K92" s="34"/>
    </row>
    <row r="93" spans="7:13" ht="18" customHeight="1" x14ac:dyDescent="0.3">
      <c r="G93" s="34"/>
      <c r="H93" s="34"/>
      <c r="I93" s="34"/>
      <c r="J93" s="34"/>
      <c r="K93" s="56"/>
    </row>
    <row r="94" spans="7:13" ht="18" customHeight="1" x14ac:dyDescent="0.3">
      <c r="G94" s="34"/>
      <c r="H94" s="34"/>
      <c r="I94" s="34"/>
      <c r="J94" s="34"/>
      <c r="K94" s="56"/>
    </row>
    <row r="95" spans="7:13" ht="18" customHeight="1" x14ac:dyDescent="0.3">
      <c r="G95" s="34"/>
      <c r="H95" s="34"/>
      <c r="I95" s="34"/>
      <c r="J95" s="34"/>
      <c r="K95" s="56"/>
    </row>
    <row r="96" spans="7:13" ht="18" customHeight="1" x14ac:dyDescent="0.3">
      <c r="G96" s="34"/>
      <c r="H96" s="34"/>
      <c r="I96" s="34"/>
      <c r="J96" s="34"/>
      <c r="K96" s="56"/>
    </row>
    <row r="97" spans="2:11" ht="18" customHeight="1" x14ac:dyDescent="0.3">
      <c r="B97" s="56"/>
      <c r="C97" s="56"/>
      <c r="D97" s="56"/>
      <c r="E97" s="56"/>
      <c r="F97" s="56"/>
      <c r="G97" s="56"/>
      <c r="H97" s="56"/>
      <c r="I97" s="56"/>
      <c r="J97" s="56"/>
      <c r="K97" s="56"/>
    </row>
    <row r="98" spans="2:11" ht="18" customHeight="1" x14ac:dyDescent="0.3">
      <c r="B98" s="56"/>
      <c r="C98" s="56"/>
      <c r="D98" s="56"/>
      <c r="E98" s="56"/>
      <c r="F98" s="56"/>
      <c r="G98" s="56"/>
      <c r="H98" s="56"/>
      <c r="I98" s="56"/>
      <c r="J98" s="56"/>
      <c r="K98"/>
    </row>
    <row r="99" spans="2:11" ht="57.75" customHeight="1" x14ac:dyDescent="0.3">
      <c r="B99" s="56"/>
      <c r="C99" s="56"/>
      <c r="D99" s="56"/>
      <c r="E99" s="56"/>
      <c r="F99" s="56"/>
      <c r="G99" s="56"/>
      <c r="H99" s="56"/>
      <c r="I99" s="56"/>
      <c r="J99" s="56"/>
    </row>
    <row r="100" spans="2:11" ht="18" customHeight="1" x14ac:dyDescent="0.3">
      <c r="B100" s="56"/>
      <c r="C100" s="56"/>
      <c r="D100" s="56"/>
      <c r="E100" s="56"/>
      <c r="F100" s="56"/>
      <c r="G100" s="56"/>
      <c r="H100" s="56"/>
      <c r="I100" s="56"/>
      <c r="J100" s="56"/>
    </row>
    <row r="101" spans="2:11" ht="18" customHeight="1" x14ac:dyDescent="0.3">
      <c r="B101" s="56"/>
      <c r="C101" s="56"/>
      <c r="D101" s="56"/>
      <c r="E101" s="56"/>
      <c r="F101" s="56"/>
      <c r="G101" s="56"/>
      <c r="H101" s="56"/>
      <c r="I101" s="56"/>
      <c r="J101" s="56"/>
    </row>
    <row r="102" spans="2:11" ht="18" customHeight="1" x14ac:dyDescent="0.3">
      <c r="B102"/>
      <c r="C102"/>
      <c r="D102"/>
      <c r="E102"/>
      <c r="F102"/>
      <c r="G102"/>
      <c r="H102"/>
      <c r="I102"/>
      <c r="J102"/>
    </row>
  </sheetData>
  <dataConsolidate link="1"/>
  <mergeCells count="9">
    <mergeCell ref="A2:B2"/>
    <mergeCell ref="A12:C12"/>
    <mergeCell ref="E2:K2"/>
    <mergeCell ref="A34:C34"/>
    <mergeCell ref="B4:D4"/>
    <mergeCell ref="E12:G12"/>
    <mergeCell ref="F9:I9"/>
    <mergeCell ref="E34:I34"/>
    <mergeCell ref="F5:J8"/>
  </mergeCells>
  <dataValidations count="6">
    <dataValidation type="list" showInputMessage="1" showErrorMessage="1" sqref="E40:E47 E16:E32">
      <formula1>DynamicTextRange</formula1>
    </dataValidation>
    <dataValidation type="list" allowBlank="1" showInputMessage="1" showErrorMessage="1" sqref="K44:K92 J51:J96">
      <formula1>ValidPerioder</formula1>
    </dataValidation>
    <dataValidation showInputMessage="1" showErrorMessage="1" sqref="I47:I49 J42:J49"/>
    <dataValidation type="list" showInputMessage="1" showErrorMessage="1" sqref="I51:I96">
      <formula1>ValidSemester</formula1>
    </dataValidation>
    <dataValidation type="list" allowBlank="1" showInputMessage="1" showErrorMessage="1" sqref="F48:F49 F51:F97">
      <formula1>ValidLevels</formula1>
    </dataValidation>
    <dataValidation type="whole" showInputMessage="1" showErrorMessage="1" sqref="I16:I32">
      <formula1>0</formula1>
      <formula2>10</formula2>
    </dataValidation>
  </dataValidations>
  <printOptions horizontalCentered="1"/>
  <pageMargins left="0.25" right="0.25" top="0.75" bottom="0.75" header="0.3" footer="0.3"/>
  <pageSetup scale="66" fitToHeight="0" orientation="portrait" r:id="rId1"/>
  <headerFooter differentFirst="1">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8" r:id="rId4" name="Drop Down 2">
              <controlPr defaultSize="0" autoLine="0" autoPict="0" macro="[0]!Nedrullningsbarlistruta2_Ändra">
                <anchor moveWithCells="1">
                  <from>
                    <xdr:col>1</xdr:col>
                    <xdr:colOff>1914525</xdr:colOff>
                    <xdr:row>5</xdr:row>
                    <xdr:rowOff>47625</xdr:rowOff>
                  </from>
                  <to>
                    <xdr:col>3</xdr:col>
                    <xdr:colOff>428625</xdr:colOff>
                    <xdr:row>5</xdr:row>
                    <xdr:rowOff>352425</xdr:rowOff>
                  </to>
                </anchor>
              </controlPr>
            </control>
          </mc:Choice>
        </mc:AlternateContent>
        <mc:AlternateContent xmlns:mc="http://schemas.openxmlformats.org/markup-compatibility/2006">
          <mc:Choice Requires="x14">
            <control shapeId="4099" r:id="rId5" name="Drop Down 3">
              <controlPr defaultSize="0" autoLine="0" autoPict="0" macro="[0]!Nedrullningsbarlistruta3_Ändra">
                <anchor moveWithCells="1">
                  <from>
                    <xdr:col>1</xdr:col>
                    <xdr:colOff>1914525</xdr:colOff>
                    <xdr:row>6</xdr:row>
                    <xdr:rowOff>47625</xdr:rowOff>
                  </from>
                  <to>
                    <xdr:col>3</xdr:col>
                    <xdr:colOff>428625</xdr:colOff>
                    <xdr:row>6</xdr:row>
                    <xdr:rowOff>352425</xdr:rowOff>
                  </to>
                </anchor>
              </controlPr>
            </control>
          </mc:Choice>
        </mc:AlternateContent>
        <mc:AlternateContent xmlns:mc="http://schemas.openxmlformats.org/markup-compatibility/2006">
          <mc:Choice Requires="x14">
            <control shapeId="4100" r:id="rId6" name="Drop Down 4">
              <controlPr defaultSize="0" autoLine="0" autoPict="0" macro="[0]!Nedrullningsbarlistruta4_Ändra">
                <anchor moveWithCells="1">
                  <from>
                    <xdr:col>1</xdr:col>
                    <xdr:colOff>1914525</xdr:colOff>
                    <xdr:row>7</xdr:row>
                    <xdr:rowOff>38100</xdr:rowOff>
                  </from>
                  <to>
                    <xdr:col>3</xdr:col>
                    <xdr:colOff>428625</xdr:colOff>
                    <xdr:row>7</xdr:row>
                    <xdr:rowOff>342900</xdr:rowOff>
                  </to>
                </anchor>
              </controlPr>
            </control>
          </mc:Choice>
        </mc:AlternateContent>
        <mc:AlternateContent xmlns:mc="http://schemas.openxmlformats.org/markup-compatibility/2006">
          <mc:Choice Requires="x14">
            <control shapeId="4101" r:id="rId7" name="Drop Down 5">
              <controlPr defaultSize="0" autoLine="0" autoPict="0" macro="[0]!Nedrullningsbarlistruta5_Ändra">
                <anchor moveWithCells="1">
                  <from>
                    <xdr:col>1</xdr:col>
                    <xdr:colOff>1914525</xdr:colOff>
                    <xdr:row>4</xdr:row>
                    <xdr:rowOff>76200</xdr:rowOff>
                  </from>
                  <to>
                    <xdr:col>3</xdr:col>
                    <xdr:colOff>428625</xdr:colOff>
                    <xdr:row>4</xdr:row>
                    <xdr:rowOff>381000</xdr:rowOff>
                  </to>
                </anchor>
              </controlPr>
            </control>
          </mc:Choice>
        </mc:AlternateContent>
      </controls>
    </mc:Choice>
  </mc:AlternateContent>
  <tableParts count="2">
    <tablePart r:id="rId8"/>
    <tablePart r:id="rId9"/>
  </tableParts>
  <extLst>
    <ext xmlns:x14="http://schemas.microsoft.com/office/spreadsheetml/2009/9/main" uri="{78C0D931-6437-407d-A8EE-F0AAD7539E65}">
      <x14:conditionalFormattings>
        <x14:conditionalFormatting xmlns:xm="http://schemas.microsoft.com/office/excel/2006/main">
          <x14:cfRule type="iconSet" priority="32" id="{64BB9DE0-AE0B-4ED7-8534-262C30E8162A}">
            <x14:iconSet custom="1">
              <x14:cfvo type="percent">
                <xm:f>0</xm:f>
              </x14:cfvo>
              <x14:cfvo type="num">
                <xm:f>1</xm:f>
              </x14:cfvo>
              <x14:cfvo type="num">
                <xm:f>2</xm:f>
              </x14:cfvo>
              <x14:cfIcon iconSet="3Symbols2" iconId="2"/>
              <x14:cfIcon iconSet="NoIcons" iconId="0"/>
              <x14:cfIcon iconSet="NoIcons" iconId="0"/>
            </x14:iconSet>
          </x14:cfRule>
          <xm:sqref>J9:K9</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14:formula1>
            <xm:f>Konstanter!$B$6:$B$10</xm:f>
          </x14:formula1>
          <xm:sqref>L40:M90 C40:C49 C16:C32</xm:sqref>
        </x14:dataValidation>
        <x14:dataValidation type="list" allowBlank="1" showInputMessage="1" showErrorMessage="1">
          <x14:formula1>
            <xm:f>Konstanter!$F$6:$F$8</xm:f>
          </x14:formula1>
          <xm:sqref>F40:F47 F16:F32</xm:sqref>
        </x14:dataValidation>
        <x14:dataValidation type="list" showInputMessage="1" showErrorMessage="1">
          <x14:formula1>
            <xm:f>'Program och examenskrav'!$F$29:$F$33</xm:f>
          </x14:formula1>
          <xm:sqref>E48:E49 E51:E96</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1">
    <tabColor rgb="FF0070C0"/>
    <pageSetUpPr autoPageBreaks="0" fitToPage="1"/>
  </sheetPr>
  <dimension ref="A1:L2080"/>
  <sheetViews>
    <sheetView showGridLines="0" topLeftCell="A9" zoomScaleNormal="100" workbookViewId="0">
      <selection activeCell="B37" sqref="B37"/>
    </sheetView>
  </sheetViews>
  <sheetFormatPr defaultRowHeight="18" customHeight="1" x14ac:dyDescent="0.3"/>
  <cols>
    <col min="1" max="1" width="52" customWidth="1"/>
    <col min="2" max="2" width="21.125" bestFit="1" customWidth="1"/>
    <col min="3" max="3" width="26.5" customWidth="1"/>
    <col min="4" max="4" width="38.5" customWidth="1"/>
    <col min="5" max="5" width="9.75" customWidth="1"/>
    <col min="6" max="6" width="14.875" customWidth="1"/>
    <col min="7" max="7" width="17.375" customWidth="1"/>
    <col min="8" max="8" width="10.75" customWidth="1"/>
    <col min="9" max="9" width="17.375" customWidth="1"/>
    <col min="10" max="10" width="15.625" customWidth="1"/>
    <col min="11" max="11" width="43.375" customWidth="1"/>
    <col min="12" max="12" width="31.375" customWidth="1"/>
  </cols>
  <sheetData>
    <row r="1" spans="1:12" ht="9" customHeight="1" x14ac:dyDescent="0.3">
      <c r="A1" s="1"/>
      <c r="B1" s="1"/>
      <c r="C1" s="1"/>
      <c r="D1" s="1"/>
      <c r="E1" s="1"/>
      <c r="F1" s="1"/>
      <c r="G1" s="1"/>
      <c r="H1" s="8"/>
      <c r="I1" s="1"/>
      <c r="J1" s="1"/>
      <c r="K1" s="1"/>
      <c r="L1" s="1"/>
    </row>
    <row r="2" spans="1:12" ht="51" customHeight="1" x14ac:dyDescent="0.3">
      <c r="A2" s="10" t="s">
        <v>111</v>
      </c>
      <c r="B2" s="59"/>
      <c r="C2" s="1"/>
      <c r="D2" s="291" t="str">
        <f>CONCATENATE("Just nu finns kursdata för ",COUNTA(ProgramKurser[KURSNAMN])," kurser, inom ",COUNTA(AvailablePrograms[PROGRAMNAMN]), " program och ",COUNTA(Spec[INRIKTNING]), " inriktningar, inlagda i arbetsboken.")</f>
        <v>Just nu finns kursdata för 1377 kurser, inom 11 program och 48 inriktningar, inlagda i arbetsboken.</v>
      </c>
      <c r="E2" s="292"/>
      <c r="F2" s="292"/>
      <c r="G2" s="292"/>
      <c r="H2" s="292"/>
      <c r="I2" s="292"/>
      <c r="J2" s="1"/>
      <c r="K2" s="1"/>
      <c r="L2" s="1"/>
    </row>
    <row r="3" spans="1:12" ht="9" customHeight="1" x14ac:dyDescent="0.3">
      <c r="A3" s="1"/>
      <c r="B3" s="1"/>
      <c r="C3" s="1"/>
      <c r="D3" s="1"/>
      <c r="E3" s="5"/>
      <c r="F3" s="1"/>
      <c r="G3" s="1"/>
      <c r="H3" s="8"/>
      <c r="I3" s="1"/>
      <c r="J3" s="1"/>
      <c r="K3" s="1"/>
      <c r="L3" s="1"/>
    </row>
    <row r="4" spans="1:12" ht="9" customHeight="1" x14ac:dyDescent="0.3"/>
    <row r="5" spans="1:12" ht="18" customHeight="1" x14ac:dyDescent="0.3">
      <c r="A5" s="181" t="s">
        <v>7</v>
      </c>
      <c r="B5" s="29" t="s">
        <v>8</v>
      </c>
      <c r="C5" s="119" t="s">
        <v>19</v>
      </c>
      <c r="D5" s="119" t="s">
        <v>9</v>
      </c>
      <c r="E5" s="119" t="s">
        <v>43</v>
      </c>
      <c r="F5" s="119" t="s">
        <v>4</v>
      </c>
      <c r="G5" s="81" t="s">
        <v>28</v>
      </c>
      <c r="H5" s="81" t="s">
        <v>15</v>
      </c>
      <c r="I5" s="81" t="s">
        <v>44</v>
      </c>
      <c r="J5" s="293" t="s">
        <v>2038</v>
      </c>
      <c r="K5" s="293"/>
    </row>
    <row r="6" spans="1:12" ht="18" customHeight="1" x14ac:dyDescent="0.3">
      <c r="A6" s="182"/>
      <c r="B6" s="153"/>
      <c r="C6" s="153"/>
      <c r="D6" s="153"/>
      <c r="E6" s="153"/>
      <c r="F6" s="154"/>
      <c r="G6" s="107"/>
      <c r="H6" s="152"/>
      <c r="I6" s="152"/>
      <c r="J6" s="294"/>
      <c r="K6" s="295"/>
    </row>
    <row r="7" spans="1:12" ht="18" customHeight="1" x14ac:dyDescent="0.3">
      <c r="A7" s="23"/>
      <c r="B7" s="23"/>
      <c r="C7" s="24"/>
      <c r="D7" s="24"/>
      <c r="E7" s="25"/>
      <c r="F7" s="25"/>
      <c r="G7" s="24"/>
      <c r="H7" s="26"/>
      <c r="I7" s="27"/>
    </row>
    <row r="8" spans="1:12" ht="42" customHeight="1" x14ac:dyDescent="0.3">
      <c r="A8" s="217" t="s">
        <v>2024</v>
      </c>
      <c r="B8" s="190"/>
      <c r="C8" s="190"/>
      <c r="D8" s="225" t="s">
        <v>191</v>
      </c>
      <c r="F8" s="296" t="s">
        <v>2079</v>
      </c>
      <c r="G8" s="296"/>
      <c r="H8" s="296"/>
      <c r="I8" s="296"/>
    </row>
    <row r="9" spans="1:12" ht="18" customHeight="1" x14ac:dyDescent="0.3">
      <c r="A9" s="190"/>
      <c r="B9" s="190"/>
      <c r="C9" s="190"/>
      <c r="D9" s="190"/>
      <c r="F9" s="258"/>
      <c r="G9" s="258"/>
      <c r="H9" s="258"/>
      <c r="I9" s="258"/>
    </row>
    <row r="10" spans="1:12" ht="27.75" customHeight="1" thickBot="1" x14ac:dyDescent="0.35">
      <c r="A10" s="190"/>
      <c r="B10" s="190"/>
      <c r="C10" s="190"/>
      <c r="D10" s="190"/>
      <c r="F10" s="297"/>
      <c r="G10" s="297"/>
      <c r="H10" s="297"/>
      <c r="I10" s="297"/>
    </row>
    <row r="11" spans="1:12" ht="18" customHeight="1" thickTop="1" x14ac:dyDescent="0.3"/>
    <row r="12" spans="1:12" ht="6.75" customHeight="1" x14ac:dyDescent="0.3">
      <c r="A12" s="1"/>
      <c r="B12" s="1"/>
      <c r="C12" s="1"/>
      <c r="D12" s="1"/>
      <c r="E12" s="1"/>
      <c r="F12" s="1"/>
      <c r="G12" s="1"/>
      <c r="H12" s="8"/>
      <c r="I12" s="1"/>
      <c r="J12" s="1"/>
      <c r="K12" s="1"/>
      <c r="L12" s="1"/>
    </row>
    <row r="13" spans="1:12" ht="51" customHeight="1" x14ac:dyDescent="0.3">
      <c r="A13" s="10" t="s">
        <v>6</v>
      </c>
      <c r="B13" s="59" t="s">
        <v>89</v>
      </c>
      <c r="C13" s="1"/>
      <c r="D13" s="280" t="str">
        <f>'Ditt informationsblad'!$E$2</f>
        <v>Civilingenjör i Industriell Ekonomi</v>
      </c>
      <c r="E13" s="281"/>
      <c r="F13" s="281"/>
      <c r="G13" s="281"/>
      <c r="H13" s="281"/>
      <c r="I13" s="1"/>
      <c r="J13" s="1"/>
      <c r="K13" s="1"/>
      <c r="L13" s="1"/>
    </row>
    <row r="14" spans="1:12" ht="6.75" customHeight="1" x14ac:dyDescent="0.3">
      <c r="A14" s="1"/>
      <c r="B14" s="1"/>
      <c r="C14" s="1"/>
      <c r="D14" s="1"/>
      <c r="E14" s="5"/>
      <c r="F14" s="1"/>
      <c r="G14" s="1"/>
      <c r="H14" s="8"/>
      <c r="I14" s="1"/>
      <c r="J14" s="1"/>
      <c r="K14" s="1"/>
      <c r="L14" s="1"/>
    </row>
    <row r="15" spans="1:12" ht="20.25" customHeight="1" x14ac:dyDescent="0.3">
      <c r="A15" s="7" t="s">
        <v>7</v>
      </c>
      <c r="B15" s="63" t="s">
        <v>98</v>
      </c>
      <c r="C15" s="2" t="s">
        <v>8</v>
      </c>
      <c r="D15" s="7" t="s">
        <v>19</v>
      </c>
      <c r="E15" s="3" t="s">
        <v>9</v>
      </c>
      <c r="F15" s="7" t="s">
        <v>3</v>
      </c>
      <c r="G15" s="9" t="s">
        <v>4</v>
      </c>
      <c r="H15" s="2" t="s">
        <v>28</v>
      </c>
      <c r="I15" s="2" t="s">
        <v>42</v>
      </c>
      <c r="J15" s="2" t="s">
        <v>44</v>
      </c>
      <c r="K15" s="2" t="s">
        <v>20</v>
      </c>
      <c r="L15" s="2" t="s">
        <v>15</v>
      </c>
    </row>
    <row r="16" spans="1:12" ht="20.25" customHeight="1" x14ac:dyDescent="0.3">
      <c r="A16" s="90" t="s">
        <v>131</v>
      </c>
      <c r="B16" s="84" t="s">
        <v>929</v>
      </c>
      <c r="C16" s="7" t="s">
        <v>130</v>
      </c>
      <c r="D16" s="85" t="s">
        <v>182</v>
      </c>
      <c r="E16" s="86" t="s">
        <v>105</v>
      </c>
      <c r="F16" s="63">
        <v>8</v>
      </c>
      <c r="G16" s="123">
        <v>1</v>
      </c>
      <c r="H16" s="63" t="s">
        <v>876</v>
      </c>
      <c r="I16" s="63">
        <v>1</v>
      </c>
      <c r="J16" s="63" t="s">
        <v>919</v>
      </c>
      <c r="K16" s="63" t="s">
        <v>16</v>
      </c>
      <c r="L16" s="63" t="s">
        <v>362</v>
      </c>
    </row>
    <row r="17" spans="1:12" ht="20.25" customHeight="1" x14ac:dyDescent="0.3">
      <c r="A17" s="90" t="s">
        <v>133</v>
      </c>
      <c r="B17" s="84" t="s">
        <v>929</v>
      </c>
      <c r="C17" s="7" t="s">
        <v>132</v>
      </c>
      <c r="D17" s="85" t="s">
        <v>182</v>
      </c>
      <c r="E17" s="86" t="s">
        <v>105</v>
      </c>
      <c r="F17" s="63">
        <v>10</v>
      </c>
      <c r="G17" s="142">
        <v>1</v>
      </c>
      <c r="H17" s="63" t="s">
        <v>876</v>
      </c>
      <c r="I17" s="63">
        <v>1</v>
      </c>
      <c r="J17" s="63" t="s">
        <v>920</v>
      </c>
      <c r="K17" s="63" t="s">
        <v>16</v>
      </c>
      <c r="L17" s="63" t="s">
        <v>362</v>
      </c>
    </row>
    <row r="18" spans="1:12" ht="20.25" customHeight="1" x14ac:dyDescent="0.3">
      <c r="A18" s="90" t="s">
        <v>135</v>
      </c>
      <c r="B18" s="84" t="s">
        <v>929</v>
      </c>
      <c r="C18" s="7" t="s">
        <v>134</v>
      </c>
      <c r="D18" s="85" t="s">
        <v>182</v>
      </c>
      <c r="E18" s="86" t="s">
        <v>105</v>
      </c>
      <c r="F18" s="63">
        <v>6</v>
      </c>
      <c r="G18" s="142">
        <v>1</v>
      </c>
      <c r="H18" s="63" t="s">
        <v>873</v>
      </c>
      <c r="I18" s="63">
        <v>1</v>
      </c>
      <c r="J18" s="63" t="s">
        <v>883</v>
      </c>
      <c r="K18" s="63" t="s">
        <v>16</v>
      </c>
      <c r="L18" s="63" t="s">
        <v>362</v>
      </c>
    </row>
    <row r="19" spans="1:12" ht="20.25" customHeight="1" x14ac:dyDescent="0.3">
      <c r="A19" s="90" t="s">
        <v>137</v>
      </c>
      <c r="B19" s="84" t="s">
        <v>929</v>
      </c>
      <c r="C19" s="7" t="s">
        <v>136</v>
      </c>
      <c r="D19" s="85" t="s">
        <v>182</v>
      </c>
      <c r="E19" s="86" t="s">
        <v>105</v>
      </c>
      <c r="F19" s="63">
        <v>6</v>
      </c>
      <c r="G19" s="142">
        <v>2</v>
      </c>
      <c r="H19" s="63" t="s">
        <v>868</v>
      </c>
      <c r="I19" s="63">
        <v>1</v>
      </c>
      <c r="J19" s="63" t="s">
        <v>873</v>
      </c>
      <c r="K19" s="63" t="s">
        <v>16</v>
      </c>
      <c r="L19" s="63" t="s">
        <v>362</v>
      </c>
    </row>
    <row r="20" spans="1:12" ht="20.25" customHeight="1" x14ac:dyDescent="0.3">
      <c r="A20" s="90" t="s">
        <v>510</v>
      </c>
      <c r="B20" s="84" t="s">
        <v>929</v>
      </c>
      <c r="C20" s="7" t="s">
        <v>509</v>
      </c>
      <c r="D20" s="85" t="s">
        <v>29</v>
      </c>
      <c r="E20" s="86" t="s">
        <v>110</v>
      </c>
      <c r="F20" s="63">
        <v>6</v>
      </c>
      <c r="G20" s="142">
        <v>9</v>
      </c>
      <c r="H20" s="63" t="s">
        <v>280</v>
      </c>
      <c r="I20" s="63">
        <v>5</v>
      </c>
      <c r="J20" s="63" t="s">
        <v>339</v>
      </c>
      <c r="K20" s="63" t="s">
        <v>16</v>
      </c>
      <c r="L20" s="63" t="s">
        <v>361</v>
      </c>
    </row>
    <row r="21" spans="1:12" ht="20.25" customHeight="1" x14ac:dyDescent="0.3">
      <c r="A21" s="90" t="s">
        <v>552</v>
      </c>
      <c r="B21" s="84" t="s">
        <v>929</v>
      </c>
      <c r="C21" s="7" t="s">
        <v>551</v>
      </c>
      <c r="D21" s="85" t="s">
        <v>29</v>
      </c>
      <c r="E21" s="86" t="s">
        <v>110</v>
      </c>
      <c r="F21" s="63">
        <v>6</v>
      </c>
      <c r="G21" s="142">
        <v>7</v>
      </c>
      <c r="H21" s="63" t="s">
        <v>333</v>
      </c>
      <c r="I21" s="63">
        <v>4</v>
      </c>
      <c r="J21" s="63" t="s">
        <v>333</v>
      </c>
      <c r="K21" s="63" t="s">
        <v>16</v>
      </c>
      <c r="L21" s="63">
        <v>2014</v>
      </c>
    </row>
    <row r="22" spans="1:12" ht="20.25" customHeight="1" x14ac:dyDescent="0.3">
      <c r="A22" s="90" t="s">
        <v>143</v>
      </c>
      <c r="B22" s="84" t="s">
        <v>929</v>
      </c>
      <c r="C22" s="7" t="s">
        <v>142</v>
      </c>
      <c r="D22" s="85" t="s">
        <v>182</v>
      </c>
      <c r="E22" s="86" t="s">
        <v>105</v>
      </c>
      <c r="F22" s="63">
        <v>8</v>
      </c>
      <c r="G22" s="142">
        <v>2</v>
      </c>
      <c r="H22" s="63" t="s">
        <v>873</v>
      </c>
      <c r="I22" s="63">
        <v>1</v>
      </c>
      <c r="J22" s="63" t="s">
        <v>873</v>
      </c>
      <c r="K22" s="63" t="s">
        <v>16</v>
      </c>
      <c r="L22" s="63" t="s">
        <v>362</v>
      </c>
    </row>
    <row r="23" spans="1:12" ht="20.25" customHeight="1" x14ac:dyDescent="0.3">
      <c r="A23" s="90" t="s">
        <v>279</v>
      </c>
      <c r="B23" s="84" t="s">
        <v>929</v>
      </c>
      <c r="C23" s="7" t="s">
        <v>278</v>
      </c>
      <c r="D23" s="85" t="s">
        <v>183</v>
      </c>
      <c r="E23" s="86" t="s">
        <v>105</v>
      </c>
      <c r="F23" s="63">
        <v>4</v>
      </c>
      <c r="G23" s="142">
        <v>6</v>
      </c>
      <c r="H23" s="63" t="s">
        <v>542</v>
      </c>
      <c r="I23" s="63">
        <v>3</v>
      </c>
      <c r="J23" s="63" t="s">
        <v>542</v>
      </c>
      <c r="K23" s="63" t="s">
        <v>16</v>
      </c>
      <c r="L23" s="63" t="s">
        <v>352</v>
      </c>
    </row>
    <row r="24" spans="1:12" ht="20.25" customHeight="1" x14ac:dyDescent="0.3">
      <c r="A24" s="90" t="s">
        <v>147</v>
      </c>
      <c r="B24" s="84" t="s">
        <v>929</v>
      </c>
      <c r="C24" s="7" t="s">
        <v>146</v>
      </c>
      <c r="D24" s="85" t="s">
        <v>182</v>
      </c>
      <c r="E24" s="86" t="s">
        <v>105</v>
      </c>
      <c r="F24" s="63">
        <v>6</v>
      </c>
      <c r="G24" s="142">
        <v>3</v>
      </c>
      <c r="H24" s="63" t="s">
        <v>868</v>
      </c>
      <c r="I24" s="63">
        <v>2</v>
      </c>
      <c r="J24" s="63" t="s">
        <v>868</v>
      </c>
      <c r="K24" s="63" t="s">
        <v>16</v>
      </c>
      <c r="L24" s="63" t="s">
        <v>362</v>
      </c>
    </row>
    <row r="25" spans="1:12" ht="20.25" customHeight="1" x14ac:dyDescent="0.3">
      <c r="A25" s="90" t="s">
        <v>279</v>
      </c>
      <c r="B25" s="84" t="s">
        <v>929</v>
      </c>
      <c r="C25" s="7" t="s">
        <v>278</v>
      </c>
      <c r="D25" s="85" t="s">
        <v>183</v>
      </c>
      <c r="E25" s="86" t="s">
        <v>105</v>
      </c>
      <c r="F25" s="63">
        <v>4</v>
      </c>
      <c r="G25" s="142">
        <v>8</v>
      </c>
      <c r="H25" s="63">
        <v>2</v>
      </c>
      <c r="I25" s="63">
        <v>4</v>
      </c>
      <c r="J25" s="63">
        <v>2</v>
      </c>
      <c r="K25" s="63" t="s">
        <v>16</v>
      </c>
      <c r="L25" s="63">
        <v>2014</v>
      </c>
    </row>
    <row r="26" spans="1:12" ht="20.25" customHeight="1" x14ac:dyDescent="0.3">
      <c r="A26" s="90" t="s">
        <v>129</v>
      </c>
      <c r="B26" s="84"/>
      <c r="C26" s="7" t="s">
        <v>128</v>
      </c>
      <c r="D26" s="85" t="s">
        <v>182</v>
      </c>
      <c r="E26" s="86" t="s">
        <v>105</v>
      </c>
      <c r="F26" s="63">
        <v>6</v>
      </c>
      <c r="G26" s="142">
        <v>1</v>
      </c>
      <c r="H26" s="63" t="s">
        <v>917</v>
      </c>
      <c r="I26" s="63">
        <v>1</v>
      </c>
      <c r="J26" s="63" t="s">
        <v>918</v>
      </c>
      <c r="K26" s="63" t="s">
        <v>16</v>
      </c>
      <c r="L26" s="63" t="s">
        <v>362</v>
      </c>
    </row>
    <row r="27" spans="1:12" ht="20.25" customHeight="1" x14ac:dyDescent="0.3">
      <c r="A27" s="90" t="s">
        <v>510</v>
      </c>
      <c r="B27" s="84"/>
      <c r="C27" s="7" t="s">
        <v>509</v>
      </c>
      <c r="D27" s="85" t="s">
        <v>29</v>
      </c>
      <c r="E27" s="86" t="s">
        <v>110</v>
      </c>
      <c r="F27" s="63">
        <v>6</v>
      </c>
      <c r="G27" s="142">
        <v>8</v>
      </c>
      <c r="H27" s="63" t="s">
        <v>346</v>
      </c>
      <c r="I27" s="63">
        <v>4</v>
      </c>
      <c r="J27" s="63" t="s">
        <v>346</v>
      </c>
      <c r="K27" s="63" t="s">
        <v>16</v>
      </c>
      <c r="L27" s="63" t="s">
        <v>538</v>
      </c>
    </row>
    <row r="28" spans="1:12" ht="20.25" customHeight="1" x14ac:dyDescent="0.3">
      <c r="A28" s="90" t="s">
        <v>139</v>
      </c>
      <c r="B28" s="84"/>
      <c r="C28" s="7" t="s">
        <v>138</v>
      </c>
      <c r="D28" s="85" t="s">
        <v>182</v>
      </c>
      <c r="E28" s="86" t="s">
        <v>105</v>
      </c>
      <c r="F28" s="63">
        <v>8</v>
      </c>
      <c r="G28" s="142">
        <v>2</v>
      </c>
      <c r="H28" s="63" t="s">
        <v>861</v>
      </c>
      <c r="I28" s="63">
        <v>1</v>
      </c>
      <c r="J28" s="63" t="s">
        <v>921</v>
      </c>
      <c r="K28" s="63" t="s">
        <v>16</v>
      </c>
      <c r="L28" s="63" t="s">
        <v>369</v>
      </c>
    </row>
    <row r="29" spans="1:12" ht="20.25" customHeight="1" x14ac:dyDescent="0.3">
      <c r="A29" s="90" t="s">
        <v>145</v>
      </c>
      <c r="B29" s="84"/>
      <c r="C29" s="7" t="s">
        <v>144</v>
      </c>
      <c r="D29" s="85" t="s">
        <v>182</v>
      </c>
      <c r="E29" s="86" t="s">
        <v>105</v>
      </c>
      <c r="F29" s="63">
        <v>2</v>
      </c>
      <c r="G29" s="142">
        <v>2</v>
      </c>
      <c r="H29" s="63" t="s">
        <v>533</v>
      </c>
      <c r="I29" s="63">
        <v>1</v>
      </c>
      <c r="J29" s="63" t="s">
        <v>922</v>
      </c>
      <c r="K29" s="63" t="s">
        <v>16</v>
      </c>
      <c r="L29" s="63" t="s">
        <v>369</v>
      </c>
    </row>
    <row r="30" spans="1:12" ht="20.25" customHeight="1" x14ac:dyDescent="0.3">
      <c r="A30" s="90" t="s">
        <v>141</v>
      </c>
      <c r="B30" s="84" t="s">
        <v>929</v>
      </c>
      <c r="C30" s="7" t="s">
        <v>140</v>
      </c>
      <c r="D30" s="85" t="s">
        <v>182</v>
      </c>
      <c r="E30" s="86" t="s">
        <v>106</v>
      </c>
      <c r="F30" s="63">
        <v>6</v>
      </c>
      <c r="G30" s="142">
        <v>2</v>
      </c>
      <c r="H30" s="63" t="s">
        <v>851</v>
      </c>
      <c r="I30" s="63">
        <v>1</v>
      </c>
      <c r="J30" s="63" t="s">
        <v>345</v>
      </c>
      <c r="K30" s="63" t="s">
        <v>16</v>
      </c>
      <c r="L30" s="63" t="s">
        <v>679</v>
      </c>
    </row>
    <row r="31" spans="1:12" ht="20.25" customHeight="1" x14ac:dyDescent="0.3">
      <c r="A31" s="90" t="s">
        <v>670</v>
      </c>
      <c r="B31" s="84" t="s">
        <v>929</v>
      </c>
      <c r="C31" s="7" t="s">
        <v>669</v>
      </c>
      <c r="D31" s="85" t="s">
        <v>99</v>
      </c>
      <c r="E31" s="86" t="s">
        <v>110</v>
      </c>
      <c r="F31" s="63">
        <v>6</v>
      </c>
      <c r="G31" s="142">
        <v>7</v>
      </c>
      <c r="H31" s="63" t="s">
        <v>680</v>
      </c>
      <c r="I31" s="63">
        <v>4</v>
      </c>
      <c r="J31" s="63" t="s">
        <v>346</v>
      </c>
      <c r="K31" s="63" t="s">
        <v>16</v>
      </c>
      <c r="L31" s="63" t="s">
        <v>848</v>
      </c>
    </row>
    <row r="32" spans="1:12" ht="20.25" customHeight="1" x14ac:dyDescent="0.3">
      <c r="A32" s="90" t="s">
        <v>787</v>
      </c>
      <c r="B32" s="84" t="s">
        <v>929</v>
      </c>
      <c r="C32" s="7" t="s">
        <v>786</v>
      </c>
      <c r="D32" s="85" t="s">
        <v>183</v>
      </c>
      <c r="E32" s="86" t="s">
        <v>110</v>
      </c>
      <c r="F32" s="63">
        <v>12</v>
      </c>
      <c r="G32" s="142">
        <v>7</v>
      </c>
      <c r="H32" s="63" t="s">
        <v>199</v>
      </c>
      <c r="I32" s="63">
        <v>4</v>
      </c>
      <c r="J32" s="63" t="s">
        <v>199</v>
      </c>
      <c r="K32" s="63" t="s">
        <v>16</v>
      </c>
      <c r="L32" s="63">
        <v>2009</v>
      </c>
    </row>
    <row r="33" spans="1:12" ht="20.25" customHeight="1" x14ac:dyDescent="0.3">
      <c r="A33" s="90" t="s">
        <v>149</v>
      </c>
      <c r="B33" s="84" t="s">
        <v>929</v>
      </c>
      <c r="C33" s="7" t="s">
        <v>148</v>
      </c>
      <c r="D33" s="85" t="s">
        <v>182</v>
      </c>
      <c r="E33" s="86" t="s">
        <v>105</v>
      </c>
      <c r="F33" s="63">
        <v>10</v>
      </c>
      <c r="G33" s="142">
        <v>3</v>
      </c>
      <c r="H33" s="63" t="s">
        <v>851</v>
      </c>
      <c r="I33" s="63">
        <v>2</v>
      </c>
      <c r="J33" s="63" t="s">
        <v>907</v>
      </c>
      <c r="K33" s="63" t="s">
        <v>16</v>
      </c>
      <c r="L33" s="63" t="s">
        <v>679</v>
      </c>
    </row>
    <row r="34" spans="1:12" ht="20.25" customHeight="1" x14ac:dyDescent="0.3">
      <c r="A34" s="90" t="s">
        <v>151</v>
      </c>
      <c r="B34" s="84"/>
      <c r="C34" s="7" t="s">
        <v>150</v>
      </c>
      <c r="D34" s="85" t="s">
        <v>182</v>
      </c>
      <c r="E34" s="86" t="s">
        <v>105</v>
      </c>
      <c r="F34" s="63">
        <v>4</v>
      </c>
      <c r="G34" s="142">
        <v>3</v>
      </c>
      <c r="H34" s="63" t="s">
        <v>528</v>
      </c>
      <c r="I34" s="63">
        <v>2</v>
      </c>
      <c r="J34" s="63" t="s">
        <v>527</v>
      </c>
      <c r="K34" s="63" t="s">
        <v>16</v>
      </c>
      <c r="L34" s="63" t="s">
        <v>679</v>
      </c>
    </row>
    <row r="35" spans="1:12" ht="20.25" customHeight="1" x14ac:dyDescent="0.3">
      <c r="A35" s="90" t="s">
        <v>294</v>
      </c>
      <c r="B35" s="84"/>
      <c r="C35" s="7" t="s">
        <v>293</v>
      </c>
      <c r="D35" s="85" t="s">
        <v>182</v>
      </c>
      <c r="E35" s="86" t="s">
        <v>106</v>
      </c>
      <c r="F35" s="63">
        <v>4</v>
      </c>
      <c r="G35" s="142">
        <v>3</v>
      </c>
      <c r="H35" s="63" t="s">
        <v>443</v>
      </c>
      <c r="I35" s="63">
        <v>2</v>
      </c>
      <c r="J35" s="63" t="s">
        <v>841</v>
      </c>
      <c r="K35" s="63" t="s">
        <v>16</v>
      </c>
      <c r="L35" s="63" t="s">
        <v>546</v>
      </c>
    </row>
    <row r="36" spans="1:12" ht="20.25" customHeight="1" x14ac:dyDescent="0.3">
      <c r="A36" s="90" t="s">
        <v>155</v>
      </c>
      <c r="B36" s="84"/>
      <c r="C36" s="7" t="s">
        <v>154</v>
      </c>
      <c r="D36" s="85" t="s">
        <v>182</v>
      </c>
      <c r="E36" s="86" t="s">
        <v>105</v>
      </c>
      <c r="F36" s="63">
        <v>6</v>
      </c>
      <c r="G36" s="142">
        <v>3</v>
      </c>
      <c r="H36" s="63" t="s">
        <v>527</v>
      </c>
      <c r="I36" s="63">
        <v>2</v>
      </c>
      <c r="J36" s="63" t="s">
        <v>527</v>
      </c>
      <c r="K36" s="63" t="s">
        <v>16</v>
      </c>
      <c r="L36" s="63" t="s">
        <v>679</v>
      </c>
    </row>
    <row r="37" spans="1:12" ht="20.25" customHeight="1" x14ac:dyDescent="0.3">
      <c r="A37" s="90" t="s">
        <v>159</v>
      </c>
      <c r="B37" s="84"/>
      <c r="C37" s="7" t="s">
        <v>158</v>
      </c>
      <c r="D37" s="85" t="s">
        <v>182</v>
      </c>
      <c r="E37" s="86" t="s">
        <v>106</v>
      </c>
      <c r="F37" s="63">
        <v>6</v>
      </c>
      <c r="G37" s="142">
        <v>4</v>
      </c>
      <c r="H37" s="63" t="s">
        <v>925</v>
      </c>
      <c r="I37" s="63">
        <v>2</v>
      </c>
      <c r="J37" s="63" t="s">
        <v>874</v>
      </c>
      <c r="K37" s="63" t="s">
        <v>16</v>
      </c>
      <c r="L37" s="63" t="s">
        <v>362</v>
      </c>
    </row>
    <row r="38" spans="1:12" ht="20.25" customHeight="1" x14ac:dyDescent="0.3">
      <c r="A38" s="90" t="s">
        <v>825</v>
      </c>
      <c r="B38" s="84"/>
      <c r="C38" s="7" t="s">
        <v>824</v>
      </c>
      <c r="D38" s="85" t="s">
        <v>183</v>
      </c>
      <c r="E38" s="86" t="s">
        <v>110</v>
      </c>
      <c r="F38" s="63">
        <v>6</v>
      </c>
      <c r="G38" s="142">
        <v>8</v>
      </c>
      <c r="H38" s="63" t="s">
        <v>868</v>
      </c>
      <c r="I38" s="63">
        <v>4</v>
      </c>
      <c r="J38" s="63" t="s">
        <v>885</v>
      </c>
      <c r="K38" s="63" t="s">
        <v>16</v>
      </c>
      <c r="L38" s="63" t="s">
        <v>362</v>
      </c>
    </row>
    <row r="39" spans="1:12" ht="20.25" customHeight="1" x14ac:dyDescent="0.3">
      <c r="A39" s="90" t="s">
        <v>396</v>
      </c>
      <c r="B39" s="84"/>
      <c r="C39" s="7" t="s">
        <v>395</v>
      </c>
      <c r="D39" s="85" t="s">
        <v>183</v>
      </c>
      <c r="E39" s="86" t="s">
        <v>110</v>
      </c>
      <c r="F39" s="63">
        <v>6</v>
      </c>
      <c r="G39" s="142">
        <v>7</v>
      </c>
      <c r="H39" s="63" t="s">
        <v>873</v>
      </c>
      <c r="I39" s="63">
        <v>4</v>
      </c>
      <c r="J39" s="63" t="s">
        <v>868</v>
      </c>
      <c r="K39" s="63" t="s">
        <v>16</v>
      </c>
      <c r="L39" s="63" t="s">
        <v>362</v>
      </c>
    </row>
    <row r="40" spans="1:12" ht="20.25" customHeight="1" x14ac:dyDescent="0.3">
      <c r="A40" s="90" t="s">
        <v>161</v>
      </c>
      <c r="B40" s="84"/>
      <c r="C40" s="7" t="s">
        <v>160</v>
      </c>
      <c r="D40" s="85" t="s">
        <v>182</v>
      </c>
      <c r="E40" s="86" t="s">
        <v>106</v>
      </c>
      <c r="F40" s="63">
        <v>6</v>
      </c>
      <c r="G40" s="142">
        <v>4</v>
      </c>
      <c r="H40" s="63" t="s">
        <v>873</v>
      </c>
      <c r="I40" s="63">
        <v>2</v>
      </c>
      <c r="J40" s="63" t="s">
        <v>926</v>
      </c>
      <c r="K40" s="63" t="s">
        <v>16</v>
      </c>
      <c r="L40" s="63" t="s">
        <v>362</v>
      </c>
    </row>
    <row r="41" spans="1:12" ht="20.25" customHeight="1" x14ac:dyDescent="0.3">
      <c r="A41" s="90" t="s">
        <v>153</v>
      </c>
      <c r="B41" s="84"/>
      <c r="C41" s="7" t="s">
        <v>152</v>
      </c>
      <c r="D41" s="85" t="s">
        <v>182</v>
      </c>
      <c r="E41" s="86" t="s">
        <v>105</v>
      </c>
      <c r="F41" s="63">
        <v>4</v>
      </c>
      <c r="G41" s="142">
        <v>4</v>
      </c>
      <c r="H41" s="63" t="s">
        <v>444</v>
      </c>
      <c r="I41" s="63">
        <v>2</v>
      </c>
      <c r="J41" s="63" t="s">
        <v>839</v>
      </c>
      <c r="K41" s="63" t="s">
        <v>16</v>
      </c>
      <c r="L41" s="63" t="s">
        <v>361</v>
      </c>
    </row>
    <row r="42" spans="1:12" ht="20.25" customHeight="1" x14ac:dyDescent="0.3">
      <c r="A42" s="90" t="s">
        <v>157</v>
      </c>
      <c r="B42" s="84"/>
      <c r="C42" s="7" t="s">
        <v>156</v>
      </c>
      <c r="D42" s="85" t="s">
        <v>182</v>
      </c>
      <c r="E42" s="86" t="s">
        <v>106</v>
      </c>
      <c r="F42" s="63">
        <v>4</v>
      </c>
      <c r="G42" s="142">
        <v>4</v>
      </c>
      <c r="H42" s="63" t="s">
        <v>444</v>
      </c>
      <c r="I42" s="63">
        <v>2</v>
      </c>
      <c r="J42" s="63" t="s">
        <v>444</v>
      </c>
      <c r="K42" s="63" t="s">
        <v>16</v>
      </c>
      <c r="L42" s="63" t="s">
        <v>361</v>
      </c>
    </row>
    <row r="43" spans="1:12" ht="20.25" customHeight="1" x14ac:dyDescent="0.3">
      <c r="A43" s="90" t="s">
        <v>163</v>
      </c>
      <c r="B43" s="84"/>
      <c r="C43" s="7" t="s">
        <v>162</v>
      </c>
      <c r="D43" s="85" t="s">
        <v>182</v>
      </c>
      <c r="E43" s="86" t="s">
        <v>106</v>
      </c>
      <c r="F43" s="63">
        <v>6</v>
      </c>
      <c r="G43" s="142">
        <v>5</v>
      </c>
      <c r="H43" s="63" t="s">
        <v>868</v>
      </c>
      <c r="I43" s="63">
        <v>3</v>
      </c>
      <c r="J43" s="63" t="s">
        <v>868</v>
      </c>
      <c r="K43" s="63" t="s">
        <v>16</v>
      </c>
      <c r="L43" s="63" t="s">
        <v>362</v>
      </c>
    </row>
    <row r="44" spans="1:12" ht="20.25" customHeight="1" x14ac:dyDescent="0.3">
      <c r="A44" s="90" t="s">
        <v>901</v>
      </c>
      <c r="B44" s="84"/>
      <c r="C44" s="7" t="s">
        <v>164</v>
      </c>
      <c r="D44" s="85" t="s">
        <v>182</v>
      </c>
      <c r="E44" s="86" t="s">
        <v>106</v>
      </c>
      <c r="F44" s="63">
        <v>6</v>
      </c>
      <c r="G44" s="142">
        <v>5</v>
      </c>
      <c r="H44" s="63" t="s">
        <v>868</v>
      </c>
      <c r="I44" s="63">
        <v>3</v>
      </c>
      <c r="J44" s="63" t="s">
        <v>874</v>
      </c>
      <c r="K44" s="63" t="s">
        <v>16</v>
      </c>
      <c r="L44" s="63" t="s">
        <v>362</v>
      </c>
    </row>
    <row r="45" spans="1:12" ht="20.25" customHeight="1" x14ac:dyDescent="0.3">
      <c r="A45" s="90" t="s">
        <v>166</v>
      </c>
      <c r="B45" s="84"/>
      <c r="C45" s="7" t="s">
        <v>165</v>
      </c>
      <c r="D45" s="85" t="s">
        <v>182</v>
      </c>
      <c r="E45" s="86" t="s">
        <v>106</v>
      </c>
      <c r="F45" s="63">
        <v>6</v>
      </c>
      <c r="G45" s="142">
        <v>5</v>
      </c>
      <c r="H45" s="63" t="s">
        <v>873</v>
      </c>
      <c r="I45" s="63">
        <v>3</v>
      </c>
      <c r="J45" s="63" t="s">
        <v>927</v>
      </c>
      <c r="K45" s="63" t="s">
        <v>16</v>
      </c>
      <c r="L45" s="63" t="s">
        <v>362</v>
      </c>
    </row>
    <row r="46" spans="1:12" ht="20.25" customHeight="1" x14ac:dyDescent="0.3">
      <c r="A46" s="90" t="s">
        <v>168</v>
      </c>
      <c r="B46" s="84"/>
      <c r="C46" s="7" t="s">
        <v>167</v>
      </c>
      <c r="D46" s="85" t="s">
        <v>182</v>
      </c>
      <c r="E46" s="86" t="s">
        <v>106</v>
      </c>
      <c r="F46" s="63">
        <v>6</v>
      </c>
      <c r="G46" s="142">
        <v>6</v>
      </c>
      <c r="H46" s="63" t="s">
        <v>868</v>
      </c>
      <c r="I46" s="63">
        <v>3</v>
      </c>
      <c r="J46" s="63" t="s">
        <v>874</v>
      </c>
      <c r="K46" s="63" t="s">
        <v>16</v>
      </c>
      <c r="L46" s="63" t="s">
        <v>362</v>
      </c>
    </row>
    <row r="47" spans="1:12" ht="20.25" customHeight="1" x14ac:dyDescent="0.3">
      <c r="A47" s="90" t="s">
        <v>746</v>
      </c>
      <c r="B47" s="84"/>
      <c r="C47" s="7" t="s">
        <v>745</v>
      </c>
      <c r="D47" s="85" t="s">
        <v>102</v>
      </c>
      <c r="E47" s="86" t="s">
        <v>110</v>
      </c>
      <c r="F47" s="63">
        <v>6</v>
      </c>
      <c r="G47" s="142">
        <v>8</v>
      </c>
      <c r="H47" s="63" t="s">
        <v>346</v>
      </c>
      <c r="I47" s="63">
        <v>4</v>
      </c>
      <c r="J47" s="63" t="s">
        <v>531</v>
      </c>
      <c r="K47" s="63" t="s">
        <v>16</v>
      </c>
      <c r="L47" s="63" t="s">
        <v>848</v>
      </c>
    </row>
    <row r="48" spans="1:12" ht="20.25" customHeight="1" x14ac:dyDescent="0.3">
      <c r="A48" s="90" t="s">
        <v>775</v>
      </c>
      <c r="B48" s="84"/>
      <c r="C48" s="7" t="s">
        <v>774</v>
      </c>
      <c r="D48" s="85" t="s">
        <v>183</v>
      </c>
      <c r="E48" s="86" t="s">
        <v>106</v>
      </c>
      <c r="F48" s="63">
        <v>6</v>
      </c>
      <c r="G48" s="142">
        <v>7</v>
      </c>
      <c r="H48" s="63" t="s">
        <v>876</v>
      </c>
      <c r="I48" s="63">
        <v>4</v>
      </c>
      <c r="J48" s="63" t="s">
        <v>877</v>
      </c>
      <c r="K48" s="63" t="s">
        <v>16</v>
      </c>
      <c r="L48" s="63" t="s">
        <v>362</v>
      </c>
    </row>
    <row r="49" spans="1:12" ht="20.25" customHeight="1" x14ac:dyDescent="0.3">
      <c r="A49" s="90" t="s">
        <v>213</v>
      </c>
      <c r="B49" s="84"/>
      <c r="C49" s="7" t="s">
        <v>212</v>
      </c>
      <c r="D49" s="85" t="s">
        <v>32</v>
      </c>
      <c r="E49" s="86" t="s">
        <v>106</v>
      </c>
      <c r="F49" s="63">
        <v>6</v>
      </c>
      <c r="G49" s="142">
        <v>5</v>
      </c>
      <c r="H49" s="63" t="s">
        <v>345</v>
      </c>
      <c r="I49" s="63">
        <v>3</v>
      </c>
      <c r="J49" s="63" t="s">
        <v>529</v>
      </c>
      <c r="K49" s="63" t="s">
        <v>16</v>
      </c>
      <c r="L49" s="63" t="s">
        <v>369</v>
      </c>
    </row>
    <row r="50" spans="1:12" ht="20.25" customHeight="1" x14ac:dyDescent="0.3">
      <c r="A50" s="90" t="s">
        <v>115</v>
      </c>
      <c r="B50" s="84"/>
      <c r="C50" s="7" t="s">
        <v>114</v>
      </c>
      <c r="D50" s="85" t="s">
        <v>21</v>
      </c>
      <c r="E50" s="86" t="s">
        <v>105</v>
      </c>
      <c r="F50" s="63">
        <v>4</v>
      </c>
      <c r="G50" s="142">
        <v>4</v>
      </c>
      <c r="H50" s="63" t="s">
        <v>363</v>
      </c>
      <c r="I50" s="63">
        <v>2</v>
      </c>
      <c r="J50" s="63" t="s">
        <v>364</v>
      </c>
      <c r="K50" s="63" t="s">
        <v>16</v>
      </c>
      <c r="L50" s="63" t="s">
        <v>362</v>
      </c>
    </row>
    <row r="51" spans="1:12" ht="20.25" customHeight="1" x14ac:dyDescent="0.3">
      <c r="A51" s="90" t="s">
        <v>113</v>
      </c>
      <c r="B51" s="84"/>
      <c r="C51" s="7" t="s">
        <v>112</v>
      </c>
      <c r="D51" s="85" t="s">
        <v>21</v>
      </c>
      <c r="E51" s="86" t="s">
        <v>106</v>
      </c>
      <c r="F51" s="63">
        <v>6</v>
      </c>
      <c r="G51" s="142">
        <v>4</v>
      </c>
      <c r="H51" s="63" t="s">
        <v>280</v>
      </c>
      <c r="I51" s="63">
        <v>2</v>
      </c>
      <c r="J51" s="63" t="s">
        <v>339</v>
      </c>
      <c r="K51" s="63" t="s">
        <v>16</v>
      </c>
      <c r="L51" s="63" t="s">
        <v>361</v>
      </c>
    </row>
    <row r="52" spans="1:12" ht="20.25" customHeight="1" x14ac:dyDescent="0.3">
      <c r="A52" s="90" t="s">
        <v>170</v>
      </c>
      <c r="B52" s="84"/>
      <c r="C52" s="7" t="s">
        <v>169</v>
      </c>
      <c r="D52" s="85" t="s">
        <v>182</v>
      </c>
      <c r="E52" s="86" t="s">
        <v>110</v>
      </c>
      <c r="F52" s="63">
        <v>6</v>
      </c>
      <c r="G52" s="142">
        <v>8</v>
      </c>
      <c r="H52" s="63" t="s">
        <v>876</v>
      </c>
      <c r="I52" s="63">
        <v>4</v>
      </c>
      <c r="J52" s="63" t="s">
        <v>886</v>
      </c>
      <c r="K52" s="63" t="s">
        <v>16</v>
      </c>
      <c r="L52" s="63" t="s">
        <v>362</v>
      </c>
    </row>
    <row r="53" spans="1:12" ht="20.25" customHeight="1" x14ac:dyDescent="0.3">
      <c r="A53" s="90" t="s">
        <v>119</v>
      </c>
      <c r="B53" s="84"/>
      <c r="C53" s="7" t="s">
        <v>118</v>
      </c>
      <c r="D53" s="85" t="s">
        <v>21</v>
      </c>
      <c r="E53" s="86" t="s">
        <v>106</v>
      </c>
      <c r="F53" s="63">
        <v>2</v>
      </c>
      <c r="G53" s="142">
        <v>5</v>
      </c>
      <c r="H53" s="63" t="s">
        <v>339</v>
      </c>
      <c r="I53" s="63">
        <v>3</v>
      </c>
      <c r="J53" s="63" t="s">
        <v>280</v>
      </c>
      <c r="K53" s="63" t="s">
        <v>16</v>
      </c>
      <c r="L53" s="63" t="s">
        <v>361</v>
      </c>
    </row>
    <row r="54" spans="1:12" ht="20.25" customHeight="1" x14ac:dyDescent="0.3">
      <c r="A54" s="90" t="s">
        <v>213</v>
      </c>
      <c r="B54" s="84"/>
      <c r="C54" s="7" t="s">
        <v>212</v>
      </c>
      <c r="D54" s="85" t="s">
        <v>32</v>
      </c>
      <c r="E54" s="86" t="s">
        <v>106</v>
      </c>
      <c r="F54" s="63">
        <v>6</v>
      </c>
      <c r="G54" s="142">
        <v>7</v>
      </c>
      <c r="H54" s="63" t="s">
        <v>280</v>
      </c>
      <c r="I54" s="63">
        <v>4</v>
      </c>
      <c r="J54" s="63" t="s">
        <v>344</v>
      </c>
      <c r="K54" s="63" t="s">
        <v>16</v>
      </c>
      <c r="L54" s="63" t="s">
        <v>338</v>
      </c>
    </row>
    <row r="55" spans="1:12" ht="20.25" customHeight="1" x14ac:dyDescent="0.3">
      <c r="A55" s="90" t="s">
        <v>314</v>
      </c>
      <c r="B55" s="84" t="s">
        <v>929</v>
      </c>
      <c r="C55" s="7" t="s">
        <v>313</v>
      </c>
      <c r="D55" s="85" t="s">
        <v>21</v>
      </c>
      <c r="E55" s="86" t="s">
        <v>106</v>
      </c>
      <c r="F55" s="63">
        <v>6</v>
      </c>
      <c r="G55" s="142">
        <v>8</v>
      </c>
      <c r="H55" s="63" t="s">
        <v>353</v>
      </c>
      <c r="I55" s="63">
        <v>4</v>
      </c>
      <c r="J55" s="63" t="s">
        <v>360</v>
      </c>
      <c r="K55" s="63" t="s">
        <v>16</v>
      </c>
      <c r="L55" s="63" t="s">
        <v>352</v>
      </c>
    </row>
    <row r="56" spans="1:12" ht="20.25" customHeight="1" x14ac:dyDescent="0.3">
      <c r="A56" s="90" t="s">
        <v>245</v>
      </c>
      <c r="B56" s="84"/>
      <c r="C56" s="7" t="s">
        <v>244</v>
      </c>
      <c r="D56" s="85" t="s">
        <v>21</v>
      </c>
      <c r="E56" s="86" t="s">
        <v>106</v>
      </c>
      <c r="F56" s="63">
        <v>6</v>
      </c>
      <c r="G56" s="142">
        <v>7</v>
      </c>
      <c r="H56" s="63" t="s">
        <v>348</v>
      </c>
      <c r="I56" s="63">
        <v>4</v>
      </c>
      <c r="J56" s="63" t="s">
        <v>351</v>
      </c>
      <c r="K56" s="63" t="s">
        <v>16</v>
      </c>
      <c r="L56" s="63" t="s">
        <v>369</v>
      </c>
    </row>
    <row r="57" spans="1:12" ht="20.25" customHeight="1" x14ac:dyDescent="0.3">
      <c r="A57" s="90" t="s">
        <v>328</v>
      </c>
      <c r="B57" s="84"/>
      <c r="C57" s="7" t="s">
        <v>327</v>
      </c>
      <c r="D57" s="85" t="s">
        <v>21</v>
      </c>
      <c r="E57" s="86" t="s">
        <v>106</v>
      </c>
      <c r="F57" s="63">
        <v>6</v>
      </c>
      <c r="G57" s="142">
        <v>7</v>
      </c>
      <c r="H57" s="63" t="s">
        <v>340</v>
      </c>
      <c r="I57" s="63">
        <v>4</v>
      </c>
      <c r="J57" s="63" t="s">
        <v>343</v>
      </c>
      <c r="K57" s="63" t="s">
        <v>16</v>
      </c>
      <c r="L57" s="63" t="s">
        <v>338</v>
      </c>
    </row>
    <row r="58" spans="1:12" ht="20.25" customHeight="1" x14ac:dyDescent="0.3">
      <c r="A58" s="90" t="s">
        <v>744</v>
      </c>
      <c r="B58" s="84"/>
      <c r="C58" s="7" t="s">
        <v>743</v>
      </c>
      <c r="D58" s="85" t="s">
        <v>102</v>
      </c>
      <c r="E58" s="86" t="s">
        <v>110</v>
      </c>
      <c r="F58" s="63">
        <v>6</v>
      </c>
      <c r="G58" s="142">
        <v>8</v>
      </c>
      <c r="H58" s="63" t="s">
        <v>345</v>
      </c>
      <c r="I58" s="63">
        <v>4</v>
      </c>
      <c r="J58" s="63" t="s">
        <v>749</v>
      </c>
      <c r="K58" s="63" t="s">
        <v>16</v>
      </c>
      <c r="L58" s="63" t="s">
        <v>848</v>
      </c>
    </row>
    <row r="59" spans="1:12" ht="20.25" customHeight="1" x14ac:dyDescent="0.3">
      <c r="A59" s="90" t="s">
        <v>251</v>
      </c>
      <c r="B59" s="84"/>
      <c r="C59" s="7" t="s">
        <v>250</v>
      </c>
      <c r="D59" s="85" t="s">
        <v>21</v>
      </c>
      <c r="E59" s="86" t="s">
        <v>110</v>
      </c>
      <c r="F59" s="63">
        <v>6</v>
      </c>
      <c r="G59" s="142">
        <v>7</v>
      </c>
      <c r="H59" s="63" t="s">
        <v>370</v>
      </c>
      <c r="I59" s="63">
        <v>4</v>
      </c>
      <c r="J59" s="63" t="s">
        <v>372</v>
      </c>
      <c r="K59" s="63" t="s">
        <v>16</v>
      </c>
      <c r="L59" s="63" t="s">
        <v>362</v>
      </c>
    </row>
    <row r="60" spans="1:12" ht="20.25" customHeight="1" x14ac:dyDescent="0.3">
      <c r="A60" s="90" t="s">
        <v>251</v>
      </c>
      <c r="B60" s="84"/>
      <c r="C60" s="7" t="s">
        <v>250</v>
      </c>
      <c r="D60" s="85" t="s">
        <v>21</v>
      </c>
      <c r="E60" s="86" t="s">
        <v>110</v>
      </c>
      <c r="F60" s="63">
        <v>6</v>
      </c>
      <c r="G60" s="142">
        <v>8</v>
      </c>
      <c r="H60" s="63" t="s">
        <v>370</v>
      </c>
      <c r="I60" s="63">
        <v>4</v>
      </c>
      <c r="J60" s="63" t="s">
        <v>372</v>
      </c>
      <c r="K60" s="63" t="s">
        <v>16</v>
      </c>
      <c r="L60" s="63" t="s">
        <v>362</v>
      </c>
    </row>
    <row r="61" spans="1:12" ht="20.25" customHeight="1" x14ac:dyDescent="0.3">
      <c r="A61" s="90" t="s">
        <v>121</v>
      </c>
      <c r="B61" s="84"/>
      <c r="C61" s="7" t="s">
        <v>120</v>
      </c>
      <c r="D61" s="85" t="s">
        <v>21</v>
      </c>
      <c r="E61" s="86" t="s">
        <v>105</v>
      </c>
      <c r="F61" s="63">
        <v>6</v>
      </c>
      <c r="G61" s="142">
        <v>5</v>
      </c>
      <c r="H61" s="63" t="s">
        <v>354</v>
      </c>
      <c r="I61" s="63">
        <v>3</v>
      </c>
      <c r="J61" s="63" t="s">
        <v>360</v>
      </c>
      <c r="K61" s="63" t="s">
        <v>16</v>
      </c>
      <c r="L61" s="63" t="s">
        <v>367</v>
      </c>
    </row>
    <row r="62" spans="1:12" ht="20.25" customHeight="1" x14ac:dyDescent="0.3">
      <c r="A62" s="90" t="s">
        <v>117</v>
      </c>
      <c r="B62" s="84"/>
      <c r="C62" s="7" t="s">
        <v>116</v>
      </c>
      <c r="D62" s="85" t="s">
        <v>21</v>
      </c>
      <c r="E62" s="86" t="s">
        <v>105</v>
      </c>
      <c r="F62" s="63">
        <v>4</v>
      </c>
      <c r="G62" s="142">
        <v>5</v>
      </c>
      <c r="H62" s="63" t="s">
        <v>365</v>
      </c>
      <c r="I62" s="63">
        <v>3</v>
      </c>
      <c r="J62" s="63" t="s">
        <v>366</v>
      </c>
      <c r="K62" s="63" t="s">
        <v>16</v>
      </c>
      <c r="L62" s="63" t="s">
        <v>362</v>
      </c>
    </row>
    <row r="63" spans="1:12" ht="20.25" customHeight="1" x14ac:dyDescent="0.3">
      <c r="A63" s="90" t="s">
        <v>753</v>
      </c>
      <c r="B63" s="84"/>
      <c r="C63" s="7" t="s">
        <v>752</v>
      </c>
      <c r="D63" s="85" t="s">
        <v>103</v>
      </c>
      <c r="E63" s="86" t="s">
        <v>110</v>
      </c>
      <c r="F63" s="63">
        <v>6</v>
      </c>
      <c r="G63" s="142">
        <v>7</v>
      </c>
      <c r="H63" s="63" t="s">
        <v>345</v>
      </c>
      <c r="I63" s="63">
        <v>4</v>
      </c>
      <c r="J63" s="63" t="s">
        <v>531</v>
      </c>
      <c r="K63" s="63" t="s">
        <v>16</v>
      </c>
      <c r="L63" s="63" t="s">
        <v>848</v>
      </c>
    </row>
    <row r="64" spans="1:12" ht="20.25" customHeight="1" x14ac:dyDescent="0.3">
      <c r="A64" s="90" t="s">
        <v>753</v>
      </c>
      <c r="B64" s="84"/>
      <c r="C64" s="7" t="s">
        <v>752</v>
      </c>
      <c r="D64" s="85" t="s">
        <v>104</v>
      </c>
      <c r="E64" s="86" t="s">
        <v>110</v>
      </c>
      <c r="F64" s="63">
        <v>6</v>
      </c>
      <c r="G64" s="142">
        <v>9</v>
      </c>
      <c r="H64" s="63" t="s">
        <v>332</v>
      </c>
      <c r="I64" s="63">
        <v>5</v>
      </c>
      <c r="J64" s="63" t="s">
        <v>200</v>
      </c>
      <c r="K64" s="63" t="s">
        <v>16</v>
      </c>
      <c r="L64" s="63">
        <v>2014</v>
      </c>
    </row>
    <row r="65" spans="1:12" ht="20.25" customHeight="1" x14ac:dyDescent="0.3">
      <c r="A65" s="90" t="s">
        <v>267</v>
      </c>
      <c r="B65" s="84"/>
      <c r="C65" s="7" t="s">
        <v>266</v>
      </c>
      <c r="D65" s="85" t="s">
        <v>21</v>
      </c>
      <c r="E65" s="86" t="s">
        <v>110</v>
      </c>
      <c r="F65" s="63">
        <v>6</v>
      </c>
      <c r="G65" s="142">
        <v>8</v>
      </c>
      <c r="H65" s="63" t="s">
        <v>366</v>
      </c>
      <c r="I65" s="63">
        <v>4</v>
      </c>
      <c r="J65" s="63" t="s">
        <v>376</v>
      </c>
      <c r="K65" s="63" t="s">
        <v>16</v>
      </c>
      <c r="L65" s="63" t="s">
        <v>362</v>
      </c>
    </row>
    <row r="66" spans="1:12" ht="20.25" customHeight="1" x14ac:dyDescent="0.3">
      <c r="A66" s="90" t="s">
        <v>556</v>
      </c>
      <c r="B66" s="84"/>
      <c r="C66" s="7" t="s">
        <v>555</v>
      </c>
      <c r="D66" s="85" t="s">
        <v>29</v>
      </c>
      <c r="E66" s="86" t="s">
        <v>106</v>
      </c>
      <c r="F66" s="63">
        <v>6</v>
      </c>
      <c r="G66" s="142">
        <v>8</v>
      </c>
      <c r="H66" s="63" t="s">
        <v>333</v>
      </c>
      <c r="I66" s="63">
        <v>4</v>
      </c>
      <c r="J66" s="63" t="s">
        <v>222</v>
      </c>
      <c r="K66" s="63" t="s">
        <v>16</v>
      </c>
      <c r="L66" s="63">
        <v>2014</v>
      </c>
    </row>
    <row r="67" spans="1:12" ht="20.25" customHeight="1" x14ac:dyDescent="0.3">
      <c r="A67" s="90" t="s">
        <v>482</v>
      </c>
      <c r="B67" s="84"/>
      <c r="C67" s="7" t="s">
        <v>481</v>
      </c>
      <c r="D67" s="85" t="s">
        <v>657</v>
      </c>
      <c r="E67" s="86" t="s">
        <v>110</v>
      </c>
      <c r="F67" s="63">
        <v>6</v>
      </c>
      <c r="G67" s="142">
        <v>8</v>
      </c>
      <c r="H67" s="63" t="s">
        <v>650</v>
      </c>
      <c r="I67" s="63">
        <v>4</v>
      </c>
      <c r="J67" s="63" t="s">
        <v>650</v>
      </c>
      <c r="K67" s="63" t="s">
        <v>16</v>
      </c>
      <c r="L67" s="63" t="s">
        <v>660</v>
      </c>
    </row>
    <row r="68" spans="1:12" ht="20.25" customHeight="1" x14ac:dyDescent="0.3">
      <c r="A68" s="90" t="s">
        <v>512</v>
      </c>
      <c r="B68" s="84"/>
      <c r="C68" s="7" t="s">
        <v>511</v>
      </c>
      <c r="D68" s="85" t="s">
        <v>657</v>
      </c>
      <c r="E68" s="86" t="s">
        <v>110</v>
      </c>
      <c r="F68" s="63">
        <v>6</v>
      </c>
      <c r="G68" s="142">
        <v>8</v>
      </c>
      <c r="H68" s="63" t="s">
        <v>445</v>
      </c>
      <c r="I68" s="63">
        <v>4</v>
      </c>
      <c r="J68" s="63" t="s">
        <v>664</v>
      </c>
      <c r="K68" s="63" t="s">
        <v>16</v>
      </c>
      <c r="L68" s="63" t="s">
        <v>662</v>
      </c>
    </row>
    <row r="69" spans="1:12" ht="20.25" customHeight="1" x14ac:dyDescent="0.3">
      <c r="A69" s="90" t="s">
        <v>424</v>
      </c>
      <c r="B69" s="84"/>
      <c r="C69" s="7" t="s">
        <v>423</v>
      </c>
      <c r="D69" s="85" t="s">
        <v>183</v>
      </c>
      <c r="E69" s="86" t="s">
        <v>110</v>
      </c>
      <c r="F69" s="63">
        <v>6</v>
      </c>
      <c r="G69" s="142">
        <v>8</v>
      </c>
      <c r="H69" s="63" t="s">
        <v>873</v>
      </c>
      <c r="I69" s="63">
        <v>4</v>
      </c>
      <c r="J69" s="63" t="s">
        <v>874</v>
      </c>
      <c r="K69" s="63" t="s">
        <v>16</v>
      </c>
      <c r="L69" s="63" t="s">
        <v>362</v>
      </c>
    </row>
    <row r="70" spans="1:12" ht="20.25" customHeight="1" x14ac:dyDescent="0.3">
      <c r="A70" s="90" t="s">
        <v>408</v>
      </c>
      <c r="B70" s="84"/>
      <c r="C70" s="7" t="s">
        <v>407</v>
      </c>
      <c r="D70" s="85" t="s">
        <v>183</v>
      </c>
      <c r="E70" s="86" t="s">
        <v>110</v>
      </c>
      <c r="F70" s="63">
        <v>6</v>
      </c>
      <c r="G70" s="142">
        <v>8</v>
      </c>
      <c r="H70" s="63" t="s">
        <v>868</v>
      </c>
      <c r="I70" s="63">
        <v>4</v>
      </c>
      <c r="J70" s="63" t="s">
        <v>883</v>
      </c>
      <c r="K70" s="63" t="s">
        <v>16</v>
      </c>
      <c r="L70" s="63" t="s">
        <v>362</v>
      </c>
    </row>
    <row r="71" spans="1:12" ht="20.25" customHeight="1" x14ac:dyDescent="0.3">
      <c r="A71" s="90" t="s">
        <v>400</v>
      </c>
      <c r="B71" s="84"/>
      <c r="C71" s="7" t="s">
        <v>399</v>
      </c>
      <c r="D71" s="85" t="s">
        <v>183</v>
      </c>
      <c r="E71" s="86" t="s">
        <v>110</v>
      </c>
      <c r="F71" s="63">
        <v>6</v>
      </c>
      <c r="G71" s="142">
        <v>7</v>
      </c>
      <c r="H71" s="63" t="s">
        <v>873</v>
      </c>
      <c r="I71" s="63">
        <v>4</v>
      </c>
      <c r="J71" s="63" t="s">
        <v>874</v>
      </c>
      <c r="K71" s="63" t="s">
        <v>16</v>
      </c>
      <c r="L71" s="63" t="s">
        <v>362</v>
      </c>
    </row>
    <row r="72" spans="1:12" ht="20.25" customHeight="1" x14ac:dyDescent="0.3">
      <c r="A72" s="90" t="s">
        <v>523</v>
      </c>
      <c r="B72" s="84"/>
      <c r="C72" s="7" t="s">
        <v>522</v>
      </c>
      <c r="D72" s="85" t="s">
        <v>657</v>
      </c>
      <c r="E72" s="86" t="s">
        <v>110</v>
      </c>
      <c r="F72" s="63">
        <v>6</v>
      </c>
      <c r="G72" s="142">
        <v>9</v>
      </c>
      <c r="H72" s="63" t="s">
        <v>348</v>
      </c>
      <c r="I72" s="63">
        <v>5</v>
      </c>
      <c r="J72" s="63" t="s">
        <v>348</v>
      </c>
      <c r="K72" s="63" t="s">
        <v>16</v>
      </c>
      <c r="L72" s="63" t="s">
        <v>661</v>
      </c>
    </row>
    <row r="73" spans="1:12" ht="20.25" customHeight="1" x14ac:dyDescent="0.3">
      <c r="A73" s="90" t="s">
        <v>626</v>
      </c>
      <c r="B73" s="84"/>
      <c r="C73" s="7" t="s">
        <v>625</v>
      </c>
      <c r="D73" s="85" t="s">
        <v>32</v>
      </c>
      <c r="E73" s="86" t="s">
        <v>110</v>
      </c>
      <c r="F73" s="63">
        <v>6</v>
      </c>
      <c r="G73" s="142">
        <v>7</v>
      </c>
      <c r="H73" s="63" t="s">
        <v>333</v>
      </c>
      <c r="I73" s="63">
        <v>4</v>
      </c>
      <c r="J73" s="63" t="s">
        <v>332</v>
      </c>
      <c r="K73" s="63" t="s">
        <v>16</v>
      </c>
      <c r="L73" s="63">
        <v>2013</v>
      </c>
    </row>
    <row r="74" spans="1:12" ht="20.25" customHeight="1" x14ac:dyDescent="0.3">
      <c r="A74" s="90" t="s">
        <v>591</v>
      </c>
      <c r="B74" s="84"/>
      <c r="C74" s="7" t="s">
        <v>590</v>
      </c>
      <c r="D74" s="85" t="s">
        <v>32</v>
      </c>
      <c r="E74" s="86" t="s">
        <v>110</v>
      </c>
      <c r="F74" s="63">
        <v>6</v>
      </c>
      <c r="G74" s="142">
        <v>7</v>
      </c>
      <c r="H74" s="63" t="s">
        <v>349</v>
      </c>
      <c r="I74" s="63">
        <v>4</v>
      </c>
      <c r="J74" s="63" t="s">
        <v>348</v>
      </c>
      <c r="K74" s="63" t="s">
        <v>16</v>
      </c>
      <c r="L74" s="63" t="s">
        <v>347</v>
      </c>
    </row>
    <row r="75" spans="1:12" ht="20.25" customHeight="1" x14ac:dyDescent="0.3">
      <c r="A75" s="90" t="s">
        <v>612</v>
      </c>
      <c r="B75" s="84"/>
      <c r="C75" s="7" t="s">
        <v>611</v>
      </c>
      <c r="D75" s="85" t="s">
        <v>32</v>
      </c>
      <c r="E75" s="86" t="s">
        <v>110</v>
      </c>
      <c r="F75" s="63">
        <v>6</v>
      </c>
      <c r="G75" s="142">
        <v>8</v>
      </c>
      <c r="H75" s="63" t="s">
        <v>339</v>
      </c>
      <c r="I75" s="63">
        <v>4</v>
      </c>
      <c r="J75" s="63" t="s">
        <v>280</v>
      </c>
      <c r="K75" s="63" t="s">
        <v>16</v>
      </c>
      <c r="L75" s="63" t="s">
        <v>532</v>
      </c>
    </row>
    <row r="76" spans="1:12" ht="20.25" customHeight="1" x14ac:dyDescent="0.3">
      <c r="A76" s="90" t="s">
        <v>593</v>
      </c>
      <c r="B76" s="84"/>
      <c r="C76" s="7" t="s">
        <v>592</v>
      </c>
      <c r="D76" s="85" t="s">
        <v>32</v>
      </c>
      <c r="E76" s="86" t="s">
        <v>110</v>
      </c>
      <c r="F76" s="63">
        <v>6</v>
      </c>
      <c r="G76" s="142">
        <v>7</v>
      </c>
      <c r="H76" s="63" t="s">
        <v>366</v>
      </c>
      <c r="I76" s="63">
        <v>4</v>
      </c>
      <c r="J76" s="63" t="s">
        <v>368</v>
      </c>
      <c r="K76" s="63" t="s">
        <v>16</v>
      </c>
      <c r="L76" s="63" t="s">
        <v>362</v>
      </c>
    </row>
    <row r="77" spans="1:12" ht="20.25" customHeight="1" x14ac:dyDescent="0.3">
      <c r="A77" s="90" t="s">
        <v>593</v>
      </c>
      <c r="B77" s="84"/>
      <c r="C77" s="7" t="s">
        <v>592</v>
      </c>
      <c r="D77" s="85" t="s">
        <v>32</v>
      </c>
      <c r="E77" s="86" t="s">
        <v>110</v>
      </c>
      <c r="F77" s="63">
        <v>6</v>
      </c>
      <c r="G77" s="142">
        <v>9</v>
      </c>
      <c r="H77" s="63" t="s">
        <v>339</v>
      </c>
      <c r="I77" s="63">
        <v>5</v>
      </c>
      <c r="J77" s="63" t="s">
        <v>446</v>
      </c>
      <c r="K77" s="63" t="s">
        <v>16</v>
      </c>
      <c r="L77" s="63" t="s">
        <v>338</v>
      </c>
    </row>
    <row r="78" spans="1:12" ht="20.25" customHeight="1" x14ac:dyDescent="0.3">
      <c r="A78" s="90" t="s">
        <v>601</v>
      </c>
      <c r="B78" s="84"/>
      <c r="C78" s="7" t="s">
        <v>600</v>
      </c>
      <c r="D78" s="85" t="s">
        <v>32</v>
      </c>
      <c r="E78" s="86" t="s">
        <v>110</v>
      </c>
      <c r="F78" s="63">
        <v>6</v>
      </c>
      <c r="G78" s="142">
        <v>8</v>
      </c>
      <c r="H78" s="63" t="s">
        <v>353</v>
      </c>
      <c r="I78" s="63">
        <v>4</v>
      </c>
      <c r="J78" s="63" t="s">
        <v>354</v>
      </c>
      <c r="K78" s="63" t="s">
        <v>16</v>
      </c>
      <c r="L78" s="63" t="s">
        <v>352</v>
      </c>
    </row>
    <row r="79" spans="1:12" ht="20.25" customHeight="1" x14ac:dyDescent="0.3">
      <c r="A79" s="90" t="s">
        <v>589</v>
      </c>
      <c r="B79" s="84"/>
      <c r="C79" s="7" t="s">
        <v>588</v>
      </c>
      <c r="D79" s="85" t="s">
        <v>32</v>
      </c>
      <c r="E79" s="86" t="s">
        <v>110</v>
      </c>
      <c r="F79" s="63">
        <v>6</v>
      </c>
      <c r="G79" s="142">
        <v>7</v>
      </c>
      <c r="H79" s="63" t="s">
        <v>349</v>
      </c>
      <c r="I79" s="63">
        <v>4</v>
      </c>
      <c r="J79" s="63" t="s">
        <v>351</v>
      </c>
      <c r="K79" s="63" t="s">
        <v>16</v>
      </c>
      <c r="L79" s="63" t="s">
        <v>347</v>
      </c>
    </row>
    <row r="80" spans="1:12" ht="20.25" customHeight="1" x14ac:dyDescent="0.3">
      <c r="A80" s="90" t="s">
        <v>125</v>
      </c>
      <c r="B80" s="84"/>
      <c r="C80" s="7" t="s">
        <v>124</v>
      </c>
      <c r="D80" s="85" t="s">
        <v>21</v>
      </c>
      <c r="E80" s="86" t="s">
        <v>106</v>
      </c>
      <c r="F80" s="63">
        <v>6</v>
      </c>
      <c r="G80" s="142">
        <v>6</v>
      </c>
      <c r="H80" s="63" t="s">
        <v>335</v>
      </c>
      <c r="I80" s="63">
        <v>3</v>
      </c>
      <c r="J80" s="63" t="s">
        <v>337</v>
      </c>
      <c r="K80" s="63" t="s">
        <v>16</v>
      </c>
      <c r="L80" s="63">
        <v>2014</v>
      </c>
    </row>
    <row r="81" spans="1:12" ht="20.25" customHeight="1" x14ac:dyDescent="0.3">
      <c r="A81" s="90" t="s">
        <v>292</v>
      </c>
      <c r="B81" s="84"/>
      <c r="C81" s="7" t="s">
        <v>291</v>
      </c>
      <c r="D81" s="85" t="s">
        <v>32</v>
      </c>
      <c r="E81" s="86" t="s">
        <v>106</v>
      </c>
      <c r="F81" s="63">
        <v>6</v>
      </c>
      <c r="G81" s="142">
        <v>5</v>
      </c>
      <c r="H81" s="63" t="s">
        <v>354</v>
      </c>
      <c r="I81" s="63">
        <v>3</v>
      </c>
      <c r="J81" s="63" t="s">
        <v>360</v>
      </c>
      <c r="K81" s="63" t="s">
        <v>16</v>
      </c>
      <c r="L81" s="63" t="s">
        <v>362</v>
      </c>
    </row>
    <row r="82" spans="1:12" ht="20.25" customHeight="1" x14ac:dyDescent="0.3">
      <c r="A82" s="90" t="s">
        <v>605</v>
      </c>
      <c r="B82" s="84"/>
      <c r="C82" s="7" t="s">
        <v>604</v>
      </c>
      <c r="D82" s="85" t="s">
        <v>32</v>
      </c>
      <c r="E82" s="86" t="s">
        <v>110</v>
      </c>
      <c r="F82" s="63">
        <v>6</v>
      </c>
      <c r="G82" s="142">
        <v>8</v>
      </c>
      <c r="H82" s="63" t="s">
        <v>345</v>
      </c>
      <c r="I82" s="63">
        <v>4</v>
      </c>
      <c r="J82" s="63" t="s">
        <v>622</v>
      </c>
      <c r="K82" s="63" t="s">
        <v>16</v>
      </c>
      <c r="L82" s="63" t="s">
        <v>526</v>
      </c>
    </row>
    <row r="83" spans="1:12" ht="20.25" customHeight="1" x14ac:dyDescent="0.3">
      <c r="A83" s="90" t="s">
        <v>474</v>
      </c>
      <c r="B83" s="84"/>
      <c r="C83" s="7" t="s">
        <v>473</v>
      </c>
      <c r="D83" s="85" t="s">
        <v>657</v>
      </c>
      <c r="E83" s="86" t="s">
        <v>110</v>
      </c>
      <c r="F83" s="63">
        <v>6</v>
      </c>
      <c r="G83" s="142">
        <v>8</v>
      </c>
      <c r="H83" s="63" t="s">
        <v>365</v>
      </c>
      <c r="I83" s="63">
        <v>4</v>
      </c>
      <c r="J83" s="63" t="s">
        <v>376</v>
      </c>
      <c r="K83" s="63" t="s">
        <v>16</v>
      </c>
      <c r="L83" s="63" t="s">
        <v>660</v>
      </c>
    </row>
    <row r="84" spans="1:12" ht="20.25" customHeight="1" x14ac:dyDescent="0.3">
      <c r="A84" s="90" t="s">
        <v>232</v>
      </c>
      <c r="B84" s="84"/>
      <c r="C84" s="7" t="s">
        <v>231</v>
      </c>
      <c r="D84" s="85" t="s">
        <v>29</v>
      </c>
      <c r="E84" s="86" t="s">
        <v>106</v>
      </c>
      <c r="F84" s="63">
        <v>6</v>
      </c>
      <c r="G84" s="142">
        <v>6</v>
      </c>
      <c r="H84" s="63" t="s">
        <v>365</v>
      </c>
      <c r="I84" s="63">
        <v>3</v>
      </c>
      <c r="J84" s="63" t="s">
        <v>570</v>
      </c>
      <c r="K84" s="63" t="s">
        <v>16</v>
      </c>
      <c r="L84" s="63" t="s">
        <v>362</v>
      </c>
    </row>
    <row r="85" spans="1:12" ht="20.25" customHeight="1" x14ac:dyDescent="0.3">
      <c r="A85" s="90" t="s">
        <v>273</v>
      </c>
      <c r="B85" s="84"/>
      <c r="C85" s="7" t="s">
        <v>272</v>
      </c>
      <c r="D85" s="85" t="s">
        <v>32</v>
      </c>
      <c r="E85" s="86" t="s">
        <v>105</v>
      </c>
      <c r="F85" s="63">
        <v>6</v>
      </c>
      <c r="G85" s="142">
        <v>6</v>
      </c>
      <c r="H85" s="63" t="s">
        <v>348</v>
      </c>
      <c r="I85" s="63">
        <v>3</v>
      </c>
      <c r="J85" s="63" t="s">
        <v>642</v>
      </c>
      <c r="K85" s="63" t="s">
        <v>16</v>
      </c>
      <c r="L85" s="63" t="s">
        <v>369</v>
      </c>
    </row>
    <row r="86" spans="1:12" ht="20.25" customHeight="1" x14ac:dyDescent="0.3">
      <c r="A86" s="90" t="s">
        <v>632</v>
      </c>
      <c r="B86" s="84"/>
      <c r="C86" s="7" t="s">
        <v>631</v>
      </c>
      <c r="D86" s="85" t="s">
        <v>32</v>
      </c>
      <c r="E86" s="86" t="s">
        <v>105</v>
      </c>
      <c r="F86" s="63">
        <v>6</v>
      </c>
      <c r="G86" s="142">
        <v>5</v>
      </c>
      <c r="H86" s="63" t="s">
        <v>335</v>
      </c>
      <c r="I86" s="63">
        <v>3</v>
      </c>
      <c r="J86" s="63" t="s">
        <v>334</v>
      </c>
      <c r="K86" s="63" t="s">
        <v>16</v>
      </c>
      <c r="L86" s="63">
        <v>2014</v>
      </c>
    </row>
    <row r="87" spans="1:12" ht="20.25" customHeight="1" x14ac:dyDescent="0.3">
      <c r="A87" s="90" t="s">
        <v>603</v>
      </c>
      <c r="B87" s="84"/>
      <c r="C87" s="7" t="s">
        <v>602</v>
      </c>
      <c r="D87" s="85" t="s">
        <v>32</v>
      </c>
      <c r="E87" s="86" t="s">
        <v>110</v>
      </c>
      <c r="F87" s="63">
        <v>6</v>
      </c>
      <c r="G87" s="142">
        <v>8</v>
      </c>
      <c r="H87" s="63" t="s">
        <v>348</v>
      </c>
      <c r="I87" s="63">
        <v>4</v>
      </c>
      <c r="J87" s="63" t="s">
        <v>351</v>
      </c>
      <c r="K87" s="63" t="s">
        <v>16</v>
      </c>
      <c r="L87" s="63" t="s">
        <v>347</v>
      </c>
    </row>
    <row r="88" spans="1:12" ht="20.25" customHeight="1" x14ac:dyDescent="0.3">
      <c r="A88" s="90" t="s">
        <v>603</v>
      </c>
      <c r="B88" s="84"/>
      <c r="C88" s="7" t="s">
        <v>627</v>
      </c>
      <c r="D88" s="85" t="s">
        <v>32</v>
      </c>
      <c r="E88" s="86" t="s">
        <v>106</v>
      </c>
      <c r="F88" s="63">
        <v>6</v>
      </c>
      <c r="G88" s="142">
        <v>8</v>
      </c>
      <c r="H88" s="63" t="s">
        <v>280</v>
      </c>
      <c r="I88" s="63">
        <v>4</v>
      </c>
      <c r="J88" s="63" t="s">
        <v>647</v>
      </c>
      <c r="K88" s="63" t="s">
        <v>16</v>
      </c>
      <c r="L88" s="63" t="s">
        <v>361</v>
      </c>
    </row>
    <row r="89" spans="1:12" ht="20.25" customHeight="1" x14ac:dyDescent="0.3">
      <c r="A89" s="90" t="s">
        <v>597</v>
      </c>
      <c r="B89" s="84"/>
      <c r="C89" s="7" t="s">
        <v>596</v>
      </c>
      <c r="D89" s="85" t="s">
        <v>32</v>
      </c>
      <c r="E89" s="86" t="s">
        <v>110</v>
      </c>
      <c r="F89" s="63">
        <v>6</v>
      </c>
      <c r="G89" s="142">
        <v>7</v>
      </c>
      <c r="H89" s="63" t="s">
        <v>349</v>
      </c>
      <c r="I89" s="63">
        <v>4</v>
      </c>
      <c r="J89" s="63" t="s">
        <v>350</v>
      </c>
      <c r="K89" s="63" t="s">
        <v>16</v>
      </c>
      <c r="L89" s="63" t="s">
        <v>347</v>
      </c>
    </row>
    <row r="90" spans="1:12" ht="20.25" customHeight="1" x14ac:dyDescent="0.3">
      <c r="A90" s="90" t="s">
        <v>597</v>
      </c>
      <c r="B90" s="84"/>
      <c r="C90" s="7" t="s">
        <v>596</v>
      </c>
      <c r="D90" s="85" t="s">
        <v>32</v>
      </c>
      <c r="E90" s="86" t="s">
        <v>110</v>
      </c>
      <c r="F90" s="63">
        <v>6</v>
      </c>
      <c r="G90" s="142">
        <v>9</v>
      </c>
      <c r="H90" s="63" t="s">
        <v>339</v>
      </c>
      <c r="I90" s="63">
        <v>5</v>
      </c>
      <c r="J90" s="63" t="s">
        <v>446</v>
      </c>
      <c r="K90" s="63" t="s">
        <v>16</v>
      </c>
      <c r="L90" s="63" t="s">
        <v>361</v>
      </c>
    </row>
    <row r="91" spans="1:12" ht="20.25" customHeight="1" x14ac:dyDescent="0.3">
      <c r="A91" s="90" t="s">
        <v>241</v>
      </c>
      <c r="B91" s="84"/>
      <c r="C91" s="7" t="s">
        <v>240</v>
      </c>
      <c r="D91" s="85" t="s">
        <v>21</v>
      </c>
      <c r="E91" s="86" t="s">
        <v>106</v>
      </c>
      <c r="F91" s="63">
        <v>6</v>
      </c>
      <c r="G91" s="142">
        <v>6</v>
      </c>
      <c r="H91" s="63" t="s">
        <v>366</v>
      </c>
      <c r="I91" s="63">
        <v>3</v>
      </c>
      <c r="J91" s="63" t="s">
        <v>368</v>
      </c>
      <c r="K91" s="63" t="s">
        <v>16</v>
      </c>
      <c r="L91" s="63" t="s">
        <v>362</v>
      </c>
    </row>
    <row r="92" spans="1:12" ht="20.25" customHeight="1" x14ac:dyDescent="0.3">
      <c r="A92" s="90" t="s">
        <v>811</v>
      </c>
      <c r="B92" s="84"/>
      <c r="C92" s="7" t="s">
        <v>810</v>
      </c>
      <c r="D92" s="85" t="s">
        <v>183</v>
      </c>
      <c r="E92" s="86" t="s">
        <v>105</v>
      </c>
      <c r="F92" s="63">
        <v>4</v>
      </c>
      <c r="G92" s="142">
        <v>8</v>
      </c>
      <c r="H92" s="63" t="s">
        <v>868</v>
      </c>
      <c r="I92" s="63">
        <v>4</v>
      </c>
      <c r="J92" s="63" t="s">
        <v>868</v>
      </c>
      <c r="K92" s="63" t="s">
        <v>16</v>
      </c>
      <c r="L92" s="63" t="s">
        <v>362</v>
      </c>
    </row>
    <row r="93" spans="1:12" ht="20.25" customHeight="1" x14ac:dyDescent="0.3">
      <c r="A93" s="90" t="s">
        <v>416</v>
      </c>
      <c r="B93" s="84"/>
      <c r="C93" s="7" t="s">
        <v>415</v>
      </c>
      <c r="D93" s="85" t="s">
        <v>183</v>
      </c>
      <c r="E93" s="86" t="s">
        <v>110</v>
      </c>
      <c r="F93" s="63">
        <v>6</v>
      </c>
      <c r="G93" s="142">
        <v>8</v>
      </c>
      <c r="H93" s="63" t="s">
        <v>868</v>
      </c>
      <c r="I93" s="63">
        <v>4</v>
      </c>
      <c r="J93" s="63" t="s">
        <v>868</v>
      </c>
      <c r="K93" s="63" t="s">
        <v>16</v>
      </c>
      <c r="L93" s="63" t="s">
        <v>362</v>
      </c>
    </row>
    <row r="94" spans="1:12" ht="20.25" customHeight="1" x14ac:dyDescent="0.3">
      <c r="A94" s="90" t="s">
        <v>217</v>
      </c>
      <c r="B94" s="84"/>
      <c r="C94" s="7" t="s">
        <v>216</v>
      </c>
      <c r="D94" s="85" t="s">
        <v>21</v>
      </c>
      <c r="E94" s="86" t="s">
        <v>106</v>
      </c>
      <c r="F94" s="63">
        <v>6</v>
      </c>
      <c r="G94" s="142">
        <v>7</v>
      </c>
      <c r="H94" s="63" t="s">
        <v>366</v>
      </c>
      <c r="I94" s="63">
        <v>4</v>
      </c>
      <c r="J94" s="63" t="s">
        <v>366</v>
      </c>
      <c r="K94" s="63" t="s">
        <v>16</v>
      </c>
      <c r="L94" s="63" t="s">
        <v>362</v>
      </c>
    </row>
    <row r="95" spans="1:12" ht="20.25" customHeight="1" x14ac:dyDescent="0.3">
      <c r="A95" s="90" t="s">
        <v>121</v>
      </c>
      <c r="B95" s="84"/>
      <c r="C95" s="7" t="s">
        <v>120</v>
      </c>
      <c r="D95" s="85" t="s">
        <v>21</v>
      </c>
      <c r="E95" s="86" t="s">
        <v>105</v>
      </c>
      <c r="F95" s="63">
        <v>6</v>
      </c>
      <c r="G95" s="142">
        <v>6</v>
      </c>
      <c r="H95" s="63" t="s">
        <v>280</v>
      </c>
      <c r="I95" s="63">
        <v>3</v>
      </c>
      <c r="J95" s="63" t="s">
        <v>339</v>
      </c>
      <c r="K95" s="63" t="s">
        <v>16</v>
      </c>
      <c r="L95" s="63" t="s">
        <v>338</v>
      </c>
    </row>
    <row r="96" spans="1:12" ht="20.25" customHeight="1" x14ac:dyDescent="0.3">
      <c r="A96" s="90" t="s">
        <v>414</v>
      </c>
      <c r="B96" s="84"/>
      <c r="C96" s="7" t="s">
        <v>413</v>
      </c>
      <c r="D96" s="85" t="s">
        <v>183</v>
      </c>
      <c r="E96" s="86" t="s">
        <v>110</v>
      </c>
      <c r="F96" s="63">
        <v>6</v>
      </c>
      <c r="G96" s="142">
        <v>8</v>
      </c>
      <c r="H96" s="63" t="s">
        <v>876</v>
      </c>
      <c r="I96" s="63">
        <v>4</v>
      </c>
      <c r="J96" s="63" t="s">
        <v>888</v>
      </c>
      <c r="K96" s="63" t="s">
        <v>16</v>
      </c>
      <c r="L96" s="63" t="s">
        <v>362</v>
      </c>
    </row>
    <row r="97" spans="1:12" ht="20.25" customHeight="1" x14ac:dyDescent="0.3">
      <c r="A97" s="90" t="s">
        <v>470</v>
      </c>
      <c r="B97" s="84"/>
      <c r="C97" s="7" t="s">
        <v>469</v>
      </c>
      <c r="D97" s="85" t="s">
        <v>29</v>
      </c>
      <c r="E97" s="86" t="s">
        <v>110</v>
      </c>
      <c r="F97" s="63">
        <v>6</v>
      </c>
      <c r="G97" s="142">
        <v>7</v>
      </c>
      <c r="H97" s="63" t="s">
        <v>366</v>
      </c>
      <c r="I97" s="63">
        <v>4</v>
      </c>
      <c r="J97" s="63" t="s">
        <v>365</v>
      </c>
      <c r="K97" s="63" t="s">
        <v>16</v>
      </c>
      <c r="L97" s="63" t="s">
        <v>362</v>
      </c>
    </row>
    <row r="98" spans="1:12" ht="20.25" customHeight="1" x14ac:dyDescent="0.3">
      <c r="A98" s="90" t="s">
        <v>261</v>
      </c>
      <c r="B98" s="84"/>
      <c r="C98" s="7" t="s">
        <v>260</v>
      </c>
      <c r="D98" s="85" t="s">
        <v>21</v>
      </c>
      <c r="E98" s="86" t="s">
        <v>106</v>
      </c>
      <c r="F98" s="63">
        <v>8</v>
      </c>
      <c r="G98" s="142">
        <v>8</v>
      </c>
      <c r="H98" s="63" t="s">
        <v>365</v>
      </c>
      <c r="I98" s="63">
        <v>4</v>
      </c>
      <c r="J98" s="63" t="s">
        <v>366</v>
      </c>
      <c r="K98" s="63" t="s">
        <v>16</v>
      </c>
      <c r="L98" s="63" t="s">
        <v>362</v>
      </c>
    </row>
    <row r="99" spans="1:12" ht="20.25" customHeight="1" x14ac:dyDescent="0.3">
      <c r="A99" s="90" t="s">
        <v>412</v>
      </c>
      <c r="B99" s="84"/>
      <c r="C99" s="7" t="s">
        <v>411</v>
      </c>
      <c r="D99" s="85" t="s">
        <v>183</v>
      </c>
      <c r="E99" s="86" t="s">
        <v>110</v>
      </c>
      <c r="F99" s="63">
        <v>6</v>
      </c>
      <c r="G99" s="142">
        <v>8</v>
      </c>
      <c r="H99" s="63" t="s">
        <v>444</v>
      </c>
      <c r="I99" s="63">
        <v>4</v>
      </c>
      <c r="J99" s="63" t="s">
        <v>841</v>
      </c>
      <c r="K99" s="63" t="s">
        <v>16</v>
      </c>
      <c r="L99" s="63" t="s">
        <v>338</v>
      </c>
    </row>
    <row r="100" spans="1:12" ht="20.25" customHeight="1" x14ac:dyDescent="0.3">
      <c r="A100" s="90" t="s">
        <v>500</v>
      </c>
      <c r="B100" s="84"/>
      <c r="C100" s="7" t="s">
        <v>499</v>
      </c>
      <c r="D100" s="85" t="s">
        <v>29</v>
      </c>
      <c r="E100" s="86" t="s">
        <v>110</v>
      </c>
      <c r="F100" s="63">
        <v>6</v>
      </c>
      <c r="G100" s="142">
        <v>9</v>
      </c>
      <c r="H100" s="63" t="s">
        <v>365</v>
      </c>
      <c r="I100" s="63">
        <v>5</v>
      </c>
      <c r="J100" s="63" t="s">
        <v>376</v>
      </c>
      <c r="K100" s="63" t="s">
        <v>16</v>
      </c>
      <c r="L100" s="63" t="s">
        <v>362</v>
      </c>
    </row>
    <row r="101" spans="1:12" ht="20.25" customHeight="1" x14ac:dyDescent="0.3">
      <c r="A101" s="90" t="s">
        <v>207</v>
      </c>
      <c r="B101" s="84"/>
      <c r="C101" s="7" t="s">
        <v>304</v>
      </c>
      <c r="D101" s="85" t="s">
        <v>183</v>
      </c>
      <c r="E101" s="86" t="s">
        <v>105</v>
      </c>
      <c r="F101" s="63">
        <v>4</v>
      </c>
      <c r="G101" s="142">
        <v>5</v>
      </c>
      <c r="H101" s="63">
        <v>2</v>
      </c>
      <c r="I101" s="63">
        <v>3</v>
      </c>
      <c r="J101" s="63">
        <v>1</v>
      </c>
      <c r="K101" s="63" t="s">
        <v>16</v>
      </c>
      <c r="L101" s="63">
        <v>2013</v>
      </c>
    </row>
    <row r="102" spans="1:12" ht="20.25" customHeight="1" x14ac:dyDescent="0.3">
      <c r="A102" s="90" t="s">
        <v>123</v>
      </c>
      <c r="B102" s="84"/>
      <c r="C102" s="7" t="s">
        <v>122</v>
      </c>
      <c r="D102" s="85" t="s">
        <v>21</v>
      </c>
      <c r="E102" s="86" t="s">
        <v>106</v>
      </c>
      <c r="F102" s="63">
        <v>18</v>
      </c>
      <c r="G102" s="142">
        <v>6</v>
      </c>
      <c r="H102" s="63" t="s">
        <v>335</v>
      </c>
      <c r="I102" s="63">
        <v>3</v>
      </c>
      <c r="J102" s="63" t="s">
        <v>334</v>
      </c>
      <c r="K102" s="63" t="s">
        <v>16</v>
      </c>
      <c r="L102" s="63">
        <v>2014</v>
      </c>
    </row>
    <row r="103" spans="1:12" ht="20.25" customHeight="1" x14ac:dyDescent="0.3">
      <c r="A103" s="90" t="s">
        <v>207</v>
      </c>
      <c r="B103" s="84"/>
      <c r="C103" s="7" t="s">
        <v>914</v>
      </c>
      <c r="D103" s="85" t="s">
        <v>183</v>
      </c>
      <c r="E103" s="86" t="s">
        <v>105</v>
      </c>
      <c r="F103" s="63">
        <v>6</v>
      </c>
      <c r="G103" s="142">
        <v>5</v>
      </c>
      <c r="H103" s="63" t="s">
        <v>199</v>
      </c>
      <c r="I103" s="63">
        <v>3</v>
      </c>
      <c r="J103" s="63" t="s">
        <v>903</v>
      </c>
      <c r="K103" s="63" t="s">
        <v>16</v>
      </c>
      <c r="L103" s="63">
        <v>2014</v>
      </c>
    </row>
    <row r="104" spans="1:12" ht="20.25" customHeight="1" x14ac:dyDescent="0.3">
      <c r="A104" s="90" t="s">
        <v>215</v>
      </c>
      <c r="B104" s="84"/>
      <c r="C104" s="7" t="s">
        <v>214</v>
      </c>
      <c r="D104" s="85" t="s">
        <v>21</v>
      </c>
      <c r="E104" s="86" t="s">
        <v>110</v>
      </c>
      <c r="F104" s="63">
        <v>6</v>
      </c>
      <c r="G104" s="142">
        <v>7</v>
      </c>
      <c r="H104" s="63" t="s">
        <v>349</v>
      </c>
      <c r="I104" s="63">
        <v>4</v>
      </c>
      <c r="J104" s="63" t="s">
        <v>350</v>
      </c>
      <c r="K104" s="63" t="s">
        <v>16</v>
      </c>
      <c r="L104" s="63" t="s">
        <v>369</v>
      </c>
    </row>
    <row r="105" spans="1:12" ht="20.25" customHeight="1" x14ac:dyDescent="0.3">
      <c r="A105" s="90" t="s">
        <v>310</v>
      </c>
      <c r="B105" s="84"/>
      <c r="C105" s="7" t="s">
        <v>309</v>
      </c>
      <c r="D105" s="85" t="s">
        <v>183</v>
      </c>
      <c r="E105" s="86" t="s">
        <v>105</v>
      </c>
      <c r="F105" s="63">
        <v>6</v>
      </c>
      <c r="G105" s="142">
        <v>6</v>
      </c>
      <c r="H105" s="63" t="s">
        <v>864</v>
      </c>
      <c r="I105" s="63">
        <v>3</v>
      </c>
      <c r="J105" s="63" t="s">
        <v>910</v>
      </c>
      <c r="K105" s="63" t="s">
        <v>16</v>
      </c>
      <c r="L105" s="63" t="s">
        <v>352</v>
      </c>
    </row>
    <row r="106" spans="1:12" ht="20.25" customHeight="1" x14ac:dyDescent="0.3">
      <c r="A106" s="90" t="s">
        <v>306</v>
      </c>
      <c r="B106" s="84"/>
      <c r="C106" s="7" t="s">
        <v>305</v>
      </c>
      <c r="D106" s="85" t="s">
        <v>21</v>
      </c>
      <c r="E106" s="86" t="s">
        <v>106</v>
      </c>
      <c r="F106" s="63">
        <v>6</v>
      </c>
      <c r="G106" s="142">
        <v>6</v>
      </c>
      <c r="H106" s="63" t="s">
        <v>357</v>
      </c>
      <c r="I106" s="63">
        <v>3</v>
      </c>
      <c r="J106" s="63" t="s">
        <v>358</v>
      </c>
      <c r="K106" s="63" t="s">
        <v>16</v>
      </c>
      <c r="L106" s="63" t="s">
        <v>352</v>
      </c>
    </row>
    <row r="107" spans="1:12" ht="20.25" customHeight="1" x14ac:dyDescent="0.3">
      <c r="A107" s="90" t="s">
        <v>249</v>
      </c>
      <c r="B107" s="84"/>
      <c r="C107" s="7" t="s">
        <v>248</v>
      </c>
      <c r="D107" s="85" t="s">
        <v>21</v>
      </c>
      <c r="E107" s="86" t="s">
        <v>110</v>
      </c>
      <c r="F107" s="63">
        <v>6</v>
      </c>
      <c r="G107" s="142">
        <v>7</v>
      </c>
      <c r="H107" s="63" t="s">
        <v>280</v>
      </c>
      <c r="I107" s="63">
        <v>4</v>
      </c>
      <c r="J107" s="63" t="s">
        <v>339</v>
      </c>
      <c r="K107" s="63" t="s">
        <v>16</v>
      </c>
      <c r="L107" s="63" t="s">
        <v>361</v>
      </c>
    </row>
    <row r="108" spans="1:12" ht="20.25" customHeight="1" x14ac:dyDescent="0.3">
      <c r="A108" s="90" t="s">
        <v>269</v>
      </c>
      <c r="B108" s="84"/>
      <c r="C108" s="7" t="s">
        <v>268</v>
      </c>
      <c r="D108" s="85" t="s">
        <v>21</v>
      </c>
      <c r="E108" s="86" t="s">
        <v>110</v>
      </c>
      <c r="F108" s="63">
        <v>6</v>
      </c>
      <c r="G108" s="142">
        <v>7</v>
      </c>
      <c r="H108" s="63" t="s">
        <v>353</v>
      </c>
      <c r="I108" s="63">
        <v>4</v>
      </c>
      <c r="J108" s="63" t="s">
        <v>359</v>
      </c>
      <c r="K108" s="63" t="s">
        <v>16</v>
      </c>
      <c r="L108" s="63" t="s">
        <v>352</v>
      </c>
    </row>
    <row r="109" spans="1:12" ht="20.25" customHeight="1" x14ac:dyDescent="0.3">
      <c r="A109" s="90" t="s">
        <v>269</v>
      </c>
      <c r="B109" s="84"/>
      <c r="C109" s="7" t="s">
        <v>268</v>
      </c>
      <c r="D109" s="85" t="s">
        <v>21</v>
      </c>
      <c r="E109" s="86" t="s">
        <v>110</v>
      </c>
      <c r="F109" s="63">
        <v>6</v>
      </c>
      <c r="G109" s="142">
        <v>9</v>
      </c>
      <c r="H109" s="63" t="s">
        <v>332</v>
      </c>
      <c r="I109" s="63">
        <v>5</v>
      </c>
      <c r="J109" s="63" t="s">
        <v>200</v>
      </c>
      <c r="K109" s="63" t="s">
        <v>16</v>
      </c>
      <c r="L109" s="63">
        <v>2014</v>
      </c>
    </row>
    <row r="110" spans="1:12" ht="20.25" customHeight="1" x14ac:dyDescent="0.3">
      <c r="A110" s="90" t="s">
        <v>430</v>
      </c>
      <c r="B110" s="84"/>
      <c r="C110" s="7" t="s">
        <v>429</v>
      </c>
      <c r="D110" s="85" t="s">
        <v>183</v>
      </c>
      <c r="E110" s="86" t="s">
        <v>110</v>
      </c>
      <c r="F110" s="63">
        <v>6</v>
      </c>
      <c r="G110" s="142">
        <v>8</v>
      </c>
      <c r="H110" s="63" t="s">
        <v>873</v>
      </c>
      <c r="I110" s="63">
        <v>4</v>
      </c>
      <c r="J110" s="63" t="s">
        <v>868</v>
      </c>
      <c r="K110" s="63" t="s">
        <v>16</v>
      </c>
      <c r="L110" s="63" t="s">
        <v>362</v>
      </c>
    </row>
    <row r="111" spans="1:12" ht="20.25" customHeight="1" x14ac:dyDescent="0.3">
      <c r="A111" s="90" t="s">
        <v>388</v>
      </c>
      <c r="B111" s="84"/>
      <c r="C111" s="7" t="s">
        <v>387</v>
      </c>
      <c r="D111" s="85" t="s">
        <v>183</v>
      </c>
      <c r="E111" s="86" t="s">
        <v>110</v>
      </c>
      <c r="F111" s="63">
        <v>6</v>
      </c>
      <c r="G111" s="142">
        <v>7</v>
      </c>
      <c r="H111" s="63" t="s">
        <v>868</v>
      </c>
      <c r="I111" s="63">
        <v>4</v>
      </c>
      <c r="J111" s="63" t="s">
        <v>874</v>
      </c>
      <c r="K111" s="63" t="s">
        <v>16</v>
      </c>
      <c r="L111" s="63" t="s">
        <v>362</v>
      </c>
    </row>
    <row r="112" spans="1:12" ht="20.25" customHeight="1" x14ac:dyDescent="0.3">
      <c r="A112" s="90" t="s">
        <v>390</v>
      </c>
      <c r="B112" s="84"/>
      <c r="C112" s="7" t="s">
        <v>389</v>
      </c>
      <c r="D112" s="85" t="s">
        <v>183</v>
      </c>
      <c r="E112" s="86" t="s">
        <v>110</v>
      </c>
      <c r="F112" s="63">
        <v>6</v>
      </c>
      <c r="G112" s="142">
        <v>7</v>
      </c>
      <c r="H112" s="63" t="s">
        <v>876</v>
      </c>
      <c r="I112" s="63">
        <v>4</v>
      </c>
      <c r="J112" s="63" t="s">
        <v>368</v>
      </c>
      <c r="K112" s="63" t="s">
        <v>16</v>
      </c>
      <c r="L112" s="63" t="s">
        <v>362</v>
      </c>
    </row>
    <row r="113" spans="1:12" ht="20.25" customHeight="1" x14ac:dyDescent="0.3">
      <c r="A113" s="90" t="s">
        <v>420</v>
      </c>
      <c r="B113" s="84"/>
      <c r="C113" s="7" t="s">
        <v>419</v>
      </c>
      <c r="D113" s="85" t="s">
        <v>183</v>
      </c>
      <c r="E113" s="86" t="s">
        <v>110</v>
      </c>
      <c r="F113" s="63">
        <v>6</v>
      </c>
      <c r="G113" s="142">
        <v>8</v>
      </c>
      <c r="H113" s="63" t="s">
        <v>868</v>
      </c>
      <c r="I113" s="63">
        <v>4</v>
      </c>
      <c r="J113" s="63" t="s">
        <v>874</v>
      </c>
      <c r="K113" s="63" t="s">
        <v>16</v>
      </c>
      <c r="L113" s="63" t="s">
        <v>362</v>
      </c>
    </row>
    <row r="114" spans="1:12" ht="20.25" customHeight="1" x14ac:dyDescent="0.3">
      <c r="A114" s="90" t="s">
        <v>428</v>
      </c>
      <c r="B114" s="84"/>
      <c r="C114" s="7" t="s">
        <v>427</v>
      </c>
      <c r="D114" s="85" t="s">
        <v>183</v>
      </c>
      <c r="E114" s="86" t="s">
        <v>106</v>
      </c>
      <c r="F114" s="63">
        <v>6</v>
      </c>
      <c r="G114" s="142">
        <v>8</v>
      </c>
      <c r="H114" s="63" t="s">
        <v>533</v>
      </c>
      <c r="I114" s="63">
        <v>4</v>
      </c>
      <c r="J114" s="63" t="s">
        <v>534</v>
      </c>
      <c r="K114" s="63" t="s">
        <v>16</v>
      </c>
      <c r="L114" s="63" t="s">
        <v>347</v>
      </c>
    </row>
    <row r="115" spans="1:12" ht="20.25" customHeight="1" x14ac:dyDescent="0.3">
      <c r="A115" s="90" t="s">
        <v>404</v>
      </c>
      <c r="B115" s="84"/>
      <c r="C115" s="7" t="s">
        <v>403</v>
      </c>
      <c r="D115" s="85" t="s">
        <v>183</v>
      </c>
      <c r="E115" s="86" t="s">
        <v>110</v>
      </c>
      <c r="F115" s="63">
        <v>6</v>
      </c>
      <c r="G115" s="142">
        <v>7</v>
      </c>
      <c r="H115" s="63" t="s">
        <v>873</v>
      </c>
      <c r="I115" s="63">
        <v>4</v>
      </c>
      <c r="J115" s="63" t="s">
        <v>873</v>
      </c>
      <c r="K115" s="63" t="s">
        <v>16</v>
      </c>
      <c r="L115" s="63" t="s">
        <v>362</v>
      </c>
    </row>
    <row r="116" spans="1:12" ht="20.25" customHeight="1" x14ac:dyDescent="0.3">
      <c r="A116" s="90" t="s">
        <v>434</v>
      </c>
      <c r="B116" s="84"/>
      <c r="C116" s="7" t="s">
        <v>433</v>
      </c>
      <c r="D116" s="85" t="s">
        <v>183</v>
      </c>
      <c r="E116" s="86" t="s">
        <v>110</v>
      </c>
      <c r="F116" s="63">
        <v>6</v>
      </c>
      <c r="G116" s="142">
        <v>8</v>
      </c>
      <c r="H116" s="63" t="s">
        <v>873</v>
      </c>
      <c r="I116" s="63">
        <v>4</v>
      </c>
      <c r="J116" s="63" t="s">
        <v>883</v>
      </c>
      <c r="K116" s="63" t="s">
        <v>16</v>
      </c>
      <c r="L116" s="63" t="s">
        <v>362</v>
      </c>
    </row>
    <row r="117" spans="1:12" ht="20.25" customHeight="1" x14ac:dyDescent="0.3">
      <c r="A117" s="90" t="s">
        <v>127</v>
      </c>
      <c r="B117" s="84"/>
      <c r="C117" s="7" t="s">
        <v>126</v>
      </c>
      <c r="D117" s="85" t="s">
        <v>21</v>
      </c>
      <c r="E117" s="86" t="s">
        <v>110</v>
      </c>
      <c r="F117" s="63">
        <v>6</v>
      </c>
      <c r="G117" s="142">
        <v>7</v>
      </c>
      <c r="H117" s="63" t="s">
        <v>365</v>
      </c>
      <c r="I117" s="63">
        <v>4</v>
      </c>
      <c r="J117" s="63" t="s">
        <v>366</v>
      </c>
      <c r="K117" s="63" t="s">
        <v>16</v>
      </c>
      <c r="L117" s="63" t="s">
        <v>362</v>
      </c>
    </row>
    <row r="118" spans="1:12" ht="20.25" customHeight="1" x14ac:dyDescent="0.3">
      <c r="A118" s="90" t="s">
        <v>912</v>
      </c>
      <c r="B118" s="84"/>
      <c r="C118" s="7" t="s">
        <v>911</v>
      </c>
      <c r="D118" s="85" t="s">
        <v>183</v>
      </c>
      <c r="E118" s="86" t="s">
        <v>105</v>
      </c>
      <c r="F118" s="63">
        <v>4</v>
      </c>
      <c r="G118" s="142">
        <v>4</v>
      </c>
      <c r="H118" s="63">
        <v>1</v>
      </c>
      <c r="I118" s="63">
        <v>2</v>
      </c>
      <c r="J118" s="63">
        <v>3</v>
      </c>
      <c r="K118" s="63" t="s">
        <v>16</v>
      </c>
      <c r="L118" s="63">
        <v>2014</v>
      </c>
    </row>
    <row r="119" spans="1:12" ht="20.25" customHeight="1" x14ac:dyDescent="0.3">
      <c r="A119" s="90" t="s">
        <v>259</v>
      </c>
      <c r="B119" s="84"/>
      <c r="C119" s="7" t="s">
        <v>258</v>
      </c>
      <c r="D119" s="85" t="s">
        <v>21</v>
      </c>
      <c r="E119" s="86" t="s">
        <v>106</v>
      </c>
      <c r="F119" s="63">
        <v>6</v>
      </c>
      <c r="G119" s="142">
        <v>8</v>
      </c>
      <c r="H119" s="63" t="s">
        <v>332</v>
      </c>
      <c r="I119" s="63">
        <v>4</v>
      </c>
      <c r="J119" s="63" t="s">
        <v>222</v>
      </c>
      <c r="K119" s="63" t="s">
        <v>16</v>
      </c>
      <c r="L119" s="63">
        <v>2014</v>
      </c>
    </row>
    <row r="120" spans="1:12" ht="20.25" customHeight="1" x14ac:dyDescent="0.3">
      <c r="A120" s="90" t="s">
        <v>157</v>
      </c>
      <c r="B120" s="84"/>
      <c r="C120" s="7" t="s">
        <v>900</v>
      </c>
      <c r="D120" s="85" t="s">
        <v>182</v>
      </c>
      <c r="E120" s="86" t="s">
        <v>106</v>
      </c>
      <c r="F120" s="63">
        <v>6</v>
      </c>
      <c r="G120" s="142">
        <v>4</v>
      </c>
      <c r="H120" s="63" t="s">
        <v>534</v>
      </c>
      <c r="I120" s="63">
        <v>2</v>
      </c>
      <c r="J120" s="63" t="s">
        <v>534</v>
      </c>
      <c r="K120" s="63" t="s">
        <v>16</v>
      </c>
      <c r="L120" s="63" t="s">
        <v>347</v>
      </c>
    </row>
    <row r="121" spans="1:12" ht="20.25" customHeight="1" x14ac:dyDescent="0.3">
      <c r="A121" s="90" t="s">
        <v>668</v>
      </c>
      <c r="B121" s="84"/>
      <c r="C121" s="7" t="s">
        <v>667</v>
      </c>
      <c r="D121" s="85" t="s">
        <v>763</v>
      </c>
      <c r="E121" s="86" t="s">
        <v>110</v>
      </c>
      <c r="F121" s="63">
        <v>6</v>
      </c>
      <c r="G121" s="142">
        <v>7</v>
      </c>
      <c r="H121" s="63" t="s">
        <v>768</v>
      </c>
      <c r="I121" s="63">
        <v>4</v>
      </c>
      <c r="J121" s="63" t="s">
        <v>769</v>
      </c>
      <c r="K121" s="63" t="s">
        <v>16</v>
      </c>
      <c r="L121" s="63" t="s">
        <v>679</v>
      </c>
    </row>
    <row r="122" spans="1:12" ht="20.25" customHeight="1" x14ac:dyDescent="0.3">
      <c r="A122" s="90" t="s">
        <v>668</v>
      </c>
      <c r="B122" s="84"/>
      <c r="C122" s="7" t="s">
        <v>667</v>
      </c>
      <c r="D122" s="85" t="s">
        <v>183</v>
      </c>
      <c r="E122" s="86" t="s">
        <v>110</v>
      </c>
      <c r="F122" s="63">
        <v>6</v>
      </c>
      <c r="G122" s="142">
        <v>8</v>
      </c>
      <c r="H122" s="63" t="s">
        <v>528</v>
      </c>
      <c r="I122" s="63">
        <v>4</v>
      </c>
      <c r="J122" s="63" t="s">
        <v>850</v>
      </c>
      <c r="K122" s="63" t="s">
        <v>16</v>
      </c>
      <c r="L122" s="63" t="s">
        <v>526</v>
      </c>
    </row>
    <row r="123" spans="1:12" ht="20.25" customHeight="1" x14ac:dyDescent="0.3">
      <c r="A123" s="90" t="s">
        <v>676</v>
      </c>
      <c r="B123" s="84"/>
      <c r="C123" s="7" t="s">
        <v>675</v>
      </c>
      <c r="D123" s="85" t="s">
        <v>99</v>
      </c>
      <c r="E123" s="86" t="s">
        <v>106</v>
      </c>
      <c r="F123" s="63">
        <v>6</v>
      </c>
      <c r="G123" s="142">
        <v>8</v>
      </c>
      <c r="H123" s="63" t="s">
        <v>332</v>
      </c>
      <c r="I123" s="63">
        <v>4</v>
      </c>
      <c r="J123" s="63" t="s">
        <v>200</v>
      </c>
      <c r="K123" s="63" t="s">
        <v>16</v>
      </c>
      <c r="L123" s="63">
        <v>2014</v>
      </c>
    </row>
    <row r="124" spans="1:12" ht="20.25" customHeight="1" x14ac:dyDescent="0.3">
      <c r="A124" s="90" t="s">
        <v>916</v>
      </c>
      <c r="B124" s="84"/>
      <c r="C124" s="7" t="s">
        <v>915</v>
      </c>
      <c r="D124" s="85" t="s">
        <v>183</v>
      </c>
      <c r="E124" s="86" t="s">
        <v>106</v>
      </c>
      <c r="F124" s="63">
        <v>16</v>
      </c>
      <c r="G124" s="142">
        <v>6</v>
      </c>
      <c r="H124" s="63" t="s">
        <v>199</v>
      </c>
      <c r="I124" s="63">
        <v>3</v>
      </c>
      <c r="J124" s="63" t="s">
        <v>903</v>
      </c>
      <c r="K124" s="63" t="s">
        <v>16</v>
      </c>
      <c r="L124" s="63">
        <v>2014</v>
      </c>
    </row>
    <row r="125" spans="1:12" ht="20.25" customHeight="1" x14ac:dyDescent="0.3">
      <c r="A125" s="90" t="s">
        <v>504</v>
      </c>
      <c r="B125" s="84"/>
      <c r="C125" s="7" t="s">
        <v>503</v>
      </c>
      <c r="D125" s="85" t="s">
        <v>29</v>
      </c>
      <c r="E125" s="86" t="s">
        <v>106</v>
      </c>
      <c r="F125" s="63">
        <v>6</v>
      </c>
      <c r="G125" s="142">
        <v>7</v>
      </c>
      <c r="H125" s="63" t="s">
        <v>332</v>
      </c>
      <c r="I125" s="63">
        <v>4</v>
      </c>
      <c r="J125" s="63" t="s">
        <v>200</v>
      </c>
      <c r="K125" s="63" t="s">
        <v>16</v>
      </c>
      <c r="L125" s="63">
        <v>2010</v>
      </c>
    </row>
    <row r="126" spans="1:12" ht="20.25" customHeight="1" x14ac:dyDescent="0.3">
      <c r="A126" s="90" t="s">
        <v>236</v>
      </c>
      <c r="B126" s="84"/>
      <c r="C126" s="7" t="s">
        <v>235</v>
      </c>
      <c r="D126" s="85" t="s">
        <v>31</v>
      </c>
      <c r="E126" s="86" t="s">
        <v>106</v>
      </c>
      <c r="F126" s="63">
        <v>6</v>
      </c>
      <c r="G126" s="142">
        <v>4</v>
      </c>
      <c r="H126" s="63" t="s">
        <v>339</v>
      </c>
      <c r="I126" s="63">
        <v>2</v>
      </c>
      <c r="J126" s="63" t="s">
        <v>280</v>
      </c>
      <c r="K126" s="63" t="s">
        <v>16</v>
      </c>
      <c r="L126" s="63" t="s">
        <v>361</v>
      </c>
    </row>
    <row r="127" spans="1:12" ht="20.25" customHeight="1" x14ac:dyDescent="0.3">
      <c r="A127" s="90" t="s">
        <v>460</v>
      </c>
      <c r="B127" s="84"/>
      <c r="C127" s="7" t="s">
        <v>459</v>
      </c>
      <c r="D127" s="85" t="s">
        <v>657</v>
      </c>
      <c r="E127" s="86" t="s">
        <v>110</v>
      </c>
      <c r="F127" s="63">
        <v>6</v>
      </c>
      <c r="G127" s="142">
        <v>7</v>
      </c>
      <c r="H127" s="63" t="s">
        <v>366</v>
      </c>
      <c r="I127" s="63">
        <v>4</v>
      </c>
      <c r="J127" s="63" t="s">
        <v>376</v>
      </c>
      <c r="K127" s="63" t="s">
        <v>16</v>
      </c>
      <c r="L127" s="63" t="s">
        <v>660</v>
      </c>
    </row>
    <row r="128" spans="1:12" ht="20.25" customHeight="1" x14ac:dyDescent="0.3">
      <c r="A128" s="90" t="s">
        <v>821</v>
      </c>
      <c r="B128" s="84"/>
      <c r="C128" s="7" t="s">
        <v>820</v>
      </c>
      <c r="D128" s="85" t="s">
        <v>183</v>
      </c>
      <c r="E128" s="86" t="s">
        <v>110</v>
      </c>
      <c r="F128" s="63">
        <v>12</v>
      </c>
      <c r="G128" s="142">
        <v>8</v>
      </c>
      <c r="H128" s="63" t="s">
        <v>199</v>
      </c>
      <c r="I128" s="63">
        <v>4</v>
      </c>
      <c r="J128" s="63" t="s">
        <v>502</v>
      </c>
      <c r="K128" s="63" t="s">
        <v>16</v>
      </c>
      <c r="L128" s="63">
        <v>2009</v>
      </c>
    </row>
    <row r="129" spans="1:12" ht="20.25" customHeight="1" x14ac:dyDescent="0.3">
      <c r="A129" s="90" t="s">
        <v>239</v>
      </c>
      <c r="B129" s="84"/>
      <c r="C129" s="7" t="s">
        <v>238</v>
      </c>
      <c r="D129" s="85" t="s">
        <v>31</v>
      </c>
      <c r="E129" s="86" t="s">
        <v>106</v>
      </c>
      <c r="F129" s="63">
        <v>6</v>
      </c>
      <c r="G129" s="142">
        <v>5</v>
      </c>
      <c r="H129" s="63" t="s">
        <v>339</v>
      </c>
      <c r="I129" s="63">
        <v>3</v>
      </c>
      <c r="J129" s="63" t="s">
        <v>344</v>
      </c>
      <c r="K129" s="63" t="s">
        <v>16</v>
      </c>
      <c r="L129" s="63" t="s">
        <v>361</v>
      </c>
    </row>
    <row r="130" spans="1:12" ht="20.25" customHeight="1" x14ac:dyDescent="0.3">
      <c r="A130" s="90" t="s">
        <v>284</v>
      </c>
      <c r="B130" s="84"/>
      <c r="C130" s="7" t="s">
        <v>283</v>
      </c>
      <c r="D130" s="85" t="s">
        <v>183</v>
      </c>
      <c r="E130" s="86" t="s">
        <v>105</v>
      </c>
      <c r="F130" s="63">
        <v>6</v>
      </c>
      <c r="G130" s="142">
        <v>3</v>
      </c>
      <c r="H130" s="63" t="s">
        <v>876</v>
      </c>
      <c r="I130" s="63">
        <v>2</v>
      </c>
      <c r="J130" s="63" t="s">
        <v>923</v>
      </c>
      <c r="K130" s="63" t="s">
        <v>16</v>
      </c>
      <c r="L130" s="63" t="s">
        <v>362</v>
      </c>
    </row>
    <row r="131" spans="1:12" ht="20.25" customHeight="1" x14ac:dyDescent="0.3">
      <c r="A131" s="90" t="s">
        <v>695</v>
      </c>
      <c r="B131" s="84"/>
      <c r="C131" s="7" t="s">
        <v>694</v>
      </c>
      <c r="D131" s="85" t="s">
        <v>762</v>
      </c>
      <c r="E131" s="86" t="s">
        <v>110</v>
      </c>
      <c r="F131" s="63">
        <v>6</v>
      </c>
      <c r="G131" s="142">
        <v>7</v>
      </c>
      <c r="H131" s="63" t="s">
        <v>653</v>
      </c>
      <c r="I131" s="63">
        <v>4</v>
      </c>
      <c r="J131" s="63" t="s">
        <v>654</v>
      </c>
      <c r="K131" s="63" t="s">
        <v>16</v>
      </c>
      <c r="L131" s="63" t="s">
        <v>848</v>
      </c>
    </row>
    <row r="132" spans="1:12" ht="20.25" customHeight="1" x14ac:dyDescent="0.3">
      <c r="A132" s="90" t="s">
        <v>277</v>
      </c>
      <c r="B132" s="84"/>
      <c r="C132" s="7" t="s">
        <v>902</v>
      </c>
      <c r="D132" s="85" t="s">
        <v>183</v>
      </c>
      <c r="E132" s="86" t="s">
        <v>106</v>
      </c>
      <c r="F132" s="63">
        <v>6</v>
      </c>
      <c r="G132" s="142">
        <v>6</v>
      </c>
      <c r="H132" s="63" t="s">
        <v>842</v>
      </c>
      <c r="I132" s="63">
        <v>3</v>
      </c>
      <c r="J132" s="63" t="s">
        <v>446</v>
      </c>
      <c r="K132" s="63" t="s">
        <v>16</v>
      </c>
      <c r="L132" s="63" t="s">
        <v>338</v>
      </c>
    </row>
    <row r="133" spans="1:12" ht="20.25" customHeight="1" x14ac:dyDescent="0.3">
      <c r="A133" s="90" t="s">
        <v>277</v>
      </c>
      <c r="B133" s="84"/>
      <c r="C133" s="7" t="s">
        <v>276</v>
      </c>
      <c r="D133" s="85" t="s">
        <v>183</v>
      </c>
      <c r="E133" s="86" t="s">
        <v>106</v>
      </c>
      <c r="F133" s="63">
        <v>6</v>
      </c>
      <c r="G133" s="142">
        <v>6</v>
      </c>
      <c r="H133" s="63" t="s">
        <v>851</v>
      </c>
      <c r="I133" s="63">
        <v>3</v>
      </c>
      <c r="J133" s="63" t="s">
        <v>531</v>
      </c>
      <c r="K133" s="63" t="s">
        <v>16</v>
      </c>
      <c r="L133" s="63" t="s">
        <v>356</v>
      </c>
    </row>
    <row r="134" spans="1:12" ht="20.25" customHeight="1" x14ac:dyDescent="0.3">
      <c r="A134" s="90" t="s">
        <v>277</v>
      </c>
      <c r="B134" s="84"/>
      <c r="C134" s="7" t="s">
        <v>276</v>
      </c>
      <c r="D134" s="85" t="s">
        <v>183</v>
      </c>
      <c r="E134" s="86" t="s">
        <v>106</v>
      </c>
      <c r="F134" s="63">
        <v>6</v>
      </c>
      <c r="G134" s="142">
        <v>8</v>
      </c>
      <c r="H134" s="63" t="s">
        <v>199</v>
      </c>
      <c r="I134" s="63">
        <v>4</v>
      </c>
      <c r="J134" s="63" t="s">
        <v>200</v>
      </c>
      <c r="K134" s="63" t="s">
        <v>16</v>
      </c>
      <c r="L134" s="63">
        <v>2014</v>
      </c>
    </row>
    <row r="135" spans="1:12" ht="20.25" customHeight="1" x14ac:dyDescent="0.3">
      <c r="A135" s="90" t="s">
        <v>436</v>
      </c>
      <c r="B135" s="84"/>
      <c r="C135" s="7" t="s">
        <v>435</v>
      </c>
      <c r="D135" s="85" t="s">
        <v>183</v>
      </c>
      <c r="E135" s="86" t="s">
        <v>110</v>
      </c>
      <c r="F135" s="63">
        <v>6</v>
      </c>
      <c r="G135" s="142">
        <v>9</v>
      </c>
      <c r="H135" s="63" t="s">
        <v>543</v>
      </c>
      <c r="I135" s="63">
        <v>5</v>
      </c>
      <c r="J135" s="63" t="s">
        <v>543</v>
      </c>
      <c r="K135" s="63" t="s">
        <v>16</v>
      </c>
      <c r="L135" s="63" t="s">
        <v>890</v>
      </c>
    </row>
    <row r="136" spans="1:12" ht="20.25" customHeight="1" x14ac:dyDescent="0.3">
      <c r="A136" s="90" t="s">
        <v>691</v>
      </c>
      <c r="B136" s="84"/>
      <c r="C136" s="7" t="s">
        <v>690</v>
      </c>
      <c r="D136" s="85" t="s">
        <v>65</v>
      </c>
      <c r="E136" s="86" t="s">
        <v>110</v>
      </c>
      <c r="F136" s="63">
        <v>6</v>
      </c>
      <c r="G136" s="142">
        <v>9</v>
      </c>
      <c r="H136" s="63" t="s">
        <v>346</v>
      </c>
      <c r="I136" s="63">
        <v>5</v>
      </c>
      <c r="J136" s="63" t="s">
        <v>346</v>
      </c>
      <c r="K136" s="63" t="s">
        <v>16</v>
      </c>
      <c r="L136" s="63" t="s">
        <v>848</v>
      </c>
    </row>
    <row r="137" spans="1:12" ht="20.25" customHeight="1" x14ac:dyDescent="0.3">
      <c r="A137" s="90" t="s">
        <v>685</v>
      </c>
      <c r="B137" s="84"/>
      <c r="C137" s="7" t="s">
        <v>684</v>
      </c>
      <c r="D137" s="85" t="s">
        <v>65</v>
      </c>
      <c r="E137" s="86" t="s">
        <v>110</v>
      </c>
      <c r="F137" s="63">
        <v>6</v>
      </c>
      <c r="G137" s="142">
        <v>8</v>
      </c>
      <c r="H137" s="63" t="s">
        <v>345</v>
      </c>
      <c r="I137" s="63">
        <v>4</v>
      </c>
      <c r="J137" s="63" t="s">
        <v>346</v>
      </c>
      <c r="K137" s="63" t="s">
        <v>16</v>
      </c>
      <c r="L137" s="63" t="s">
        <v>855</v>
      </c>
    </row>
    <row r="138" spans="1:12" ht="20.25" customHeight="1" x14ac:dyDescent="0.3">
      <c r="A138" s="90" t="s">
        <v>687</v>
      </c>
      <c r="B138" s="84"/>
      <c r="C138" s="7" t="s">
        <v>686</v>
      </c>
      <c r="D138" s="85" t="s">
        <v>65</v>
      </c>
      <c r="E138" s="86" t="s">
        <v>110</v>
      </c>
      <c r="F138" s="63">
        <v>6</v>
      </c>
      <c r="G138" s="142">
        <v>8</v>
      </c>
      <c r="H138" s="63" t="s">
        <v>346</v>
      </c>
      <c r="I138" s="63">
        <v>4</v>
      </c>
      <c r="J138" s="63" t="s">
        <v>346</v>
      </c>
      <c r="K138" s="63" t="s">
        <v>16</v>
      </c>
      <c r="L138" s="63" t="s">
        <v>848</v>
      </c>
    </row>
    <row r="139" spans="1:12" ht="20.25" customHeight="1" x14ac:dyDescent="0.3">
      <c r="A139" s="90" t="s">
        <v>683</v>
      </c>
      <c r="B139" s="84"/>
      <c r="C139" s="7" t="s">
        <v>682</v>
      </c>
      <c r="D139" s="85" t="s">
        <v>65</v>
      </c>
      <c r="E139" s="86" t="s">
        <v>110</v>
      </c>
      <c r="F139" s="63">
        <v>6</v>
      </c>
      <c r="G139" s="142">
        <v>7</v>
      </c>
      <c r="H139" s="63" t="s">
        <v>346</v>
      </c>
      <c r="I139" s="63">
        <v>4</v>
      </c>
      <c r="J139" s="63" t="s">
        <v>346</v>
      </c>
      <c r="K139" s="63" t="s">
        <v>16</v>
      </c>
      <c r="L139" s="63" t="s">
        <v>848</v>
      </c>
    </row>
    <row r="140" spans="1:12" ht="20.25" customHeight="1" x14ac:dyDescent="0.3">
      <c r="A140" s="90" t="s">
        <v>558</v>
      </c>
      <c r="B140" s="84"/>
      <c r="C140" s="7" t="s">
        <v>557</v>
      </c>
      <c r="D140" s="85" t="s">
        <v>29</v>
      </c>
      <c r="E140" s="86" t="s">
        <v>110</v>
      </c>
      <c r="F140" s="63">
        <v>6</v>
      </c>
      <c r="G140" s="142">
        <v>8</v>
      </c>
      <c r="H140" s="63" t="s">
        <v>333</v>
      </c>
      <c r="I140" s="63">
        <v>4</v>
      </c>
      <c r="J140" s="63" t="s">
        <v>332</v>
      </c>
      <c r="K140" s="63" t="s">
        <v>16</v>
      </c>
      <c r="L140" s="63">
        <v>2014</v>
      </c>
    </row>
    <row r="141" spans="1:12" ht="20.25" customHeight="1" x14ac:dyDescent="0.3">
      <c r="A141" s="90" t="s">
        <v>480</v>
      </c>
      <c r="B141" s="84"/>
      <c r="C141" s="7" t="s">
        <v>479</v>
      </c>
      <c r="D141" s="85" t="s">
        <v>29</v>
      </c>
      <c r="E141" s="86" t="s">
        <v>110</v>
      </c>
      <c r="F141" s="63">
        <v>6</v>
      </c>
      <c r="G141" s="142">
        <v>8</v>
      </c>
      <c r="H141" s="63" t="s">
        <v>365</v>
      </c>
      <c r="I141" s="63">
        <v>4</v>
      </c>
      <c r="J141" s="63" t="s">
        <v>368</v>
      </c>
      <c r="K141" s="63" t="s">
        <v>16</v>
      </c>
      <c r="L141" s="63" t="s">
        <v>362</v>
      </c>
    </row>
    <row r="142" spans="1:12" ht="20.25" customHeight="1" x14ac:dyDescent="0.3">
      <c r="A142" s="90" t="s">
        <v>263</v>
      </c>
      <c r="B142" s="84"/>
      <c r="C142" s="7" t="s">
        <v>262</v>
      </c>
      <c r="D142" s="85" t="s">
        <v>21</v>
      </c>
      <c r="E142" s="86" t="s">
        <v>106</v>
      </c>
      <c r="F142" s="63">
        <v>6</v>
      </c>
      <c r="G142" s="142">
        <v>7</v>
      </c>
      <c r="H142" s="63" t="s">
        <v>348</v>
      </c>
      <c r="I142" s="63">
        <v>4</v>
      </c>
      <c r="J142" s="63" t="s">
        <v>349</v>
      </c>
      <c r="K142" s="63" t="s">
        <v>16</v>
      </c>
      <c r="L142" s="63" t="s">
        <v>355</v>
      </c>
    </row>
    <row r="143" spans="1:12" ht="20.25" customHeight="1" x14ac:dyDescent="0.3">
      <c r="A143" s="90" t="s">
        <v>263</v>
      </c>
      <c r="B143" s="84"/>
      <c r="C143" s="7" t="s">
        <v>262</v>
      </c>
      <c r="D143" s="85" t="s">
        <v>21</v>
      </c>
      <c r="E143" s="86" t="s">
        <v>106</v>
      </c>
      <c r="F143" s="63">
        <v>6</v>
      </c>
      <c r="G143" s="142">
        <v>8</v>
      </c>
      <c r="H143" s="63" t="s">
        <v>339</v>
      </c>
      <c r="I143" s="63">
        <v>4</v>
      </c>
      <c r="J143" s="63" t="s">
        <v>339</v>
      </c>
      <c r="K143" s="63" t="s">
        <v>16</v>
      </c>
      <c r="L143" s="63" t="s">
        <v>374</v>
      </c>
    </row>
    <row r="144" spans="1:12" ht="20.25" customHeight="1" x14ac:dyDescent="0.3">
      <c r="A144" s="90" t="s">
        <v>785</v>
      </c>
      <c r="B144" s="84"/>
      <c r="C144" s="7" t="s">
        <v>784</v>
      </c>
      <c r="D144" s="85" t="s">
        <v>183</v>
      </c>
      <c r="E144" s="86" t="s">
        <v>106</v>
      </c>
      <c r="F144" s="63">
        <v>6</v>
      </c>
      <c r="G144" s="142">
        <v>7</v>
      </c>
      <c r="H144" s="63" t="s">
        <v>868</v>
      </c>
      <c r="I144" s="63">
        <v>4</v>
      </c>
      <c r="J144" s="63" t="s">
        <v>874</v>
      </c>
      <c r="K144" s="63" t="s">
        <v>16</v>
      </c>
      <c r="L144" s="63" t="s">
        <v>362</v>
      </c>
    </row>
    <row r="145" spans="1:12" ht="20.25" customHeight="1" x14ac:dyDescent="0.3">
      <c r="A145" s="90" t="s">
        <v>478</v>
      </c>
      <c r="B145" s="84"/>
      <c r="C145" s="7" t="s">
        <v>477</v>
      </c>
      <c r="D145" s="85" t="s">
        <v>29</v>
      </c>
      <c r="E145" s="86" t="s">
        <v>106</v>
      </c>
      <c r="F145" s="63">
        <v>8</v>
      </c>
      <c r="G145" s="142">
        <v>8</v>
      </c>
      <c r="H145" s="63" t="s">
        <v>535</v>
      </c>
      <c r="I145" s="63">
        <v>4</v>
      </c>
      <c r="J145" s="63" t="s">
        <v>539</v>
      </c>
      <c r="K145" s="63" t="s">
        <v>16</v>
      </c>
      <c r="L145" s="63" t="s">
        <v>347</v>
      </c>
    </row>
    <row r="146" spans="1:12" ht="20.25" customHeight="1" x14ac:dyDescent="0.3">
      <c r="A146" s="90" t="s">
        <v>155</v>
      </c>
      <c r="B146" s="84"/>
      <c r="C146" s="7" t="s">
        <v>154</v>
      </c>
      <c r="D146" s="85" t="s">
        <v>182</v>
      </c>
      <c r="E146" s="86" t="s">
        <v>105</v>
      </c>
      <c r="F146" s="63">
        <v>6</v>
      </c>
      <c r="G146" s="142">
        <v>2</v>
      </c>
      <c r="H146" s="63" t="s">
        <v>842</v>
      </c>
      <c r="I146" s="63">
        <v>1</v>
      </c>
      <c r="J146" s="63" t="s">
        <v>280</v>
      </c>
      <c r="K146" s="63" t="s">
        <v>16</v>
      </c>
      <c r="L146" s="63" t="s">
        <v>338</v>
      </c>
    </row>
    <row r="147" spans="1:12" ht="20.25" customHeight="1" x14ac:dyDescent="0.3">
      <c r="A147" s="90" t="s">
        <v>155</v>
      </c>
      <c r="B147" s="84"/>
      <c r="C147" s="7" t="s">
        <v>154</v>
      </c>
      <c r="D147" s="85" t="s">
        <v>182</v>
      </c>
      <c r="E147" s="86" t="s">
        <v>105</v>
      </c>
      <c r="F147" s="63">
        <v>6</v>
      </c>
      <c r="G147" s="142">
        <v>4</v>
      </c>
      <c r="H147" s="63" t="s">
        <v>199</v>
      </c>
      <c r="I147" s="63">
        <v>2</v>
      </c>
      <c r="J147" s="63" t="s">
        <v>333</v>
      </c>
      <c r="K147" s="63" t="s">
        <v>16</v>
      </c>
      <c r="L147" s="63">
        <v>2012</v>
      </c>
    </row>
    <row r="148" spans="1:12" ht="20.25" customHeight="1" x14ac:dyDescent="0.3">
      <c r="A148" s="90" t="s">
        <v>634</v>
      </c>
      <c r="B148" s="84"/>
      <c r="C148" s="7" t="s">
        <v>633</v>
      </c>
      <c r="D148" s="85" t="s">
        <v>32</v>
      </c>
      <c r="E148" s="86" t="s">
        <v>105</v>
      </c>
      <c r="F148" s="63">
        <v>6</v>
      </c>
      <c r="G148" s="142">
        <v>5</v>
      </c>
      <c r="H148" s="63" t="s">
        <v>333</v>
      </c>
      <c r="I148" s="63">
        <v>3</v>
      </c>
      <c r="J148" s="63" t="s">
        <v>641</v>
      </c>
      <c r="K148" s="63" t="s">
        <v>16</v>
      </c>
      <c r="L148" s="63">
        <v>2014</v>
      </c>
    </row>
    <row r="149" spans="1:12" ht="20.25" customHeight="1" x14ac:dyDescent="0.3">
      <c r="A149" s="90" t="s">
        <v>410</v>
      </c>
      <c r="B149" s="84"/>
      <c r="C149" s="7" t="s">
        <v>409</v>
      </c>
      <c r="D149" s="85" t="s">
        <v>183</v>
      </c>
      <c r="E149" s="86" t="s">
        <v>110</v>
      </c>
      <c r="F149" s="63">
        <v>6</v>
      </c>
      <c r="G149" s="142">
        <v>8</v>
      </c>
      <c r="H149" s="63" t="s">
        <v>868</v>
      </c>
      <c r="I149" s="63">
        <v>4</v>
      </c>
      <c r="J149" s="63" t="s">
        <v>868</v>
      </c>
      <c r="K149" s="63" t="s">
        <v>16</v>
      </c>
      <c r="L149" s="63" t="s">
        <v>362</v>
      </c>
    </row>
    <row r="150" spans="1:12" ht="20.25" customHeight="1" x14ac:dyDescent="0.3">
      <c r="A150" s="90" t="s">
        <v>693</v>
      </c>
      <c r="B150" s="84"/>
      <c r="C150" s="7" t="s">
        <v>692</v>
      </c>
      <c r="D150" s="85" t="s">
        <v>183</v>
      </c>
      <c r="E150" s="86" t="s">
        <v>110</v>
      </c>
      <c r="F150" s="63">
        <v>6</v>
      </c>
      <c r="G150" s="142">
        <v>7</v>
      </c>
      <c r="H150" s="63" t="s">
        <v>533</v>
      </c>
      <c r="I150" s="63">
        <v>4</v>
      </c>
      <c r="J150" s="63" t="s">
        <v>860</v>
      </c>
      <c r="K150" s="63" t="s">
        <v>16</v>
      </c>
      <c r="L150" s="63" t="s">
        <v>369</v>
      </c>
    </row>
    <row r="151" spans="1:12" ht="20.25" customHeight="1" x14ac:dyDescent="0.3">
      <c r="A151" s="90" t="s">
        <v>693</v>
      </c>
      <c r="B151" s="84"/>
      <c r="C151" s="7" t="s">
        <v>692</v>
      </c>
      <c r="D151" s="85" t="s">
        <v>183</v>
      </c>
      <c r="E151" s="86" t="s">
        <v>110</v>
      </c>
      <c r="F151" s="63">
        <v>6</v>
      </c>
      <c r="G151" s="142">
        <v>8</v>
      </c>
      <c r="H151" s="63">
        <v>2</v>
      </c>
      <c r="I151" s="63">
        <v>4</v>
      </c>
      <c r="J151" s="63"/>
      <c r="K151" s="63" t="s">
        <v>16</v>
      </c>
      <c r="L151" s="63">
        <v>2011</v>
      </c>
    </row>
    <row r="152" spans="1:12" ht="20.25" customHeight="1" x14ac:dyDescent="0.3">
      <c r="A152" s="90" t="s">
        <v>693</v>
      </c>
      <c r="B152" s="84"/>
      <c r="C152" s="7" t="s">
        <v>692</v>
      </c>
      <c r="D152" s="85" t="s">
        <v>65</v>
      </c>
      <c r="E152" s="86" t="s">
        <v>110</v>
      </c>
      <c r="F152" s="63">
        <v>6</v>
      </c>
      <c r="G152" s="142">
        <v>9</v>
      </c>
      <c r="H152" s="63" t="s">
        <v>346</v>
      </c>
      <c r="I152" s="63">
        <v>5</v>
      </c>
      <c r="J152" s="63" t="s">
        <v>531</v>
      </c>
      <c r="K152" s="63" t="s">
        <v>16</v>
      </c>
      <c r="L152" s="63" t="s">
        <v>679</v>
      </c>
    </row>
    <row r="153" spans="1:12" ht="20.25" customHeight="1" x14ac:dyDescent="0.3">
      <c r="A153" s="90" t="s">
        <v>624</v>
      </c>
      <c r="B153" s="84"/>
      <c r="C153" s="7" t="s">
        <v>623</v>
      </c>
      <c r="D153" s="85" t="s">
        <v>32</v>
      </c>
      <c r="E153" s="86" t="s">
        <v>110</v>
      </c>
      <c r="F153" s="63">
        <v>6</v>
      </c>
      <c r="G153" s="142">
        <v>7</v>
      </c>
      <c r="H153" s="63" t="s">
        <v>339</v>
      </c>
      <c r="I153" s="63">
        <v>4</v>
      </c>
      <c r="J153" s="63" t="s">
        <v>344</v>
      </c>
      <c r="K153" s="63" t="s">
        <v>16</v>
      </c>
      <c r="L153" s="63" t="s">
        <v>361</v>
      </c>
    </row>
    <row r="154" spans="1:12" ht="20.25" customHeight="1" x14ac:dyDescent="0.3">
      <c r="A154" s="90" t="s">
        <v>630</v>
      </c>
      <c r="B154" s="84"/>
      <c r="C154" s="7" t="s">
        <v>629</v>
      </c>
      <c r="D154" s="85" t="s">
        <v>32</v>
      </c>
      <c r="E154" s="86" t="s">
        <v>105</v>
      </c>
      <c r="F154" s="63">
        <v>6</v>
      </c>
      <c r="G154" s="142">
        <v>4</v>
      </c>
      <c r="H154" s="63" t="s">
        <v>332</v>
      </c>
      <c r="I154" s="63">
        <v>2</v>
      </c>
      <c r="J154" s="63" t="s">
        <v>222</v>
      </c>
      <c r="K154" s="63" t="s">
        <v>16</v>
      </c>
      <c r="L154" s="63">
        <v>2014</v>
      </c>
    </row>
    <row r="155" spans="1:12" ht="20.25" customHeight="1" x14ac:dyDescent="0.3">
      <c r="A155" s="90" t="s">
        <v>595</v>
      </c>
      <c r="B155" s="84"/>
      <c r="C155" s="7" t="s">
        <v>594</v>
      </c>
      <c r="D155" s="85" t="s">
        <v>32</v>
      </c>
      <c r="E155" s="86" t="s">
        <v>106</v>
      </c>
      <c r="F155" s="63">
        <v>6</v>
      </c>
      <c r="G155" s="142">
        <v>7</v>
      </c>
      <c r="H155" s="63" t="s">
        <v>366</v>
      </c>
      <c r="I155" s="63">
        <v>4</v>
      </c>
      <c r="J155" s="63" t="s">
        <v>646</v>
      </c>
      <c r="K155" s="63" t="s">
        <v>16</v>
      </c>
      <c r="L155" s="63" t="s">
        <v>362</v>
      </c>
    </row>
    <row r="156" spans="1:12" ht="20.25" customHeight="1" x14ac:dyDescent="0.3">
      <c r="A156" s="90" t="s">
        <v>271</v>
      </c>
      <c r="B156" s="84"/>
      <c r="C156" s="7" t="s">
        <v>270</v>
      </c>
      <c r="D156" s="85" t="s">
        <v>32</v>
      </c>
      <c r="E156" s="86" t="s">
        <v>105</v>
      </c>
      <c r="F156" s="63">
        <v>6</v>
      </c>
      <c r="G156" s="142">
        <v>4</v>
      </c>
      <c r="H156" s="63" t="s">
        <v>339</v>
      </c>
      <c r="I156" s="63">
        <v>2</v>
      </c>
      <c r="J156" s="63" t="s">
        <v>339</v>
      </c>
      <c r="K156" s="63" t="s">
        <v>16</v>
      </c>
      <c r="L156" s="63" t="s">
        <v>908</v>
      </c>
    </row>
    <row r="157" spans="1:12" ht="20.25" customHeight="1" x14ac:dyDescent="0.3">
      <c r="A157" s="90" t="s">
        <v>780</v>
      </c>
      <c r="B157" s="84"/>
      <c r="C157" s="7" t="s">
        <v>779</v>
      </c>
      <c r="D157" s="85" t="s">
        <v>183</v>
      </c>
      <c r="E157" s="86" t="s">
        <v>106</v>
      </c>
      <c r="F157" s="63">
        <v>6</v>
      </c>
      <c r="G157" s="142">
        <v>7</v>
      </c>
      <c r="H157" s="63" t="s">
        <v>851</v>
      </c>
      <c r="I157" s="63">
        <v>4</v>
      </c>
      <c r="J157" s="63" t="s">
        <v>531</v>
      </c>
      <c r="K157" s="63" t="s">
        <v>16</v>
      </c>
      <c r="L157" s="63" t="s">
        <v>526</v>
      </c>
    </row>
    <row r="158" spans="1:12" ht="20.25" customHeight="1" x14ac:dyDescent="0.3">
      <c r="A158" s="90" t="s">
        <v>780</v>
      </c>
      <c r="B158" s="84"/>
      <c r="C158" s="7" t="s">
        <v>857</v>
      </c>
      <c r="D158" s="85" t="s">
        <v>183</v>
      </c>
      <c r="E158" s="86" t="s">
        <v>106</v>
      </c>
      <c r="F158" s="63">
        <v>6</v>
      </c>
      <c r="G158" s="142">
        <v>7</v>
      </c>
      <c r="H158" s="63" t="s">
        <v>851</v>
      </c>
      <c r="I158" s="63">
        <v>4</v>
      </c>
      <c r="J158" s="63" t="s">
        <v>880</v>
      </c>
      <c r="K158" s="63" t="s">
        <v>16</v>
      </c>
      <c r="L158" s="63" t="s">
        <v>679</v>
      </c>
    </row>
    <row r="159" spans="1:12" ht="20.25" customHeight="1" x14ac:dyDescent="0.3">
      <c r="A159" s="90" t="s">
        <v>728</v>
      </c>
      <c r="B159" s="84"/>
      <c r="C159" s="7" t="s">
        <v>727</v>
      </c>
      <c r="D159" s="85" t="s">
        <v>27</v>
      </c>
      <c r="E159" s="86" t="s">
        <v>110</v>
      </c>
      <c r="F159" s="63">
        <v>6</v>
      </c>
      <c r="G159" s="142">
        <v>8</v>
      </c>
      <c r="H159" s="63" t="s">
        <v>345</v>
      </c>
      <c r="I159" s="63">
        <v>4</v>
      </c>
      <c r="J159" s="63" t="s">
        <v>531</v>
      </c>
      <c r="K159" s="63" t="s">
        <v>16</v>
      </c>
      <c r="L159" s="63" t="s">
        <v>679</v>
      </c>
    </row>
    <row r="160" spans="1:12" ht="20.25" customHeight="1" x14ac:dyDescent="0.3">
      <c r="A160" s="90" t="s">
        <v>728</v>
      </c>
      <c r="B160" s="84"/>
      <c r="C160" s="7" t="s">
        <v>836</v>
      </c>
      <c r="D160" s="85" t="s">
        <v>183</v>
      </c>
      <c r="E160" s="86" t="s">
        <v>106</v>
      </c>
      <c r="F160" s="63">
        <v>6</v>
      </c>
      <c r="G160" s="142">
        <v>8</v>
      </c>
      <c r="H160" s="63" t="s">
        <v>444</v>
      </c>
      <c r="I160" s="63">
        <v>4</v>
      </c>
      <c r="J160" s="63" t="s">
        <v>839</v>
      </c>
      <c r="K160" s="63" t="s">
        <v>16</v>
      </c>
      <c r="L160" s="63" t="s">
        <v>532</v>
      </c>
    </row>
    <row r="161" spans="1:12" ht="20.25" customHeight="1" x14ac:dyDescent="0.3">
      <c r="A161" s="90" t="s">
        <v>226</v>
      </c>
      <c r="B161" s="84"/>
      <c r="C161" s="7" t="s">
        <v>225</v>
      </c>
      <c r="D161" s="85" t="s">
        <v>29</v>
      </c>
      <c r="E161" s="86" t="s">
        <v>106</v>
      </c>
      <c r="F161" s="63">
        <v>6</v>
      </c>
      <c r="G161" s="142">
        <v>4</v>
      </c>
      <c r="H161" s="63" t="s">
        <v>333</v>
      </c>
      <c r="I161" s="63">
        <v>2</v>
      </c>
      <c r="J161" s="63" t="s">
        <v>332</v>
      </c>
      <c r="K161" s="63" t="s">
        <v>16</v>
      </c>
      <c r="L161" s="63">
        <v>2014</v>
      </c>
    </row>
    <row r="162" spans="1:12" ht="20.25" customHeight="1" x14ac:dyDescent="0.3">
      <c r="A162" s="90" t="s">
        <v>226</v>
      </c>
      <c r="B162" s="84"/>
      <c r="C162" s="7" t="s">
        <v>225</v>
      </c>
      <c r="D162" s="85" t="s">
        <v>29</v>
      </c>
      <c r="E162" s="86" t="s">
        <v>106</v>
      </c>
      <c r="F162" s="63">
        <v>6</v>
      </c>
      <c r="G162" s="142">
        <v>5</v>
      </c>
      <c r="H162" s="63" t="s">
        <v>354</v>
      </c>
      <c r="I162" s="63">
        <v>3</v>
      </c>
      <c r="J162" s="63" t="s">
        <v>360</v>
      </c>
      <c r="K162" s="63" t="s">
        <v>16</v>
      </c>
      <c r="L162" s="63" t="s">
        <v>352</v>
      </c>
    </row>
    <row r="163" spans="1:12" ht="20.25" customHeight="1" x14ac:dyDescent="0.3">
      <c r="A163" s="90" t="s">
        <v>462</v>
      </c>
      <c r="B163" s="84"/>
      <c r="C163" s="7" t="s">
        <v>461</v>
      </c>
      <c r="D163" s="85" t="s">
        <v>29</v>
      </c>
      <c r="E163" s="86" t="s">
        <v>110</v>
      </c>
      <c r="F163" s="63">
        <v>6</v>
      </c>
      <c r="G163" s="142">
        <v>7</v>
      </c>
      <c r="H163" s="63" t="s">
        <v>354</v>
      </c>
      <c r="I163" s="63">
        <v>4</v>
      </c>
      <c r="J163" s="63" t="s">
        <v>360</v>
      </c>
      <c r="K163" s="63" t="s">
        <v>16</v>
      </c>
      <c r="L163" s="63" t="s">
        <v>352</v>
      </c>
    </row>
    <row r="164" spans="1:12" ht="20.25" customHeight="1" x14ac:dyDescent="0.3">
      <c r="A164" s="90" t="s">
        <v>619</v>
      </c>
      <c r="B164" s="84"/>
      <c r="C164" s="7" t="s">
        <v>618</v>
      </c>
      <c r="D164" s="85" t="s">
        <v>32</v>
      </c>
      <c r="E164" s="86" t="s">
        <v>106</v>
      </c>
      <c r="F164" s="63">
        <v>6</v>
      </c>
      <c r="G164" s="142">
        <v>7</v>
      </c>
      <c r="H164" s="63" t="s">
        <v>348</v>
      </c>
      <c r="I164" s="63">
        <v>4</v>
      </c>
      <c r="J164" s="63" t="s">
        <v>645</v>
      </c>
      <c r="K164" s="63" t="s">
        <v>16</v>
      </c>
      <c r="L164" s="63" t="s">
        <v>369</v>
      </c>
    </row>
    <row r="165" spans="1:12" ht="20.25" customHeight="1" x14ac:dyDescent="0.3">
      <c r="A165" s="90" t="s">
        <v>541</v>
      </c>
      <c r="B165" s="84"/>
      <c r="C165" s="7" t="s">
        <v>540</v>
      </c>
      <c r="D165" s="85" t="s">
        <v>29</v>
      </c>
      <c r="E165" s="86" t="s">
        <v>106</v>
      </c>
      <c r="F165" s="63">
        <v>6</v>
      </c>
      <c r="G165" s="142">
        <v>7</v>
      </c>
      <c r="H165" s="63" t="s">
        <v>335</v>
      </c>
      <c r="I165" s="63">
        <v>4</v>
      </c>
      <c r="J165" s="63" t="s">
        <v>501</v>
      </c>
      <c r="K165" s="63" t="s">
        <v>16</v>
      </c>
      <c r="L165" s="63">
        <v>2013</v>
      </c>
    </row>
    <row r="166" spans="1:12" ht="20.25" customHeight="1" x14ac:dyDescent="0.3">
      <c r="A166" s="90" t="s">
        <v>541</v>
      </c>
      <c r="B166" s="84"/>
      <c r="C166" s="7" t="s">
        <v>540</v>
      </c>
      <c r="D166" s="85" t="s">
        <v>29</v>
      </c>
      <c r="E166" s="86" t="s">
        <v>106</v>
      </c>
      <c r="F166" s="63">
        <v>6</v>
      </c>
      <c r="G166" s="142">
        <v>9</v>
      </c>
      <c r="H166" s="63" t="s">
        <v>333</v>
      </c>
      <c r="I166" s="63">
        <v>5</v>
      </c>
      <c r="J166" s="63" t="s">
        <v>332</v>
      </c>
      <c r="K166" s="63" t="s">
        <v>16</v>
      </c>
      <c r="L166" s="63">
        <v>2014</v>
      </c>
    </row>
    <row r="167" spans="1:12" ht="20.25" customHeight="1" x14ac:dyDescent="0.3">
      <c r="A167" s="90" t="s">
        <v>519</v>
      </c>
      <c r="B167" s="84"/>
      <c r="C167" s="7" t="s">
        <v>518</v>
      </c>
      <c r="D167" s="85" t="s">
        <v>657</v>
      </c>
      <c r="E167" s="86" t="s">
        <v>110</v>
      </c>
      <c r="F167" s="63">
        <v>6</v>
      </c>
      <c r="G167" s="142">
        <v>8</v>
      </c>
      <c r="H167" s="63" t="s">
        <v>348</v>
      </c>
      <c r="I167" s="63">
        <v>4</v>
      </c>
      <c r="J167" s="63" t="s">
        <v>348</v>
      </c>
      <c r="K167" s="63" t="s">
        <v>16</v>
      </c>
      <c r="L167" s="63" t="s">
        <v>843</v>
      </c>
    </row>
    <row r="168" spans="1:12" ht="20.25" customHeight="1" x14ac:dyDescent="0.3">
      <c r="A168" s="90" t="s">
        <v>697</v>
      </c>
      <c r="B168" s="84"/>
      <c r="C168" s="7" t="s">
        <v>696</v>
      </c>
      <c r="D168" s="85" t="s">
        <v>762</v>
      </c>
      <c r="E168" s="86" t="s">
        <v>110</v>
      </c>
      <c r="F168" s="63">
        <v>6</v>
      </c>
      <c r="G168" s="142">
        <v>7</v>
      </c>
      <c r="H168" s="63" t="s">
        <v>349</v>
      </c>
      <c r="I168" s="63">
        <v>4</v>
      </c>
      <c r="J168" s="63" t="s">
        <v>350</v>
      </c>
      <c r="K168" s="63" t="s">
        <v>16</v>
      </c>
      <c r="L168" s="63" t="s">
        <v>848</v>
      </c>
    </row>
    <row r="169" spans="1:12" ht="20.25" customHeight="1" x14ac:dyDescent="0.3">
      <c r="A169" s="90" t="s">
        <v>701</v>
      </c>
      <c r="B169" s="84"/>
      <c r="C169" s="7" t="s">
        <v>700</v>
      </c>
      <c r="D169" s="85" t="s">
        <v>100</v>
      </c>
      <c r="E169" s="86" t="s">
        <v>110</v>
      </c>
      <c r="F169" s="63">
        <v>6</v>
      </c>
      <c r="G169" s="142">
        <v>8</v>
      </c>
      <c r="H169" s="63" t="s">
        <v>345</v>
      </c>
      <c r="I169" s="63">
        <v>4</v>
      </c>
      <c r="J169" s="63" t="s">
        <v>531</v>
      </c>
      <c r="K169" s="63" t="s">
        <v>16</v>
      </c>
      <c r="L169" s="63" t="s">
        <v>848</v>
      </c>
    </row>
    <row r="170" spans="1:12" ht="20.25" customHeight="1" x14ac:dyDescent="0.3">
      <c r="A170" s="90" t="s">
        <v>141</v>
      </c>
      <c r="B170" s="84"/>
      <c r="C170" s="7" t="s">
        <v>140</v>
      </c>
      <c r="D170" s="85" t="s">
        <v>182</v>
      </c>
      <c r="E170" s="86" t="s">
        <v>106</v>
      </c>
      <c r="F170" s="63">
        <v>6</v>
      </c>
      <c r="G170" s="142">
        <v>3</v>
      </c>
      <c r="H170" s="63" t="s">
        <v>851</v>
      </c>
      <c r="I170" s="63">
        <v>2</v>
      </c>
      <c r="J170" s="63" t="s">
        <v>346</v>
      </c>
      <c r="K170" s="63" t="s">
        <v>16</v>
      </c>
      <c r="L170" s="63" t="s">
        <v>526</v>
      </c>
    </row>
    <row r="171" spans="1:12" ht="20.25" customHeight="1" x14ac:dyDescent="0.3">
      <c r="A171" s="90" t="s">
        <v>382</v>
      </c>
      <c r="B171" s="84"/>
      <c r="C171" s="7" t="s">
        <v>381</v>
      </c>
      <c r="D171" s="85" t="s">
        <v>183</v>
      </c>
      <c r="E171" s="86" t="s">
        <v>110</v>
      </c>
      <c r="F171" s="63">
        <v>6</v>
      </c>
      <c r="G171" s="142">
        <v>6</v>
      </c>
      <c r="H171" s="63" t="s">
        <v>528</v>
      </c>
      <c r="I171" s="63">
        <v>3</v>
      </c>
      <c r="J171" s="63" t="s">
        <v>527</v>
      </c>
      <c r="K171" s="63" t="s">
        <v>16</v>
      </c>
      <c r="L171" s="63" t="s">
        <v>526</v>
      </c>
    </row>
    <row r="172" spans="1:12" ht="20.25" customHeight="1" x14ac:dyDescent="0.3">
      <c r="A172" s="90" t="s">
        <v>382</v>
      </c>
      <c r="B172" s="84"/>
      <c r="C172" s="7" t="s">
        <v>381</v>
      </c>
      <c r="D172" s="85" t="s">
        <v>183</v>
      </c>
      <c r="E172" s="86" t="s">
        <v>110</v>
      </c>
      <c r="F172" s="63">
        <v>6</v>
      </c>
      <c r="G172" s="142">
        <v>8</v>
      </c>
      <c r="H172" s="63" t="s">
        <v>868</v>
      </c>
      <c r="I172" s="63">
        <v>4</v>
      </c>
      <c r="J172" s="63" t="s">
        <v>873</v>
      </c>
      <c r="K172" s="63" t="s">
        <v>16</v>
      </c>
      <c r="L172" s="63" t="s">
        <v>362</v>
      </c>
    </row>
    <row r="173" spans="1:12" ht="20.25" customHeight="1" x14ac:dyDescent="0.3">
      <c r="A173" s="90" t="s">
        <v>699</v>
      </c>
      <c r="B173" s="84"/>
      <c r="C173" s="7" t="s">
        <v>698</v>
      </c>
      <c r="D173" s="85" t="s">
        <v>100</v>
      </c>
      <c r="E173" s="86" t="s">
        <v>110</v>
      </c>
      <c r="F173" s="63">
        <v>6</v>
      </c>
      <c r="G173" s="142">
        <v>7</v>
      </c>
      <c r="H173" s="63" t="s">
        <v>346</v>
      </c>
      <c r="I173" s="63">
        <v>4</v>
      </c>
      <c r="J173" s="63" t="s">
        <v>346</v>
      </c>
      <c r="K173" s="63" t="s">
        <v>16</v>
      </c>
      <c r="L173" s="63" t="s">
        <v>679</v>
      </c>
    </row>
    <row r="174" spans="1:12" ht="20.25" customHeight="1" x14ac:dyDescent="0.3">
      <c r="A174" s="90" t="s">
        <v>699</v>
      </c>
      <c r="B174" s="84"/>
      <c r="C174" s="7" t="s">
        <v>698</v>
      </c>
      <c r="D174" s="85" t="s">
        <v>104</v>
      </c>
      <c r="E174" s="86" t="s">
        <v>110</v>
      </c>
      <c r="F174" s="63">
        <v>6</v>
      </c>
      <c r="G174" s="142">
        <v>9</v>
      </c>
      <c r="H174" s="63" t="s">
        <v>333</v>
      </c>
      <c r="I174" s="63">
        <v>5</v>
      </c>
      <c r="J174" s="63" t="s">
        <v>333</v>
      </c>
      <c r="K174" s="63" t="s">
        <v>16</v>
      </c>
      <c r="L174" s="63">
        <v>2014</v>
      </c>
    </row>
    <row r="175" spans="1:12" ht="20.25" customHeight="1" x14ac:dyDescent="0.3">
      <c r="A175" s="90" t="s">
        <v>801</v>
      </c>
      <c r="B175" s="84"/>
      <c r="C175" s="7" t="s">
        <v>800</v>
      </c>
      <c r="D175" s="85" t="s">
        <v>183</v>
      </c>
      <c r="E175" s="86" t="s">
        <v>110</v>
      </c>
      <c r="F175" s="63">
        <v>6</v>
      </c>
      <c r="G175" s="142">
        <v>7</v>
      </c>
      <c r="H175" s="63" t="s">
        <v>527</v>
      </c>
      <c r="I175" s="63">
        <v>4</v>
      </c>
      <c r="J175" s="63" t="s">
        <v>527</v>
      </c>
      <c r="K175" s="63" t="s">
        <v>16</v>
      </c>
      <c r="L175" s="63" t="s">
        <v>526</v>
      </c>
    </row>
    <row r="176" spans="1:12" ht="20.25" customHeight="1" x14ac:dyDescent="0.3">
      <c r="A176" s="90" t="s">
        <v>451</v>
      </c>
      <c r="B176" s="84"/>
      <c r="C176" s="7" t="s">
        <v>450</v>
      </c>
      <c r="D176" s="85" t="s">
        <v>657</v>
      </c>
      <c r="E176" s="86" t="s">
        <v>110</v>
      </c>
      <c r="F176" s="63">
        <v>6</v>
      </c>
      <c r="G176" s="142">
        <v>7</v>
      </c>
      <c r="H176" s="63" t="s">
        <v>365</v>
      </c>
      <c r="I176" s="63">
        <v>4</v>
      </c>
      <c r="J176" s="63" t="s">
        <v>376</v>
      </c>
      <c r="K176" s="63" t="s">
        <v>16</v>
      </c>
      <c r="L176" s="63" t="s">
        <v>660</v>
      </c>
    </row>
    <row r="177" spans="1:12" ht="20.25" customHeight="1" x14ac:dyDescent="0.3">
      <c r="A177" s="90" t="s">
        <v>703</v>
      </c>
      <c r="B177" s="84"/>
      <c r="C177" s="7" t="s">
        <v>702</v>
      </c>
      <c r="D177" s="85" t="s">
        <v>183</v>
      </c>
      <c r="E177" s="86" t="s">
        <v>110</v>
      </c>
      <c r="F177" s="63">
        <v>12</v>
      </c>
      <c r="G177" s="142">
        <v>7</v>
      </c>
      <c r="H177" s="63" t="s">
        <v>851</v>
      </c>
      <c r="I177" s="63">
        <v>4</v>
      </c>
      <c r="J177" s="63" t="s">
        <v>531</v>
      </c>
      <c r="K177" s="63" t="s">
        <v>16</v>
      </c>
      <c r="L177" s="63" t="s">
        <v>526</v>
      </c>
    </row>
    <row r="178" spans="1:12" ht="20.25" customHeight="1" x14ac:dyDescent="0.3">
      <c r="A178" s="90" t="s">
        <v>703</v>
      </c>
      <c r="B178" s="84"/>
      <c r="C178" s="7" t="s">
        <v>702</v>
      </c>
      <c r="D178" s="85" t="s">
        <v>100</v>
      </c>
      <c r="E178" s="86" t="s">
        <v>110</v>
      </c>
      <c r="F178" s="63">
        <v>12</v>
      </c>
      <c r="G178" s="142">
        <v>9</v>
      </c>
      <c r="H178" s="63" t="s">
        <v>530</v>
      </c>
      <c r="I178" s="63">
        <v>5</v>
      </c>
      <c r="J178" s="63" t="s">
        <v>704</v>
      </c>
      <c r="K178" s="63" t="s">
        <v>16</v>
      </c>
      <c r="L178" s="63" t="s">
        <v>848</v>
      </c>
    </row>
    <row r="179" spans="1:12" ht="20.25" customHeight="1" x14ac:dyDescent="0.3">
      <c r="A179" s="90" t="s">
        <v>438</v>
      </c>
      <c r="B179" s="84"/>
      <c r="C179" s="7" t="s">
        <v>437</v>
      </c>
      <c r="D179" s="85" t="s">
        <v>183</v>
      </c>
      <c r="E179" s="86" t="s">
        <v>110</v>
      </c>
      <c r="F179" s="63">
        <v>6</v>
      </c>
      <c r="G179" s="142">
        <v>9</v>
      </c>
      <c r="H179" s="63" t="s">
        <v>868</v>
      </c>
      <c r="I179" s="63">
        <v>5</v>
      </c>
      <c r="J179" s="63" t="s">
        <v>883</v>
      </c>
      <c r="K179" s="63" t="s">
        <v>16</v>
      </c>
      <c r="L179" s="63" t="s">
        <v>362</v>
      </c>
    </row>
    <row r="180" spans="1:12" ht="20.25" customHeight="1" x14ac:dyDescent="0.3">
      <c r="A180" s="90" t="s">
        <v>255</v>
      </c>
      <c r="B180" s="84"/>
      <c r="C180" s="7" t="s">
        <v>254</v>
      </c>
      <c r="D180" s="85" t="s">
        <v>21</v>
      </c>
      <c r="E180" s="86" t="s">
        <v>110</v>
      </c>
      <c r="F180" s="63">
        <v>6</v>
      </c>
      <c r="G180" s="142">
        <v>8</v>
      </c>
      <c r="H180" s="63" t="s">
        <v>370</v>
      </c>
      <c r="I180" s="63">
        <v>4</v>
      </c>
      <c r="J180" s="63" t="s">
        <v>375</v>
      </c>
      <c r="K180" s="63" t="s">
        <v>16</v>
      </c>
      <c r="L180" s="63" t="s">
        <v>362</v>
      </c>
    </row>
    <row r="181" spans="1:12" ht="20.25" customHeight="1" x14ac:dyDescent="0.3">
      <c r="A181" s="90" t="s">
        <v>724</v>
      </c>
      <c r="B181" s="84"/>
      <c r="C181" s="7" t="s">
        <v>723</v>
      </c>
      <c r="D181" s="85" t="s">
        <v>27</v>
      </c>
      <c r="E181" s="86" t="s">
        <v>110</v>
      </c>
      <c r="F181" s="63">
        <v>6</v>
      </c>
      <c r="G181" s="142">
        <v>7</v>
      </c>
      <c r="H181" s="63" t="s">
        <v>345</v>
      </c>
      <c r="I181" s="63">
        <v>4</v>
      </c>
      <c r="J181" s="63" t="s">
        <v>346</v>
      </c>
      <c r="K181" s="63" t="s">
        <v>16</v>
      </c>
      <c r="L181" s="63" t="s">
        <v>848</v>
      </c>
    </row>
    <row r="182" spans="1:12" ht="20.25" customHeight="1" x14ac:dyDescent="0.3">
      <c r="A182" s="90" t="s">
        <v>724</v>
      </c>
      <c r="B182" s="84"/>
      <c r="C182" s="7" t="s">
        <v>723</v>
      </c>
      <c r="D182" s="85" t="s">
        <v>183</v>
      </c>
      <c r="E182" s="86" t="s">
        <v>110</v>
      </c>
      <c r="F182" s="63">
        <v>6</v>
      </c>
      <c r="G182" s="142">
        <v>9</v>
      </c>
      <c r="H182" s="63" t="s">
        <v>534</v>
      </c>
      <c r="I182" s="63">
        <v>5</v>
      </c>
      <c r="J182" s="63" t="s">
        <v>533</v>
      </c>
      <c r="K182" s="63" t="s">
        <v>16</v>
      </c>
      <c r="L182" s="63" t="s">
        <v>347</v>
      </c>
    </row>
    <row r="183" spans="1:12" ht="20.25" customHeight="1" x14ac:dyDescent="0.3">
      <c r="A183" s="90" t="s">
        <v>761</v>
      </c>
      <c r="B183" s="84"/>
      <c r="C183" s="7" t="s">
        <v>760</v>
      </c>
      <c r="D183" s="85" t="s">
        <v>103</v>
      </c>
      <c r="E183" s="86" t="s">
        <v>110</v>
      </c>
      <c r="F183" s="63">
        <v>12</v>
      </c>
      <c r="G183" s="142">
        <v>9</v>
      </c>
      <c r="H183" s="63" t="s">
        <v>340</v>
      </c>
      <c r="I183" s="63">
        <v>5</v>
      </c>
      <c r="J183" s="63" t="s">
        <v>449</v>
      </c>
      <c r="K183" s="63" t="s">
        <v>16</v>
      </c>
      <c r="L183" s="63" t="s">
        <v>361</v>
      </c>
    </row>
    <row r="184" spans="1:12" ht="20.25" customHeight="1" x14ac:dyDescent="0.3">
      <c r="A184" s="90" t="s">
        <v>759</v>
      </c>
      <c r="B184" s="84"/>
      <c r="C184" s="7" t="s">
        <v>758</v>
      </c>
      <c r="D184" s="85" t="s">
        <v>766</v>
      </c>
      <c r="E184" s="86" t="s">
        <v>110</v>
      </c>
      <c r="F184" s="63">
        <v>6</v>
      </c>
      <c r="G184" s="142">
        <v>7</v>
      </c>
      <c r="H184" s="63" t="s">
        <v>345</v>
      </c>
      <c r="I184" s="63">
        <v>4</v>
      </c>
      <c r="J184" s="63" t="s">
        <v>346</v>
      </c>
      <c r="K184" s="63" t="s">
        <v>16</v>
      </c>
      <c r="L184" s="63" t="s">
        <v>361</v>
      </c>
    </row>
    <row r="185" spans="1:12" ht="20.25" customHeight="1" x14ac:dyDescent="0.3">
      <c r="A185" s="90" t="s">
        <v>757</v>
      </c>
      <c r="B185" s="84"/>
      <c r="C185" s="7" t="s">
        <v>756</v>
      </c>
      <c r="D185" s="85" t="s">
        <v>103</v>
      </c>
      <c r="E185" s="86" t="s">
        <v>110</v>
      </c>
      <c r="F185" s="63">
        <v>6</v>
      </c>
      <c r="G185" s="142">
        <v>8</v>
      </c>
      <c r="H185" s="63" t="s">
        <v>530</v>
      </c>
      <c r="I185" s="63">
        <v>4</v>
      </c>
      <c r="J185" s="63" t="s">
        <v>656</v>
      </c>
      <c r="K185" s="63" t="s">
        <v>16</v>
      </c>
      <c r="L185" s="63" t="s">
        <v>848</v>
      </c>
    </row>
    <row r="186" spans="1:12" ht="20.25" customHeight="1" x14ac:dyDescent="0.3">
      <c r="A186" s="90" t="s">
        <v>734</v>
      </c>
      <c r="B186" s="84"/>
      <c r="C186" s="7" t="s">
        <v>733</v>
      </c>
      <c r="D186" s="85" t="s">
        <v>104</v>
      </c>
      <c r="E186" s="86" t="s">
        <v>110</v>
      </c>
      <c r="F186" s="63">
        <v>6</v>
      </c>
      <c r="G186" s="142">
        <v>7</v>
      </c>
      <c r="H186" s="63" t="s">
        <v>333</v>
      </c>
      <c r="I186" s="63">
        <v>4</v>
      </c>
      <c r="J186" s="63" t="s">
        <v>200</v>
      </c>
      <c r="K186" s="63" t="s">
        <v>16</v>
      </c>
      <c r="L186" s="63">
        <v>2014</v>
      </c>
    </row>
    <row r="187" spans="1:12" ht="20.25" customHeight="1" x14ac:dyDescent="0.3">
      <c r="A187" s="90" t="s">
        <v>813</v>
      </c>
      <c r="B187" s="84"/>
      <c r="C187" s="7" t="s">
        <v>812</v>
      </c>
      <c r="D187" s="85" t="s">
        <v>183</v>
      </c>
      <c r="E187" s="86" t="s">
        <v>110</v>
      </c>
      <c r="F187" s="63">
        <v>6</v>
      </c>
      <c r="G187" s="142">
        <v>8</v>
      </c>
      <c r="H187" s="63" t="s">
        <v>199</v>
      </c>
      <c r="I187" s="63">
        <v>4</v>
      </c>
      <c r="J187" s="63" t="s">
        <v>200</v>
      </c>
      <c r="K187" s="63" t="s">
        <v>16</v>
      </c>
      <c r="L187" s="63">
        <v>2009</v>
      </c>
    </row>
    <row r="188" spans="1:12" ht="20.25" customHeight="1" x14ac:dyDescent="0.3">
      <c r="A188" s="90" t="s">
        <v>525</v>
      </c>
      <c r="B188" s="84"/>
      <c r="C188" s="7" t="s">
        <v>524</v>
      </c>
      <c r="D188" s="85" t="s">
        <v>657</v>
      </c>
      <c r="E188" s="86" t="s">
        <v>110</v>
      </c>
      <c r="F188" s="63">
        <v>6</v>
      </c>
      <c r="G188" s="142">
        <v>9</v>
      </c>
      <c r="H188" s="63" t="s">
        <v>651</v>
      </c>
      <c r="I188" s="63">
        <v>5</v>
      </c>
      <c r="J188" s="63" t="s">
        <v>652</v>
      </c>
      <c r="K188" s="63" t="s">
        <v>16</v>
      </c>
      <c r="L188" s="63" t="s">
        <v>661</v>
      </c>
    </row>
    <row r="189" spans="1:12" ht="20.25" customHeight="1" x14ac:dyDescent="0.3">
      <c r="A189" s="90" t="s">
        <v>442</v>
      </c>
      <c r="B189" s="84"/>
      <c r="C189" s="7" t="s">
        <v>441</v>
      </c>
      <c r="D189" s="85" t="s">
        <v>183</v>
      </c>
      <c r="E189" s="86" t="s">
        <v>110</v>
      </c>
      <c r="F189" s="63">
        <v>6</v>
      </c>
      <c r="G189" s="142">
        <v>8</v>
      </c>
      <c r="H189" s="63" t="s">
        <v>873</v>
      </c>
      <c r="I189" s="63">
        <v>4</v>
      </c>
      <c r="J189" s="63" t="s">
        <v>868</v>
      </c>
      <c r="K189" s="63" t="s">
        <v>16</v>
      </c>
      <c r="L189" s="63" t="s">
        <v>362</v>
      </c>
    </row>
    <row r="190" spans="1:12" ht="20.25" customHeight="1" x14ac:dyDescent="0.3">
      <c r="A190" s="90" t="s">
        <v>286</v>
      </c>
      <c r="B190" s="84"/>
      <c r="C190" s="7" t="s">
        <v>285</v>
      </c>
      <c r="D190" s="85" t="s">
        <v>183</v>
      </c>
      <c r="E190" s="86" t="s">
        <v>105</v>
      </c>
      <c r="F190" s="63">
        <v>4</v>
      </c>
      <c r="G190" s="142">
        <v>3</v>
      </c>
      <c r="H190" s="63" t="s">
        <v>873</v>
      </c>
      <c r="I190" s="63">
        <v>2</v>
      </c>
      <c r="J190" s="63" t="s">
        <v>874</v>
      </c>
      <c r="K190" s="63" t="s">
        <v>16</v>
      </c>
      <c r="L190" s="63" t="s">
        <v>362</v>
      </c>
    </row>
    <row r="191" spans="1:12" ht="20.25" customHeight="1" x14ac:dyDescent="0.3">
      <c r="A191" s="90" t="s">
        <v>514</v>
      </c>
      <c r="B191" s="84"/>
      <c r="C191" s="7" t="s">
        <v>513</v>
      </c>
      <c r="D191" s="85" t="s">
        <v>657</v>
      </c>
      <c r="E191" s="86" t="s">
        <v>110</v>
      </c>
      <c r="F191" s="63">
        <v>6</v>
      </c>
      <c r="G191" s="142">
        <v>9</v>
      </c>
      <c r="H191" s="63" t="s">
        <v>354</v>
      </c>
      <c r="I191" s="63">
        <v>5</v>
      </c>
      <c r="J191" s="63" t="s">
        <v>353</v>
      </c>
      <c r="K191" s="63" t="s">
        <v>16</v>
      </c>
      <c r="L191" s="63" t="s">
        <v>662</v>
      </c>
    </row>
    <row r="192" spans="1:12" ht="20.25" customHeight="1" x14ac:dyDescent="0.3">
      <c r="A192" s="90" t="s">
        <v>204</v>
      </c>
      <c r="B192" s="84"/>
      <c r="C192" s="7" t="s">
        <v>203</v>
      </c>
      <c r="D192" s="85" t="s">
        <v>183</v>
      </c>
      <c r="E192" s="86" t="s">
        <v>110</v>
      </c>
      <c r="F192" s="63">
        <v>6</v>
      </c>
      <c r="G192" s="142">
        <v>6</v>
      </c>
      <c r="H192" s="63">
        <v>2</v>
      </c>
      <c r="I192" s="63">
        <v>3</v>
      </c>
      <c r="J192" s="63">
        <v>4</v>
      </c>
      <c r="K192" s="63" t="s">
        <v>16</v>
      </c>
      <c r="L192" s="63">
        <v>2013</v>
      </c>
    </row>
    <row r="193" spans="1:12" ht="20.25" customHeight="1" x14ac:dyDescent="0.3">
      <c r="A193" s="90" t="s">
        <v>204</v>
      </c>
      <c r="B193" s="84"/>
      <c r="C193" s="7" t="s">
        <v>203</v>
      </c>
      <c r="D193" s="85" t="s">
        <v>762</v>
      </c>
      <c r="E193" s="86" t="s">
        <v>110</v>
      </c>
      <c r="F193" s="63">
        <v>6</v>
      </c>
      <c r="G193" s="142">
        <v>8</v>
      </c>
      <c r="H193" s="63" t="s">
        <v>349</v>
      </c>
      <c r="I193" s="63">
        <v>4</v>
      </c>
      <c r="J193" s="63" t="s">
        <v>350</v>
      </c>
      <c r="K193" s="63" t="s">
        <v>16</v>
      </c>
      <c r="L193" s="63" t="s">
        <v>848</v>
      </c>
    </row>
    <row r="194" spans="1:12" ht="20.25" customHeight="1" x14ac:dyDescent="0.3">
      <c r="A194" s="90" t="s">
        <v>799</v>
      </c>
      <c r="B194" s="84"/>
      <c r="C194" s="7" t="s">
        <v>798</v>
      </c>
      <c r="D194" s="85" t="s">
        <v>183</v>
      </c>
      <c r="E194" s="86" t="s">
        <v>110</v>
      </c>
      <c r="F194" s="63">
        <v>6</v>
      </c>
      <c r="G194" s="142">
        <v>7</v>
      </c>
      <c r="H194" s="63">
        <v>2</v>
      </c>
      <c r="I194" s="63">
        <v>4</v>
      </c>
      <c r="J194" s="63">
        <v>4</v>
      </c>
      <c r="K194" s="63" t="s">
        <v>16</v>
      </c>
      <c r="L194" s="63">
        <v>2009</v>
      </c>
    </row>
    <row r="195" spans="1:12" ht="20.25" customHeight="1" x14ac:dyDescent="0.3">
      <c r="A195" s="90" t="s">
        <v>799</v>
      </c>
      <c r="B195" s="84"/>
      <c r="C195" s="7" t="s">
        <v>798</v>
      </c>
      <c r="D195" s="85" t="s">
        <v>183</v>
      </c>
      <c r="E195" s="86" t="s">
        <v>110</v>
      </c>
      <c r="F195" s="63">
        <v>6</v>
      </c>
      <c r="G195" s="142">
        <v>9</v>
      </c>
      <c r="H195" s="63">
        <v>2</v>
      </c>
      <c r="I195" s="63">
        <v>5</v>
      </c>
      <c r="J195" s="63">
        <v>4</v>
      </c>
      <c r="K195" s="63" t="s">
        <v>16</v>
      </c>
      <c r="L195" s="63">
        <v>2009</v>
      </c>
    </row>
    <row r="196" spans="1:12" ht="20.25" customHeight="1" x14ac:dyDescent="0.3">
      <c r="A196" s="90" t="s">
        <v>640</v>
      </c>
      <c r="B196" s="84"/>
      <c r="C196" s="7" t="s">
        <v>639</v>
      </c>
      <c r="D196" s="85" t="s">
        <v>32</v>
      </c>
      <c r="E196" s="86" t="s">
        <v>106</v>
      </c>
      <c r="F196" s="63">
        <v>6</v>
      </c>
      <c r="G196" s="142">
        <v>8</v>
      </c>
      <c r="H196" s="63" t="s">
        <v>332</v>
      </c>
      <c r="I196" s="63">
        <v>4</v>
      </c>
      <c r="J196" s="63" t="s">
        <v>200</v>
      </c>
      <c r="K196" s="63" t="s">
        <v>16</v>
      </c>
      <c r="L196" s="63">
        <v>2014</v>
      </c>
    </row>
    <row r="197" spans="1:12" ht="20.25" customHeight="1" x14ac:dyDescent="0.3">
      <c r="A197" s="90" t="s">
        <v>282</v>
      </c>
      <c r="B197" s="84"/>
      <c r="C197" s="7" t="s">
        <v>281</v>
      </c>
      <c r="D197" s="85" t="s">
        <v>184</v>
      </c>
      <c r="E197" s="86" t="s">
        <v>105</v>
      </c>
      <c r="F197" s="63">
        <v>2</v>
      </c>
      <c r="G197" s="142">
        <v>2</v>
      </c>
      <c r="H197" s="63" t="s">
        <v>876</v>
      </c>
      <c r="I197" s="63">
        <v>1</v>
      </c>
      <c r="J197" s="63" t="s">
        <v>887</v>
      </c>
      <c r="K197" s="63" t="s">
        <v>16</v>
      </c>
      <c r="L197" s="63" t="s">
        <v>362</v>
      </c>
    </row>
    <row r="198" spans="1:12" ht="20.25" customHeight="1" x14ac:dyDescent="0.3">
      <c r="A198" s="90" t="s">
        <v>636</v>
      </c>
      <c r="B198" s="84"/>
      <c r="C198" s="7" t="s">
        <v>635</v>
      </c>
      <c r="D198" s="85" t="s">
        <v>32</v>
      </c>
      <c r="E198" s="86" t="s">
        <v>106</v>
      </c>
      <c r="F198" s="63">
        <v>16</v>
      </c>
      <c r="G198" s="142">
        <v>6</v>
      </c>
      <c r="H198" s="63" t="s">
        <v>335</v>
      </c>
      <c r="I198" s="63">
        <v>3</v>
      </c>
      <c r="J198" s="63" t="s">
        <v>644</v>
      </c>
      <c r="K198" s="63" t="s">
        <v>16</v>
      </c>
      <c r="L198" s="63">
        <v>2014</v>
      </c>
    </row>
    <row r="199" spans="1:12" ht="20.25" customHeight="1" x14ac:dyDescent="0.3">
      <c r="A199" s="90" t="s">
        <v>577</v>
      </c>
      <c r="B199" s="84"/>
      <c r="C199" s="7" t="s">
        <v>576</v>
      </c>
      <c r="D199" s="85" t="s">
        <v>31</v>
      </c>
      <c r="E199" s="86" t="s">
        <v>106</v>
      </c>
      <c r="F199" s="63">
        <v>18</v>
      </c>
      <c r="G199" s="142">
        <v>6</v>
      </c>
      <c r="H199" s="63" t="s">
        <v>335</v>
      </c>
      <c r="I199" s="63">
        <v>3</v>
      </c>
      <c r="J199" s="63" t="s">
        <v>334</v>
      </c>
      <c r="K199" s="63" t="s">
        <v>16</v>
      </c>
      <c r="L199" s="63">
        <v>2014</v>
      </c>
    </row>
    <row r="200" spans="1:12" ht="20.25" customHeight="1" x14ac:dyDescent="0.3">
      <c r="A200" s="90" t="s">
        <v>548</v>
      </c>
      <c r="B200" s="84"/>
      <c r="C200" s="7" t="s">
        <v>547</v>
      </c>
      <c r="D200" s="85" t="s">
        <v>29</v>
      </c>
      <c r="E200" s="86" t="s">
        <v>106</v>
      </c>
      <c r="F200" s="63">
        <v>18</v>
      </c>
      <c r="G200" s="142">
        <v>6</v>
      </c>
      <c r="H200" s="63" t="s">
        <v>335</v>
      </c>
      <c r="I200" s="63">
        <v>3</v>
      </c>
      <c r="J200" s="63" t="s">
        <v>334</v>
      </c>
      <c r="K200" s="63" t="s">
        <v>16</v>
      </c>
      <c r="L200" s="63">
        <v>2014</v>
      </c>
    </row>
    <row r="201" spans="1:12" ht="20.25" customHeight="1" x14ac:dyDescent="0.3">
      <c r="A201" s="90" t="s">
        <v>581</v>
      </c>
      <c r="B201" s="84"/>
      <c r="C201" s="7" t="s">
        <v>580</v>
      </c>
      <c r="D201" s="85" t="s">
        <v>32</v>
      </c>
      <c r="E201" s="86" t="s">
        <v>105</v>
      </c>
      <c r="F201" s="63">
        <v>6</v>
      </c>
      <c r="G201" s="142">
        <v>5</v>
      </c>
      <c r="H201" s="63" t="s">
        <v>280</v>
      </c>
      <c r="I201" s="63">
        <v>3</v>
      </c>
      <c r="J201" s="63" t="s">
        <v>344</v>
      </c>
      <c r="K201" s="63" t="s">
        <v>16</v>
      </c>
      <c r="L201" s="63" t="s">
        <v>338</v>
      </c>
    </row>
    <row r="202" spans="1:12" ht="20.25" customHeight="1" x14ac:dyDescent="0.3">
      <c r="A202" s="90" t="s">
        <v>299</v>
      </c>
      <c r="B202" s="84"/>
      <c r="C202" s="7" t="s">
        <v>298</v>
      </c>
      <c r="D202" s="85" t="s">
        <v>183</v>
      </c>
      <c r="E202" s="86" t="s">
        <v>105</v>
      </c>
      <c r="F202" s="63">
        <v>6</v>
      </c>
      <c r="G202" s="142">
        <v>5</v>
      </c>
      <c r="H202" s="63" t="s">
        <v>851</v>
      </c>
      <c r="I202" s="63">
        <v>3</v>
      </c>
      <c r="J202" s="63" t="s">
        <v>905</v>
      </c>
      <c r="K202" s="63" t="s">
        <v>16</v>
      </c>
      <c r="L202" s="63" t="s">
        <v>356</v>
      </c>
    </row>
    <row r="203" spans="1:12" ht="20.25" customHeight="1" x14ac:dyDescent="0.3">
      <c r="A203" s="90" t="s">
        <v>301</v>
      </c>
      <c r="B203" s="84"/>
      <c r="C203" s="7" t="s">
        <v>300</v>
      </c>
      <c r="D203" s="85" t="s">
        <v>183</v>
      </c>
      <c r="E203" s="86" t="s">
        <v>105</v>
      </c>
      <c r="F203" s="63">
        <v>6</v>
      </c>
      <c r="G203" s="142">
        <v>5</v>
      </c>
      <c r="H203" s="63" t="s">
        <v>842</v>
      </c>
      <c r="I203" s="63">
        <v>3</v>
      </c>
      <c r="J203" s="63" t="s">
        <v>904</v>
      </c>
      <c r="K203" s="63" t="s">
        <v>16</v>
      </c>
      <c r="L203" s="63" t="s">
        <v>546</v>
      </c>
    </row>
    <row r="204" spans="1:12" ht="20.25" customHeight="1" x14ac:dyDescent="0.3">
      <c r="A204" s="90" t="s">
        <v>740</v>
      </c>
      <c r="B204" s="84"/>
      <c r="C204" s="7" t="s">
        <v>739</v>
      </c>
      <c r="D204" s="85" t="s">
        <v>767</v>
      </c>
      <c r="E204" s="86" t="s">
        <v>110</v>
      </c>
      <c r="F204" s="63">
        <v>6</v>
      </c>
      <c r="G204" s="142">
        <v>7</v>
      </c>
      <c r="H204" s="63" t="s">
        <v>348</v>
      </c>
      <c r="I204" s="63">
        <v>4</v>
      </c>
      <c r="J204" s="63" t="s">
        <v>349</v>
      </c>
      <c r="K204" s="63" t="s">
        <v>16</v>
      </c>
      <c r="L204" s="63" t="s">
        <v>848</v>
      </c>
    </row>
    <row r="205" spans="1:12" ht="20.25" customHeight="1" x14ac:dyDescent="0.3">
      <c r="A205" s="90" t="s">
        <v>303</v>
      </c>
      <c r="B205" s="84"/>
      <c r="C205" s="7" t="s">
        <v>302</v>
      </c>
      <c r="D205" s="85" t="s">
        <v>183</v>
      </c>
      <c r="E205" s="86" t="s">
        <v>105</v>
      </c>
      <c r="F205" s="63">
        <v>6</v>
      </c>
      <c r="G205" s="142">
        <v>5</v>
      </c>
      <c r="H205" s="63" t="s">
        <v>864</v>
      </c>
      <c r="I205" s="63">
        <v>3</v>
      </c>
      <c r="J205" s="63" t="s">
        <v>909</v>
      </c>
      <c r="K205" s="63" t="s">
        <v>16</v>
      </c>
      <c r="L205" s="63" t="s">
        <v>352</v>
      </c>
    </row>
    <row r="206" spans="1:12" ht="20.25" customHeight="1" x14ac:dyDescent="0.3">
      <c r="A206" s="90" t="s">
        <v>253</v>
      </c>
      <c r="B206" s="84"/>
      <c r="C206" s="7" t="s">
        <v>329</v>
      </c>
      <c r="D206" s="85" t="s">
        <v>21</v>
      </c>
      <c r="E206" s="86" t="s">
        <v>110</v>
      </c>
      <c r="F206" s="63">
        <v>6</v>
      </c>
      <c r="G206" s="142">
        <v>7</v>
      </c>
      <c r="H206" s="63" t="s">
        <v>339</v>
      </c>
      <c r="I206" s="63">
        <v>4</v>
      </c>
      <c r="J206" s="63" t="s">
        <v>344</v>
      </c>
      <c r="K206" s="63" t="s">
        <v>16</v>
      </c>
      <c r="L206" s="63" t="s">
        <v>338</v>
      </c>
    </row>
    <row r="207" spans="1:12" ht="20.25" customHeight="1" x14ac:dyDescent="0.3">
      <c r="A207" s="90" t="s">
        <v>253</v>
      </c>
      <c r="B207" s="84"/>
      <c r="C207" s="7" t="s">
        <v>252</v>
      </c>
      <c r="D207" s="85" t="s">
        <v>21</v>
      </c>
      <c r="E207" s="86" t="s">
        <v>106</v>
      </c>
      <c r="F207" s="63">
        <v>4</v>
      </c>
      <c r="G207" s="142">
        <v>7</v>
      </c>
      <c r="H207" s="63" t="s">
        <v>349</v>
      </c>
      <c r="I207" s="63">
        <v>4</v>
      </c>
      <c r="J207" s="63" t="s">
        <v>351</v>
      </c>
      <c r="K207" s="63" t="s">
        <v>16</v>
      </c>
      <c r="L207" s="63" t="s">
        <v>369</v>
      </c>
    </row>
    <row r="208" spans="1:12" ht="20.25" customHeight="1" x14ac:dyDescent="0.3">
      <c r="A208" s="90" t="s">
        <v>797</v>
      </c>
      <c r="B208" s="84"/>
      <c r="C208" s="7" t="s">
        <v>796</v>
      </c>
      <c r="D208" s="85" t="s">
        <v>183</v>
      </c>
      <c r="E208" s="86" t="s">
        <v>106</v>
      </c>
      <c r="F208" s="63">
        <v>8</v>
      </c>
      <c r="G208" s="142">
        <v>7</v>
      </c>
      <c r="H208" s="63" t="s">
        <v>443</v>
      </c>
      <c r="I208" s="63">
        <v>4</v>
      </c>
      <c r="J208" s="63" t="s">
        <v>444</v>
      </c>
      <c r="K208" s="63" t="s">
        <v>16</v>
      </c>
      <c r="L208" s="63" t="s">
        <v>338</v>
      </c>
    </row>
    <row r="209" spans="1:12" ht="20.25" customHeight="1" x14ac:dyDescent="0.3">
      <c r="A209" s="90" t="s">
        <v>797</v>
      </c>
      <c r="B209" s="84"/>
      <c r="C209" s="7" t="s">
        <v>844</v>
      </c>
      <c r="D209" s="85" t="s">
        <v>183</v>
      </c>
      <c r="E209" s="86" t="s">
        <v>106</v>
      </c>
      <c r="F209" s="63">
        <v>6</v>
      </c>
      <c r="G209" s="142">
        <v>7</v>
      </c>
      <c r="H209" s="63" t="s">
        <v>533</v>
      </c>
      <c r="I209" s="63">
        <v>4</v>
      </c>
      <c r="J209" s="63" t="s">
        <v>534</v>
      </c>
      <c r="K209" s="63" t="s">
        <v>16</v>
      </c>
      <c r="L209" s="63" t="s">
        <v>369</v>
      </c>
    </row>
    <row r="210" spans="1:12" ht="20.25" customHeight="1" x14ac:dyDescent="0.3">
      <c r="A210" s="90" t="s">
        <v>247</v>
      </c>
      <c r="B210" s="84"/>
      <c r="C210" s="7" t="s">
        <v>246</v>
      </c>
      <c r="D210" s="85" t="s">
        <v>21</v>
      </c>
      <c r="E210" s="86" t="s">
        <v>110</v>
      </c>
      <c r="F210" s="63">
        <v>6</v>
      </c>
      <c r="G210" s="142">
        <v>7</v>
      </c>
      <c r="H210" s="63" t="s">
        <v>365</v>
      </c>
      <c r="I210" s="63">
        <v>4</v>
      </c>
      <c r="J210" s="63" t="s">
        <v>365</v>
      </c>
      <c r="K210" s="63" t="s">
        <v>16</v>
      </c>
      <c r="L210" s="63" t="s">
        <v>362</v>
      </c>
    </row>
    <row r="211" spans="1:12" ht="20.25" customHeight="1" x14ac:dyDescent="0.3">
      <c r="A211" s="90" t="s">
        <v>230</v>
      </c>
      <c r="B211" s="84"/>
      <c r="C211" s="7" t="s">
        <v>229</v>
      </c>
      <c r="D211" s="85" t="s">
        <v>29</v>
      </c>
      <c r="E211" s="86" t="s">
        <v>106</v>
      </c>
      <c r="F211" s="63">
        <v>6</v>
      </c>
      <c r="G211" s="142">
        <v>5</v>
      </c>
      <c r="H211" s="63" t="s">
        <v>333</v>
      </c>
      <c r="I211" s="63">
        <v>3</v>
      </c>
      <c r="J211" s="63" t="s">
        <v>222</v>
      </c>
      <c r="K211" s="63" t="s">
        <v>16</v>
      </c>
      <c r="L211" s="63">
        <v>2014</v>
      </c>
    </row>
    <row r="212" spans="1:12" ht="20.25" customHeight="1" x14ac:dyDescent="0.3">
      <c r="A212" s="90" t="s">
        <v>230</v>
      </c>
      <c r="B212" s="84"/>
      <c r="C212" s="7" t="s">
        <v>229</v>
      </c>
      <c r="D212" s="85" t="s">
        <v>29</v>
      </c>
      <c r="E212" s="86" t="s">
        <v>106</v>
      </c>
      <c r="F212" s="63">
        <v>6</v>
      </c>
      <c r="G212" s="142">
        <v>6</v>
      </c>
      <c r="H212" s="63" t="s">
        <v>354</v>
      </c>
      <c r="I212" s="63">
        <v>3</v>
      </c>
      <c r="J212" s="63" t="s">
        <v>359</v>
      </c>
      <c r="K212" s="63" t="s">
        <v>16</v>
      </c>
      <c r="L212" s="63" t="s">
        <v>352</v>
      </c>
    </row>
    <row r="213" spans="1:12" ht="20.25" customHeight="1" x14ac:dyDescent="0.3">
      <c r="A213" s="90" t="s">
        <v>230</v>
      </c>
      <c r="B213" s="84"/>
      <c r="C213" s="7" t="s">
        <v>229</v>
      </c>
      <c r="D213" s="85" t="s">
        <v>29</v>
      </c>
      <c r="E213" s="86" t="s">
        <v>106</v>
      </c>
      <c r="F213" s="63">
        <v>6</v>
      </c>
      <c r="G213" s="142">
        <v>7</v>
      </c>
      <c r="H213" s="63" t="s">
        <v>333</v>
      </c>
      <c r="I213" s="63">
        <v>4</v>
      </c>
      <c r="J213" s="63" t="s">
        <v>222</v>
      </c>
      <c r="K213" s="63" t="s">
        <v>16</v>
      </c>
      <c r="L213" s="63">
        <v>2014</v>
      </c>
    </row>
    <row r="214" spans="1:12" ht="20.25" customHeight="1" x14ac:dyDescent="0.3">
      <c r="A214" s="90" t="s">
        <v>464</v>
      </c>
      <c r="B214" s="84"/>
      <c r="C214" s="7" t="s">
        <v>463</v>
      </c>
      <c r="D214" s="85" t="s">
        <v>29</v>
      </c>
      <c r="E214" s="86" t="s">
        <v>110</v>
      </c>
      <c r="F214" s="63">
        <v>6</v>
      </c>
      <c r="G214" s="142">
        <v>7</v>
      </c>
      <c r="H214" s="63" t="s">
        <v>571</v>
      </c>
      <c r="I214" s="63">
        <v>4</v>
      </c>
      <c r="J214" s="63" t="s">
        <v>572</v>
      </c>
      <c r="K214" s="63" t="s">
        <v>16</v>
      </c>
      <c r="L214" s="63" t="s">
        <v>362</v>
      </c>
    </row>
    <row r="215" spans="1:12" ht="20.25" customHeight="1" x14ac:dyDescent="0.3">
      <c r="A215" s="90" t="s">
        <v>560</v>
      </c>
      <c r="B215" s="84"/>
      <c r="C215" s="7" t="s">
        <v>559</v>
      </c>
      <c r="D215" s="85" t="s">
        <v>29</v>
      </c>
      <c r="E215" s="86" t="s">
        <v>110</v>
      </c>
      <c r="F215" s="63">
        <v>6</v>
      </c>
      <c r="G215" s="142">
        <v>9</v>
      </c>
      <c r="H215" s="63" t="s">
        <v>332</v>
      </c>
      <c r="I215" s="63">
        <v>5</v>
      </c>
      <c r="J215" s="63" t="s">
        <v>200</v>
      </c>
      <c r="K215" s="63" t="s">
        <v>16</v>
      </c>
      <c r="L215" s="63">
        <v>2014</v>
      </c>
    </row>
    <row r="216" spans="1:12" ht="20.25" customHeight="1" x14ac:dyDescent="0.3">
      <c r="A216" s="90" t="s">
        <v>468</v>
      </c>
      <c r="B216" s="84"/>
      <c r="C216" s="7" t="s">
        <v>467</v>
      </c>
      <c r="D216" s="85" t="s">
        <v>29</v>
      </c>
      <c r="E216" s="86" t="s">
        <v>110</v>
      </c>
      <c r="F216" s="63">
        <v>6</v>
      </c>
      <c r="G216" s="142">
        <v>7</v>
      </c>
      <c r="H216" s="63" t="s">
        <v>366</v>
      </c>
      <c r="I216" s="63">
        <v>4</v>
      </c>
      <c r="J216" s="63" t="s">
        <v>376</v>
      </c>
      <c r="K216" s="63" t="s">
        <v>16</v>
      </c>
      <c r="L216" s="63" t="s">
        <v>362</v>
      </c>
    </row>
    <row r="217" spans="1:12" ht="20.25" customHeight="1" x14ac:dyDescent="0.3">
      <c r="A217" s="90" t="s">
        <v>476</v>
      </c>
      <c r="B217" s="84"/>
      <c r="C217" s="7" t="s">
        <v>475</v>
      </c>
      <c r="D217" s="85" t="s">
        <v>29</v>
      </c>
      <c r="E217" s="86" t="s">
        <v>110</v>
      </c>
      <c r="F217" s="63">
        <v>6</v>
      </c>
      <c r="G217" s="142">
        <v>8</v>
      </c>
      <c r="H217" s="63" t="s">
        <v>365</v>
      </c>
      <c r="I217" s="63">
        <v>4</v>
      </c>
      <c r="J217" s="63" t="s">
        <v>376</v>
      </c>
      <c r="K217" s="63" t="s">
        <v>16</v>
      </c>
      <c r="L217" s="63" t="s">
        <v>362</v>
      </c>
    </row>
    <row r="218" spans="1:12" ht="20.25" customHeight="1" x14ac:dyDescent="0.3">
      <c r="A218" s="90" t="s">
        <v>494</v>
      </c>
      <c r="B218" s="84"/>
      <c r="C218" s="7" t="s">
        <v>493</v>
      </c>
      <c r="D218" s="85" t="s">
        <v>29</v>
      </c>
      <c r="E218" s="86" t="s">
        <v>110</v>
      </c>
      <c r="F218" s="63">
        <v>6</v>
      </c>
      <c r="G218" s="142">
        <v>7</v>
      </c>
      <c r="H218" s="63" t="s">
        <v>333</v>
      </c>
      <c r="I218" s="63">
        <v>4</v>
      </c>
      <c r="J218" s="63" t="s">
        <v>332</v>
      </c>
      <c r="K218" s="63" t="s">
        <v>16</v>
      </c>
      <c r="L218" s="63">
        <v>2013</v>
      </c>
    </row>
    <row r="219" spans="1:12" ht="20.25" customHeight="1" x14ac:dyDescent="0.3">
      <c r="A219" s="90" t="s">
        <v>494</v>
      </c>
      <c r="B219" s="84"/>
      <c r="C219" s="7" t="s">
        <v>493</v>
      </c>
      <c r="D219" s="85" t="s">
        <v>29</v>
      </c>
      <c r="E219" s="86" t="s">
        <v>110</v>
      </c>
      <c r="F219" s="63">
        <v>6</v>
      </c>
      <c r="G219" s="142">
        <v>8</v>
      </c>
      <c r="H219" s="63" t="s">
        <v>349</v>
      </c>
      <c r="I219" s="63">
        <v>4</v>
      </c>
      <c r="J219" s="63" t="s">
        <v>348</v>
      </c>
      <c r="K219" s="63" t="s">
        <v>16</v>
      </c>
      <c r="L219" s="63" t="s">
        <v>347</v>
      </c>
    </row>
    <row r="220" spans="1:12" ht="20.25" customHeight="1" x14ac:dyDescent="0.3">
      <c r="A220" s="90" t="s">
        <v>331</v>
      </c>
      <c r="B220" s="84"/>
      <c r="C220" s="7" t="s">
        <v>330</v>
      </c>
      <c r="D220" s="85" t="s">
        <v>21</v>
      </c>
      <c r="E220" s="86" t="s">
        <v>110</v>
      </c>
      <c r="F220" s="63">
        <v>6</v>
      </c>
      <c r="G220" s="142">
        <v>7</v>
      </c>
      <c r="H220" s="63" t="s">
        <v>333</v>
      </c>
      <c r="I220" s="63">
        <v>4</v>
      </c>
      <c r="J220" s="63" t="s">
        <v>332</v>
      </c>
      <c r="K220" s="63" t="s">
        <v>16</v>
      </c>
      <c r="L220" s="63">
        <v>2009</v>
      </c>
    </row>
    <row r="221" spans="1:12" ht="20.25" customHeight="1" x14ac:dyDescent="0.3">
      <c r="A221" s="90" t="s">
        <v>221</v>
      </c>
      <c r="B221" s="84"/>
      <c r="C221" s="7" t="s">
        <v>220</v>
      </c>
      <c r="D221" s="85" t="s">
        <v>21</v>
      </c>
      <c r="E221" s="86" t="s">
        <v>110</v>
      </c>
      <c r="F221" s="63">
        <v>6</v>
      </c>
      <c r="G221" s="142">
        <v>9</v>
      </c>
      <c r="H221" s="63" t="s">
        <v>365</v>
      </c>
      <c r="I221" s="63">
        <v>5</v>
      </c>
      <c r="J221" s="63" t="s">
        <v>366</v>
      </c>
      <c r="K221" s="63" t="s">
        <v>16</v>
      </c>
      <c r="L221" s="63" t="s">
        <v>362</v>
      </c>
    </row>
    <row r="222" spans="1:12" ht="20.25" customHeight="1" x14ac:dyDescent="0.3">
      <c r="A222" s="90" t="s">
        <v>829</v>
      </c>
      <c r="B222" s="84"/>
      <c r="C222" s="7" t="s">
        <v>828</v>
      </c>
      <c r="D222" s="85" t="s">
        <v>183</v>
      </c>
      <c r="E222" s="86" t="s">
        <v>110</v>
      </c>
      <c r="F222" s="63">
        <v>6</v>
      </c>
      <c r="G222" s="142">
        <v>9</v>
      </c>
      <c r="H222" s="63" t="s">
        <v>444</v>
      </c>
      <c r="I222" s="63">
        <v>5</v>
      </c>
      <c r="J222" s="63" t="s">
        <v>839</v>
      </c>
      <c r="K222" s="63" t="s">
        <v>16</v>
      </c>
      <c r="L222" s="63" t="s">
        <v>338</v>
      </c>
    </row>
    <row r="223" spans="1:12" ht="20.25" customHeight="1" x14ac:dyDescent="0.3">
      <c r="A223" s="90" t="s">
        <v>716</v>
      </c>
      <c r="B223" s="84"/>
      <c r="C223" s="7" t="s">
        <v>715</v>
      </c>
      <c r="D223" s="85" t="s">
        <v>101</v>
      </c>
      <c r="E223" s="86" t="s">
        <v>110</v>
      </c>
      <c r="F223" s="63">
        <v>6</v>
      </c>
      <c r="G223" s="142">
        <v>9</v>
      </c>
      <c r="H223" s="63" t="s">
        <v>345</v>
      </c>
      <c r="I223" s="63">
        <v>5</v>
      </c>
      <c r="J223" s="63" t="s">
        <v>531</v>
      </c>
      <c r="K223" s="63" t="s">
        <v>16</v>
      </c>
      <c r="L223" s="63" t="s">
        <v>856</v>
      </c>
    </row>
    <row r="224" spans="1:12" ht="20.25" customHeight="1" x14ac:dyDescent="0.3">
      <c r="A224" s="90" t="s">
        <v>710</v>
      </c>
      <c r="B224" s="84"/>
      <c r="C224" s="7" t="s">
        <v>709</v>
      </c>
      <c r="D224" s="85" t="s">
        <v>101</v>
      </c>
      <c r="E224" s="86" t="s">
        <v>110</v>
      </c>
      <c r="F224" s="63">
        <v>6</v>
      </c>
      <c r="G224" s="142">
        <v>8</v>
      </c>
      <c r="H224" s="63" t="s">
        <v>333</v>
      </c>
      <c r="I224" s="63">
        <v>4</v>
      </c>
      <c r="J224" s="63" t="s">
        <v>333</v>
      </c>
      <c r="K224" s="63" t="s">
        <v>16</v>
      </c>
      <c r="L224" s="63" t="s">
        <v>849</v>
      </c>
    </row>
    <row r="225" spans="1:12" ht="20.25" customHeight="1" x14ac:dyDescent="0.3">
      <c r="A225" s="90" t="s">
        <v>714</v>
      </c>
      <c r="B225" s="84"/>
      <c r="C225" s="7" t="s">
        <v>713</v>
      </c>
      <c r="D225" s="85" t="s">
        <v>101</v>
      </c>
      <c r="E225" s="86" t="s">
        <v>110</v>
      </c>
      <c r="F225" s="63">
        <v>12</v>
      </c>
      <c r="G225" s="142">
        <v>9</v>
      </c>
      <c r="H225" s="63" t="s">
        <v>530</v>
      </c>
      <c r="I225" s="63">
        <v>5</v>
      </c>
      <c r="J225" s="63" t="s">
        <v>722</v>
      </c>
      <c r="K225" s="63" t="s">
        <v>16</v>
      </c>
      <c r="L225" s="63" t="s">
        <v>679</v>
      </c>
    </row>
    <row r="226" spans="1:12" ht="20.25" customHeight="1" x14ac:dyDescent="0.3">
      <c r="A226" s="90" t="s">
        <v>789</v>
      </c>
      <c r="B226" s="84"/>
      <c r="C226" s="7" t="s">
        <v>788</v>
      </c>
      <c r="D226" s="85" t="s">
        <v>183</v>
      </c>
      <c r="E226" s="86" t="s">
        <v>110</v>
      </c>
      <c r="F226" s="63">
        <v>6</v>
      </c>
      <c r="G226" s="142">
        <v>7</v>
      </c>
      <c r="H226" s="63">
        <v>2</v>
      </c>
      <c r="I226" s="63">
        <v>4</v>
      </c>
      <c r="J226" s="63">
        <v>1</v>
      </c>
      <c r="K226" s="63" t="s">
        <v>16</v>
      </c>
      <c r="L226" s="63">
        <v>2009</v>
      </c>
    </row>
    <row r="227" spans="1:12" ht="20.25" customHeight="1" x14ac:dyDescent="0.3">
      <c r="A227" s="90" t="s">
        <v>789</v>
      </c>
      <c r="B227" s="84"/>
      <c r="C227" s="7" t="s">
        <v>788</v>
      </c>
      <c r="D227" s="85" t="s">
        <v>183</v>
      </c>
      <c r="E227" s="86" t="s">
        <v>110</v>
      </c>
      <c r="F227" s="63">
        <v>6</v>
      </c>
      <c r="G227" s="142">
        <v>9</v>
      </c>
      <c r="H227" s="63">
        <v>2</v>
      </c>
      <c r="I227" s="63">
        <v>5</v>
      </c>
      <c r="J227" s="63">
        <v>1</v>
      </c>
      <c r="K227" s="63" t="s">
        <v>16</v>
      </c>
      <c r="L227" s="63">
        <v>2009</v>
      </c>
    </row>
    <row r="228" spans="1:12" ht="20.25" customHeight="1" x14ac:dyDescent="0.3">
      <c r="A228" s="90" t="s">
        <v>706</v>
      </c>
      <c r="B228" s="84"/>
      <c r="C228" s="7" t="s">
        <v>705</v>
      </c>
      <c r="D228" s="85" t="s">
        <v>101</v>
      </c>
      <c r="E228" s="86" t="s">
        <v>110</v>
      </c>
      <c r="F228" s="63">
        <v>6</v>
      </c>
      <c r="G228" s="142">
        <v>7</v>
      </c>
      <c r="H228" s="63" t="s">
        <v>346</v>
      </c>
      <c r="I228" s="63">
        <v>4</v>
      </c>
      <c r="J228" s="63" t="s">
        <v>346</v>
      </c>
      <c r="K228" s="63" t="s">
        <v>16</v>
      </c>
      <c r="L228" s="63" t="s">
        <v>679</v>
      </c>
    </row>
    <row r="229" spans="1:12" ht="20.25" customHeight="1" x14ac:dyDescent="0.3">
      <c r="A229" s="90" t="s">
        <v>706</v>
      </c>
      <c r="B229" s="84"/>
      <c r="C229" s="7" t="s">
        <v>705</v>
      </c>
      <c r="D229" s="85" t="s">
        <v>183</v>
      </c>
      <c r="E229" s="86" t="s">
        <v>110</v>
      </c>
      <c r="F229" s="63">
        <v>6</v>
      </c>
      <c r="G229" s="142">
        <v>9</v>
      </c>
      <c r="H229" s="63">
        <v>2</v>
      </c>
      <c r="I229" s="63">
        <v>5</v>
      </c>
      <c r="J229" s="63">
        <v>2</v>
      </c>
      <c r="K229" s="63" t="s">
        <v>16</v>
      </c>
      <c r="L229" s="63">
        <v>2011</v>
      </c>
    </row>
    <row r="230" spans="1:12" ht="20.25" customHeight="1" x14ac:dyDescent="0.3">
      <c r="A230" s="90" t="s">
        <v>755</v>
      </c>
      <c r="B230" s="84"/>
      <c r="C230" s="7" t="s">
        <v>754</v>
      </c>
      <c r="D230" s="85" t="s">
        <v>103</v>
      </c>
      <c r="E230" s="86" t="s">
        <v>110</v>
      </c>
      <c r="F230" s="63">
        <v>6</v>
      </c>
      <c r="G230" s="142">
        <v>7</v>
      </c>
      <c r="H230" s="63" t="s">
        <v>339</v>
      </c>
      <c r="I230" s="63">
        <v>4</v>
      </c>
      <c r="J230" s="63" t="s">
        <v>446</v>
      </c>
      <c r="K230" s="63" t="s">
        <v>16</v>
      </c>
      <c r="L230" s="63" t="s">
        <v>852</v>
      </c>
    </row>
    <row r="231" spans="1:12" ht="20.25" customHeight="1" x14ac:dyDescent="0.3">
      <c r="A231" s="90" t="s">
        <v>809</v>
      </c>
      <c r="B231" s="84"/>
      <c r="C231" s="7" t="s">
        <v>808</v>
      </c>
      <c r="D231" s="85" t="s">
        <v>183</v>
      </c>
      <c r="E231" s="86" t="s">
        <v>106</v>
      </c>
      <c r="F231" s="63">
        <v>6</v>
      </c>
      <c r="G231" s="142">
        <v>8</v>
      </c>
      <c r="H231" s="63" t="s">
        <v>876</v>
      </c>
      <c r="I231" s="63">
        <v>4</v>
      </c>
      <c r="J231" s="63" t="s">
        <v>887</v>
      </c>
      <c r="K231" s="63" t="s">
        <v>16</v>
      </c>
      <c r="L231" s="63" t="s">
        <v>362</v>
      </c>
    </row>
    <row r="232" spans="1:12" ht="20.25" customHeight="1" x14ac:dyDescent="0.3">
      <c r="A232" s="90" t="s">
        <v>151</v>
      </c>
      <c r="B232" s="84"/>
      <c r="C232" s="7" t="s">
        <v>150</v>
      </c>
      <c r="D232" s="85" t="s">
        <v>182</v>
      </c>
      <c r="E232" s="86" t="s">
        <v>105</v>
      </c>
      <c r="F232" s="63">
        <v>4</v>
      </c>
      <c r="G232" s="142">
        <v>2</v>
      </c>
      <c r="H232" s="63">
        <v>2</v>
      </c>
      <c r="I232" s="63">
        <v>1</v>
      </c>
      <c r="J232" s="63">
        <v>4</v>
      </c>
      <c r="K232" s="63" t="s">
        <v>16</v>
      </c>
      <c r="L232" s="63">
        <v>2011</v>
      </c>
    </row>
    <row r="233" spans="1:12" ht="20.25" customHeight="1" x14ac:dyDescent="0.3">
      <c r="A233" s="90" t="s">
        <v>896</v>
      </c>
      <c r="B233" s="84"/>
      <c r="C233" s="7" t="s">
        <v>895</v>
      </c>
      <c r="D233" s="85" t="s">
        <v>182</v>
      </c>
      <c r="E233" s="86" t="s">
        <v>105</v>
      </c>
      <c r="F233" s="63">
        <v>6</v>
      </c>
      <c r="G233" s="142">
        <v>2</v>
      </c>
      <c r="H233" s="63" t="s">
        <v>443</v>
      </c>
      <c r="I233" s="63">
        <v>1</v>
      </c>
      <c r="J233" s="63" t="s">
        <v>839</v>
      </c>
      <c r="K233" s="63" t="s">
        <v>16</v>
      </c>
      <c r="L233" s="63" t="s">
        <v>338</v>
      </c>
    </row>
    <row r="234" spans="1:12" ht="20.25" customHeight="1" x14ac:dyDescent="0.3">
      <c r="A234" s="90" t="s">
        <v>720</v>
      </c>
      <c r="B234" s="84"/>
      <c r="C234" s="7" t="s">
        <v>719</v>
      </c>
      <c r="D234" s="85" t="s">
        <v>735</v>
      </c>
      <c r="E234" s="86" t="s">
        <v>110</v>
      </c>
      <c r="F234" s="63">
        <v>6</v>
      </c>
      <c r="G234" s="142">
        <v>8</v>
      </c>
      <c r="H234" s="63" t="s">
        <v>736</v>
      </c>
      <c r="I234" s="63">
        <v>4</v>
      </c>
      <c r="J234" s="63" t="s">
        <v>737</v>
      </c>
      <c r="K234" s="63" t="s">
        <v>16</v>
      </c>
      <c r="L234" s="63" t="s">
        <v>361</v>
      </c>
    </row>
    <row r="235" spans="1:12" ht="20.25" customHeight="1" x14ac:dyDescent="0.3">
      <c r="A235" s="90" t="s">
        <v>730</v>
      </c>
      <c r="B235" s="84"/>
      <c r="C235" s="7" t="s">
        <v>729</v>
      </c>
      <c r="D235" s="85" t="s">
        <v>27</v>
      </c>
      <c r="E235" s="86" t="s">
        <v>110</v>
      </c>
      <c r="F235" s="63">
        <v>6</v>
      </c>
      <c r="G235" s="142">
        <v>8</v>
      </c>
      <c r="H235" s="63" t="s">
        <v>346</v>
      </c>
      <c r="I235" s="63">
        <v>4</v>
      </c>
      <c r="J235" s="63" t="s">
        <v>346</v>
      </c>
      <c r="K235" s="63" t="s">
        <v>16</v>
      </c>
      <c r="L235" s="63" t="s">
        <v>848</v>
      </c>
    </row>
    <row r="236" spans="1:12" ht="20.25" customHeight="1" x14ac:dyDescent="0.3">
      <c r="A236" s="90" t="s">
        <v>732</v>
      </c>
      <c r="B236" s="84"/>
      <c r="C236" s="7" t="s">
        <v>781</v>
      </c>
      <c r="D236" s="85" t="s">
        <v>183</v>
      </c>
      <c r="E236" s="86" t="s">
        <v>110</v>
      </c>
      <c r="F236" s="63">
        <v>12</v>
      </c>
      <c r="G236" s="142">
        <v>7</v>
      </c>
      <c r="H236" s="63" t="s">
        <v>851</v>
      </c>
      <c r="I236" s="63">
        <v>4</v>
      </c>
      <c r="J236" s="63" t="s">
        <v>853</v>
      </c>
      <c r="K236" s="63" t="s">
        <v>16</v>
      </c>
      <c r="L236" s="63" t="s">
        <v>526</v>
      </c>
    </row>
    <row r="237" spans="1:12" ht="20.25" customHeight="1" x14ac:dyDescent="0.3">
      <c r="A237" s="90" t="s">
        <v>732</v>
      </c>
      <c r="B237" s="84"/>
      <c r="C237" s="7" t="s">
        <v>731</v>
      </c>
      <c r="D237" s="85" t="s">
        <v>27</v>
      </c>
      <c r="E237" s="86" t="s">
        <v>110</v>
      </c>
      <c r="F237" s="63">
        <v>12</v>
      </c>
      <c r="G237" s="142">
        <v>9</v>
      </c>
      <c r="H237" s="63" t="s">
        <v>530</v>
      </c>
      <c r="I237" s="63">
        <v>5</v>
      </c>
      <c r="J237" s="63" t="s">
        <v>738</v>
      </c>
      <c r="K237" s="63" t="s">
        <v>16</v>
      </c>
      <c r="L237" s="63" t="s">
        <v>679</v>
      </c>
    </row>
    <row r="238" spans="1:12" ht="20.25" customHeight="1" x14ac:dyDescent="0.3">
      <c r="A238" s="90" t="s">
        <v>732</v>
      </c>
      <c r="B238" s="84"/>
      <c r="C238" s="7" t="s">
        <v>781</v>
      </c>
      <c r="D238" s="85" t="s">
        <v>183</v>
      </c>
      <c r="E238" s="86" t="s">
        <v>110</v>
      </c>
      <c r="F238" s="63">
        <v>12</v>
      </c>
      <c r="G238" s="142">
        <v>9</v>
      </c>
      <c r="H238" s="63" t="s">
        <v>851</v>
      </c>
      <c r="I238" s="63">
        <v>5</v>
      </c>
      <c r="J238" s="63" t="s">
        <v>853</v>
      </c>
      <c r="K238" s="63" t="s">
        <v>16</v>
      </c>
      <c r="L238" s="63" t="s">
        <v>526</v>
      </c>
    </row>
    <row r="239" spans="1:12" ht="20.25" customHeight="1" x14ac:dyDescent="0.3">
      <c r="A239" s="90" t="s">
        <v>734</v>
      </c>
      <c r="B239" s="84"/>
      <c r="C239" s="7" t="s">
        <v>733</v>
      </c>
      <c r="D239" s="85" t="s">
        <v>27</v>
      </c>
      <c r="E239" s="86" t="s">
        <v>110</v>
      </c>
      <c r="F239" s="63">
        <v>6</v>
      </c>
      <c r="G239" s="142">
        <v>9</v>
      </c>
      <c r="H239" s="63" t="s">
        <v>346</v>
      </c>
      <c r="I239" s="63">
        <v>5</v>
      </c>
      <c r="J239" s="63" t="s">
        <v>531</v>
      </c>
      <c r="K239" s="63" t="s">
        <v>16</v>
      </c>
      <c r="L239" s="63" t="s">
        <v>848</v>
      </c>
    </row>
    <row r="240" spans="1:12" ht="20.25" customHeight="1" x14ac:dyDescent="0.3">
      <c r="A240" s="90" t="s">
        <v>490</v>
      </c>
      <c r="B240" s="84"/>
      <c r="C240" s="7" t="s">
        <v>489</v>
      </c>
      <c r="D240" s="85" t="s">
        <v>29</v>
      </c>
      <c r="E240" s="86" t="s">
        <v>110</v>
      </c>
      <c r="F240" s="63">
        <v>6</v>
      </c>
      <c r="G240" s="142">
        <v>8</v>
      </c>
      <c r="H240" s="63" t="s">
        <v>366</v>
      </c>
      <c r="I240" s="63">
        <v>4</v>
      </c>
      <c r="J240" s="63" t="s">
        <v>365</v>
      </c>
      <c r="K240" s="63" t="s">
        <v>16</v>
      </c>
      <c r="L240" s="63" t="s">
        <v>362</v>
      </c>
    </row>
    <row r="241" spans="1:12" ht="20.25" customHeight="1" x14ac:dyDescent="0.3">
      <c r="A241" s="90" t="s">
        <v>894</v>
      </c>
      <c r="B241" s="84"/>
      <c r="C241" s="7" t="s">
        <v>893</v>
      </c>
      <c r="D241" s="85" t="s">
        <v>183</v>
      </c>
      <c r="E241" s="86" t="s">
        <v>105</v>
      </c>
      <c r="F241" s="63">
        <v>4</v>
      </c>
      <c r="G241" s="142">
        <v>2</v>
      </c>
      <c r="H241" s="63" t="s">
        <v>851</v>
      </c>
      <c r="I241" s="63">
        <v>1</v>
      </c>
      <c r="J241" s="63" t="s">
        <v>905</v>
      </c>
      <c r="K241" s="63" t="s">
        <v>16</v>
      </c>
      <c r="L241" s="63" t="s">
        <v>526</v>
      </c>
    </row>
    <row r="242" spans="1:12" ht="20.25" customHeight="1" x14ac:dyDescent="0.3">
      <c r="A242" s="90" t="s">
        <v>795</v>
      </c>
      <c r="B242" s="84"/>
      <c r="C242" s="7" t="s">
        <v>794</v>
      </c>
      <c r="D242" s="85" t="s">
        <v>183</v>
      </c>
      <c r="E242" s="86" t="s">
        <v>110</v>
      </c>
      <c r="F242" s="63">
        <v>6</v>
      </c>
      <c r="G242" s="142">
        <v>7</v>
      </c>
      <c r="H242" s="63" t="s">
        <v>533</v>
      </c>
      <c r="I242" s="63">
        <v>4</v>
      </c>
      <c r="J242" s="63" t="s">
        <v>860</v>
      </c>
      <c r="K242" s="63" t="s">
        <v>16</v>
      </c>
      <c r="L242" s="63" t="s">
        <v>875</v>
      </c>
    </row>
    <row r="243" spans="1:12" ht="20.25" customHeight="1" x14ac:dyDescent="0.3">
      <c r="A243" s="90" t="s">
        <v>899</v>
      </c>
      <c r="B243" s="84"/>
      <c r="C243" s="7" t="s">
        <v>898</v>
      </c>
      <c r="D243" s="85" t="s">
        <v>182</v>
      </c>
      <c r="E243" s="86" t="s">
        <v>105</v>
      </c>
      <c r="F243" s="63">
        <v>6</v>
      </c>
      <c r="G243" s="142">
        <v>3</v>
      </c>
      <c r="H243" s="63" t="s">
        <v>527</v>
      </c>
      <c r="I243" s="63">
        <v>2</v>
      </c>
      <c r="J243" s="63" t="s">
        <v>906</v>
      </c>
      <c r="K243" s="63" t="s">
        <v>16</v>
      </c>
      <c r="L243" s="63" t="s">
        <v>526</v>
      </c>
    </row>
    <row r="244" spans="1:12" ht="20.25" customHeight="1" x14ac:dyDescent="0.3">
      <c r="A244" s="90" t="s">
        <v>153</v>
      </c>
      <c r="B244" s="84"/>
      <c r="C244" s="7" t="s">
        <v>152</v>
      </c>
      <c r="D244" s="85" t="s">
        <v>182</v>
      </c>
      <c r="E244" s="86" t="s">
        <v>105</v>
      </c>
      <c r="F244" s="63">
        <v>4</v>
      </c>
      <c r="G244" s="142">
        <v>3</v>
      </c>
      <c r="H244" s="63">
        <v>2</v>
      </c>
      <c r="I244" s="63">
        <v>2</v>
      </c>
      <c r="J244" s="63">
        <v>3</v>
      </c>
      <c r="K244" s="63" t="s">
        <v>16</v>
      </c>
      <c r="L244" s="63">
        <v>2014</v>
      </c>
    </row>
    <row r="245" spans="1:12" ht="20.25" customHeight="1" x14ac:dyDescent="0.3">
      <c r="A245" s="90" t="s">
        <v>621</v>
      </c>
      <c r="B245" s="84"/>
      <c r="C245" s="7" t="s">
        <v>620</v>
      </c>
      <c r="D245" s="85" t="s">
        <v>32</v>
      </c>
      <c r="E245" s="86" t="s">
        <v>110</v>
      </c>
      <c r="F245" s="63">
        <v>6</v>
      </c>
      <c r="G245" s="142">
        <v>7</v>
      </c>
      <c r="H245" s="63" t="s">
        <v>348</v>
      </c>
      <c r="I245" s="63">
        <v>4</v>
      </c>
      <c r="J245" s="63" t="s">
        <v>351</v>
      </c>
      <c r="K245" s="63" t="s">
        <v>16</v>
      </c>
      <c r="L245" s="63" t="s">
        <v>369</v>
      </c>
    </row>
    <row r="246" spans="1:12" ht="20.25" customHeight="1" x14ac:dyDescent="0.3">
      <c r="A246" s="90" t="s">
        <v>579</v>
      </c>
      <c r="B246" s="84"/>
      <c r="C246" s="7" t="s">
        <v>578</v>
      </c>
      <c r="D246" s="85" t="s">
        <v>32</v>
      </c>
      <c r="E246" s="86" t="s">
        <v>106</v>
      </c>
      <c r="F246" s="63">
        <v>4</v>
      </c>
      <c r="G246" s="142">
        <v>4</v>
      </c>
      <c r="H246" s="63" t="s">
        <v>443</v>
      </c>
      <c r="I246" s="63">
        <v>2</v>
      </c>
      <c r="J246" s="63" t="s">
        <v>444</v>
      </c>
      <c r="K246" s="63" t="s">
        <v>16</v>
      </c>
      <c r="L246" s="63" t="s">
        <v>338</v>
      </c>
    </row>
    <row r="247" spans="1:12" ht="20.25" customHeight="1" x14ac:dyDescent="0.3">
      <c r="A247" s="90" t="s">
        <v>607</v>
      </c>
      <c r="B247" s="84"/>
      <c r="C247" s="7" t="s">
        <v>606</v>
      </c>
      <c r="D247" s="85" t="s">
        <v>32</v>
      </c>
      <c r="E247" s="86" t="s">
        <v>110</v>
      </c>
      <c r="F247" s="63">
        <v>6</v>
      </c>
      <c r="G247" s="142">
        <v>8</v>
      </c>
      <c r="H247" s="63" t="s">
        <v>333</v>
      </c>
      <c r="I247" s="63">
        <v>4</v>
      </c>
      <c r="J247" s="63" t="s">
        <v>332</v>
      </c>
      <c r="K247" s="63" t="s">
        <v>16</v>
      </c>
      <c r="L247" s="63">
        <v>2009</v>
      </c>
    </row>
    <row r="248" spans="1:12" ht="20.25" customHeight="1" x14ac:dyDescent="0.3">
      <c r="A248" s="90" t="s">
        <v>566</v>
      </c>
      <c r="B248" s="84"/>
      <c r="C248" s="7" t="s">
        <v>565</v>
      </c>
      <c r="D248" s="85" t="s">
        <v>29</v>
      </c>
      <c r="E248" s="86" t="s">
        <v>110</v>
      </c>
      <c r="F248" s="63">
        <v>6</v>
      </c>
      <c r="G248" s="142">
        <v>9</v>
      </c>
      <c r="H248" s="63" t="s">
        <v>333</v>
      </c>
      <c r="I248" s="63">
        <v>5</v>
      </c>
      <c r="J248" s="63" t="s">
        <v>333</v>
      </c>
      <c r="K248" s="63" t="s">
        <v>16</v>
      </c>
      <c r="L248" s="63">
        <v>2014</v>
      </c>
    </row>
    <row r="249" spans="1:12" ht="20.25" customHeight="1" x14ac:dyDescent="0.3">
      <c r="A249" s="90" t="s">
        <v>394</v>
      </c>
      <c r="B249" s="84"/>
      <c r="C249" s="7" t="s">
        <v>393</v>
      </c>
      <c r="D249" s="85" t="s">
        <v>183</v>
      </c>
      <c r="E249" s="86" t="s">
        <v>110</v>
      </c>
      <c r="F249" s="63">
        <v>6</v>
      </c>
      <c r="G249" s="142">
        <v>7</v>
      </c>
      <c r="H249" s="63" t="s">
        <v>873</v>
      </c>
      <c r="I249" s="63">
        <v>4</v>
      </c>
      <c r="J249" s="63" t="s">
        <v>868</v>
      </c>
      <c r="K249" s="63" t="s">
        <v>16</v>
      </c>
      <c r="L249" s="63" t="s">
        <v>362</v>
      </c>
    </row>
    <row r="250" spans="1:12" ht="20.25" customHeight="1" x14ac:dyDescent="0.3">
      <c r="A250" s="90" t="s">
        <v>386</v>
      </c>
      <c r="B250" s="84"/>
      <c r="C250" s="7" t="s">
        <v>385</v>
      </c>
      <c r="D250" s="85" t="s">
        <v>183</v>
      </c>
      <c r="E250" s="86" t="s">
        <v>110</v>
      </c>
      <c r="F250" s="63">
        <v>6</v>
      </c>
      <c r="G250" s="142">
        <v>7</v>
      </c>
      <c r="H250" s="63" t="s">
        <v>878</v>
      </c>
      <c r="I250" s="63">
        <v>4</v>
      </c>
      <c r="J250" s="63" t="s">
        <v>879</v>
      </c>
      <c r="K250" s="63" t="s">
        <v>16</v>
      </c>
      <c r="L250" s="63" t="s">
        <v>362</v>
      </c>
    </row>
    <row r="251" spans="1:12" ht="20.25" customHeight="1" x14ac:dyDescent="0.3">
      <c r="A251" s="90" t="s">
        <v>617</v>
      </c>
      <c r="B251" s="84"/>
      <c r="C251" s="7" t="s">
        <v>616</v>
      </c>
      <c r="D251" s="85" t="s">
        <v>32</v>
      </c>
      <c r="E251" s="86" t="s">
        <v>105</v>
      </c>
      <c r="F251" s="63">
        <v>2</v>
      </c>
      <c r="G251" s="142">
        <v>6</v>
      </c>
      <c r="H251" s="63" t="s">
        <v>340</v>
      </c>
      <c r="I251" s="63">
        <v>3</v>
      </c>
      <c r="J251" s="63" t="s">
        <v>515</v>
      </c>
      <c r="K251" s="63" t="s">
        <v>16</v>
      </c>
      <c r="L251" s="63" t="s">
        <v>537</v>
      </c>
    </row>
    <row r="252" spans="1:12" ht="20.25" customHeight="1" x14ac:dyDescent="0.3">
      <c r="A252" s="90" t="s">
        <v>492</v>
      </c>
      <c r="B252" s="84"/>
      <c r="C252" s="7" t="s">
        <v>491</v>
      </c>
      <c r="D252" s="85" t="s">
        <v>29</v>
      </c>
      <c r="E252" s="86" t="s">
        <v>110</v>
      </c>
      <c r="F252" s="63">
        <v>6</v>
      </c>
      <c r="G252" s="142">
        <v>7</v>
      </c>
      <c r="H252" s="63" t="s">
        <v>332</v>
      </c>
      <c r="I252" s="63">
        <v>4</v>
      </c>
      <c r="J252" s="63" t="s">
        <v>333</v>
      </c>
      <c r="K252" s="63" t="s">
        <v>16</v>
      </c>
      <c r="L252" s="63">
        <v>2014</v>
      </c>
    </row>
    <row r="253" spans="1:12" ht="20.25" customHeight="1" x14ac:dyDescent="0.3">
      <c r="A253" s="90" t="s">
        <v>492</v>
      </c>
      <c r="B253" s="84"/>
      <c r="C253" s="7" t="s">
        <v>491</v>
      </c>
      <c r="D253" s="85" t="s">
        <v>29</v>
      </c>
      <c r="E253" s="86" t="s">
        <v>110</v>
      </c>
      <c r="F253" s="63">
        <v>6</v>
      </c>
      <c r="G253" s="142">
        <v>8</v>
      </c>
      <c r="H253" s="63" t="s">
        <v>354</v>
      </c>
      <c r="I253" s="63">
        <v>4</v>
      </c>
      <c r="J253" s="63" t="s">
        <v>354</v>
      </c>
      <c r="K253" s="63" t="s">
        <v>16</v>
      </c>
      <c r="L253" s="63" t="s">
        <v>352</v>
      </c>
    </row>
    <row r="254" spans="1:12" ht="20.25" customHeight="1" x14ac:dyDescent="0.3">
      <c r="A254" s="90" t="s">
        <v>149</v>
      </c>
      <c r="B254" s="84"/>
      <c r="C254" s="7" t="s">
        <v>897</v>
      </c>
      <c r="D254" s="85" t="s">
        <v>182</v>
      </c>
      <c r="E254" s="86" t="s">
        <v>105</v>
      </c>
      <c r="F254" s="63">
        <v>12</v>
      </c>
      <c r="G254" s="142">
        <v>3</v>
      </c>
      <c r="H254" s="63" t="s">
        <v>851</v>
      </c>
      <c r="I254" s="63">
        <v>2</v>
      </c>
      <c r="J254" s="63" t="s">
        <v>907</v>
      </c>
      <c r="K254" s="63" t="s">
        <v>16</v>
      </c>
      <c r="L254" s="63" t="s">
        <v>526</v>
      </c>
    </row>
    <row r="255" spans="1:12" ht="20.25" customHeight="1" x14ac:dyDescent="0.3">
      <c r="A255" s="90" t="s">
        <v>564</v>
      </c>
      <c r="B255" s="84"/>
      <c r="C255" s="7" t="s">
        <v>563</v>
      </c>
      <c r="D255" s="85" t="s">
        <v>29</v>
      </c>
      <c r="E255" s="86" t="s">
        <v>110</v>
      </c>
      <c r="F255" s="63">
        <v>6</v>
      </c>
      <c r="G255" s="142">
        <v>9</v>
      </c>
      <c r="H255" s="63" t="s">
        <v>332</v>
      </c>
      <c r="I255" s="63">
        <v>5</v>
      </c>
      <c r="J255" s="63" t="s">
        <v>200</v>
      </c>
      <c r="K255" s="63" t="s">
        <v>16</v>
      </c>
      <c r="L255" s="63">
        <v>2014</v>
      </c>
    </row>
    <row r="256" spans="1:12" ht="20.25" customHeight="1" x14ac:dyDescent="0.3">
      <c r="A256" s="90" t="s">
        <v>75</v>
      </c>
      <c r="B256" s="84"/>
      <c r="C256" s="7" t="s">
        <v>233</v>
      </c>
      <c r="D256" s="85" t="s">
        <v>29</v>
      </c>
      <c r="E256" s="86" t="s">
        <v>106</v>
      </c>
      <c r="F256" s="63">
        <v>6</v>
      </c>
      <c r="G256" s="142">
        <v>6</v>
      </c>
      <c r="H256" s="63" t="s">
        <v>357</v>
      </c>
      <c r="I256" s="63">
        <v>3</v>
      </c>
      <c r="J256" s="63" t="s">
        <v>358</v>
      </c>
      <c r="K256" s="63" t="s">
        <v>16</v>
      </c>
      <c r="L256" s="63" t="s">
        <v>352</v>
      </c>
    </row>
    <row r="257" spans="1:12" ht="20.25" customHeight="1" x14ac:dyDescent="0.3">
      <c r="A257" s="90" t="s">
        <v>75</v>
      </c>
      <c r="B257" s="84"/>
      <c r="C257" s="7" t="s">
        <v>233</v>
      </c>
      <c r="D257" s="85" t="s">
        <v>29</v>
      </c>
      <c r="E257" s="86" t="s">
        <v>106</v>
      </c>
      <c r="F257" s="63">
        <v>6</v>
      </c>
      <c r="G257" s="142">
        <v>7</v>
      </c>
      <c r="H257" s="63" t="s">
        <v>333</v>
      </c>
      <c r="I257" s="63">
        <v>4</v>
      </c>
      <c r="J257" s="63" t="s">
        <v>222</v>
      </c>
      <c r="K257" s="63" t="s">
        <v>16</v>
      </c>
      <c r="L257" s="63">
        <v>2014</v>
      </c>
    </row>
    <row r="258" spans="1:12" ht="20.25" customHeight="1" x14ac:dyDescent="0.3">
      <c r="A258" s="90" t="s">
        <v>275</v>
      </c>
      <c r="B258" s="84"/>
      <c r="C258" s="7" t="s">
        <v>274</v>
      </c>
      <c r="D258" s="85" t="s">
        <v>32</v>
      </c>
      <c r="E258" s="86" t="s">
        <v>105</v>
      </c>
      <c r="F258" s="63">
        <v>6</v>
      </c>
      <c r="G258" s="142">
        <v>6</v>
      </c>
      <c r="H258" s="63" t="s">
        <v>349</v>
      </c>
      <c r="I258" s="63">
        <v>3</v>
      </c>
      <c r="J258" s="63" t="s">
        <v>643</v>
      </c>
      <c r="K258" s="63" t="s">
        <v>16</v>
      </c>
      <c r="L258" s="63" t="s">
        <v>369</v>
      </c>
    </row>
    <row r="259" spans="1:12" ht="20.25" customHeight="1" x14ac:dyDescent="0.3">
      <c r="A259" s="90" t="s">
        <v>819</v>
      </c>
      <c r="B259" s="84"/>
      <c r="C259" s="7" t="s">
        <v>818</v>
      </c>
      <c r="D259" s="85" t="s">
        <v>183</v>
      </c>
      <c r="E259" s="86" t="s">
        <v>105</v>
      </c>
      <c r="F259" s="63">
        <v>6</v>
      </c>
      <c r="G259" s="142">
        <v>8</v>
      </c>
      <c r="H259" s="63" t="s">
        <v>868</v>
      </c>
      <c r="I259" s="63">
        <v>4</v>
      </c>
      <c r="J259" s="63" t="s">
        <v>874</v>
      </c>
      <c r="K259" s="63" t="s">
        <v>16</v>
      </c>
      <c r="L259" s="63" t="s">
        <v>362</v>
      </c>
    </row>
    <row r="260" spans="1:12" ht="20.25" customHeight="1" x14ac:dyDescent="0.3">
      <c r="A260" s="90" t="s">
        <v>48</v>
      </c>
      <c r="B260" s="84"/>
      <c r="C260" s="7" t="s">
        <v>237</v>
      </c>
      <c r="D260" s="85" t="s">
        <v>31</v>
      </c>
      <c r="E260" s="86" t="s">
        <v>105</v>
      </c>
      <c r="F260" s="63">
        <v>6</v>
      </c>
      <c r="G260" s="142">
        <v>5</v>
      </c>
      <c r="H260" s="63" t="s">
        <v>280</v>
      </c>
      <c r="I260" s="63">
        <v>3</v>
      </c>
      <c r="J260" s="63" t="s">
        <v>339</v>
      </c>
      <c r="K260" s="63" t="s">
        <v>16</v>
      </c>
      <c r="L260" s="63" t="s">
        <v>361</v>
      </c>
    </row>
    <row r="261" spans="1:12" ht="20.25" customHeight="1" x14ac:dyDescent="0.3">
      <c r="A261" s="90" t="s">
        <v>48</v>
      </c>
      <c r="B261" s="84"/>
      <c r="C261" s="7" t="s">
        <v>237</v>
      </c>
      <c r="D261" s="85" t="s">
        <v>29</v>
      </c>
      <c r="E261" s="86" t="s">
        <v>105</v>
      </c>
      <c r="F261" s="63">
        <v>6</v>
      </c>
      <c r="G261" s="142">
        <v>7</v>
      </c>
      <c r="H261" s="63" t="s">
        <v>447</v>
      </c>
      <c r="I261" s="63">
        <v>4</v>
      </c>
      <c r="J261" s="63" t="s">
        <v>448</v>
      </c>
      <c r="K261" s="63" t="s">
        <v>16</v>
      </c>
      <c r="L261" s="63" t="s">
        <v>852</v>
      </c>
    </row>
    <row r="262" spans="1:12" ht="20.25" customHeight="1" x14ac:dyDescent="0.3">
      <c r="A262" s="90" t="s">
        <v>48</v>
      </c>
      <c r="B262" s="84"/>
      <c r="C262" s="7" t="s">
        <v>237</v>
      </c>
      <c r="D262" s="85" t="s">
        <v>29</v>
      </c>
      <c r="E262" s="86" t="s">
        <v>105</v>
      </c>
      <c r="F262" s="63">
        <v>6</v>
      </c>
      <c r="G262" s="142">
        <v>9</v>
      </c>
      <c r="H262" s="63" t="s">
        <v>333</v>
      </c>
      <c r="I262" s="63">
        <v>5</v>
      </c>
      <c r="J262" s="63" t="s">
        <v>222</v>
      </c>
      <c r="K262" s="63" t="s">
        <v>16</v>
      </c>
      <c r="L262" s="63">
        <v>2011</v>
      </c>
    </row>
    <row r="263" spans="1:12" ht="20.25" customHeight="1" x14ac:dyDescent="0.3">
      <c r="A263" s="90" t="s">
        <v>392</v>
      </c>
      <c r="B263" s="84"/>
      <c r="C263" s="7" t="s">
        <v>391</v>
      </c>
      <c r="D263" s="85" t="s">
        <v>32</v>
      </c>
      <c r="E263" s="86" t="s">
        <v>110</v>
      </c>
      <c r="F263" s="63">
        <v>6</v>
      </c>
      <c r="G263" s="142">
        <v>7</v>
      </c>
      <c r="H263" s="63" t="s">
        <v>348</v>
      </c>
      <c r="I263" s="63">
        <v>4</v>
      </c>
      <c r="J263" s="63" t="s">
        <v>351</v>
      </c>
      <c r="K263" s="63" t="s">
        <v>16</v>
      </c>
      <c r="L263" s="63" t="s">
        <v>840</v>
      </c>
    </row>
    <row r="264" spans="1:12" ht="20.25" customHeight="1" x14ac:dyDescent="0.3">
      <c r="A264" s="90" t="s">
        <v>517</v>
      </c>
      <c r="B264" s="84"/>
      <c r="C264" s="7" t="s">
        <v>516</v>
      </c>
      <c r="D264" s="85" t="s">
        <v>29</v>
      </c>
      <c r="E264" s="86" t="s">
        <v>110</v>
      </c>
      <c r="F264" s="63">
        <v>6</v>
      </c>
      <c r="G264" s="142">
        <v>7</v>
      </c>
      <c r="H264" s="63" t="s">
        <v>280</v>
      </c>
      <c r="I264" s="63">
        <v>4</v>
      </c>
      <c r="J264" s="63" t="s">
        <v>344</v>
      </c>
      <c r="K264" s="63" t="s">
        <v>16</v>
      </c>
      <c r="L264" s="63" t="s">
        <v>537</v>
      </c>
    </row>
    <row r="265" spans="1:12" ht="20.25" customHeight="1" x14ac:dyDescent="0.3">
      <c r="A265" s="90" t="s">
        <v>517</v>
      </c>
      <c r="B265" s="84"/>
      <c r="C265" s="7" t="s">
        <v>516</v>
      </c>
      <c r="D265" s="85" t="s">
        <v>657</v>
      </c>
      <c r="E265" s="86" t="s">
        <v>110</v>
      </c>
      <c r="F265" s="63">
        <v>6</v>
      </c>
      <c r="G265" s="142">
        <v>9</v>
      </c>
      <c r="H265" s="63" t="s">
        <v>280</v>
      </c>
      <c r="I265" s="63">
        <v>5</v>
      </c>
      <c r="J265" s="63" t="s">
        <v>344</v>
      </c>
      <c r="K265" s="63" t="s">
        <v>16</v>
      </c>
      <c r="L265" s="63" t="s">
        <v>663</v>
      </c>
    </row>
    <row r="266" spans="1:12" ht="20.25" customHeight="1" x14ac:dyDescent="0.3">
      <c r="A266" s="90" t="s">
        <v>587</v>
      </c>
      <c r="B266" s="84"/>
      <c r="C266" s="7" t="s">
        <v>586</v>
      </c>
      <c r="D266" s="85" t="s">
        <v>32</v>
      </c>
      <c r="E266" s="86" t="s">
        <v>110</v>
      </c>
      <c r="F266" s="63">
        <v>6</v>
      </c>
      <c r="G266" s="142">
        <v>7</v>
      </c>
      <c r="H266" s="63" t="s">
        <v>365</v>
      </c>
      <c r="I266" s="63">
        <v>4</v>
      </c>
      <c r="J266" s="63" t="s">
        <v>365</v>
      </c>
      <c r="K266" s="63" t="s">
        <v>16</v>
      </c>
      <c r="L266" s="63" t="s">
        <v>362</v>
      </c>
    </row>
    <row r="267" spans="1:12" ht="20.25" customHeight="1" x14ac:dyDescent="0.3">
      <c r="A267" s="90" t="s">
        <v>484</v>
      </c>
      <c r="B267" s="84"/>
      <c r="C267" s="7" t="s">
        <v>483</v>
      </c>
      <c r="D267" s="85" t="s">
        <v>29</v>
      </c>
      <c r="E267" s="86" t="s">
        <v>110</v>
      </c>
      <c r="F267" s="63">
        <v>6</v>
      </c>
      <c r="G267" s="142">
        <v>8</v>
      </c>
      <c r="H267" s="63" t="s">
        <v>365</v>
      </c>
      <c r="I267" s="63">
        <v>4</v>
      </c>
      <c r="J267" s="63" t="s">
        <v>365</v>
      </c>
      <c r="K267" s="63" t="s">
        <v>16</v>
      </c>
      <c r="L267" s="63" t="s">
        <v>362</v>
      </c>
    </row>
    <row r="268" spans="1:12" ht="20.25" customHeight="1" x14ac:dyDescent="0.3">
      <c r="A268" s="90" t="s">
        <v>398</v>
      </c>
      <c r="B268" s="84"/>
      <c r="C268" s="7" t="s">
        <v>397</v>
      </c>
      <c r="D268" s="85" t="s">
        <v>183</v>
      </c>
      <c r="E268" s="86" t="s">
        <v>110</v>
      </c>
      <c r="F268" s="63">
        <v>6</v>
      </c>
      <c r="G268" s="142">
        <v>7</v>
      </c>
      <c r="H268" s="63" t="s">
        <v>881</v>
      </c>
      <c r="I268" s="63">
        <v>4</v>
      </c>
      <c r="J268" s="63" t="s">
        <v>882</v>
      </c>
      <c r="K268" s="63" t="s">
        <v>16</v>
      </c>
      <c r="L268" s="63" t="s">
        <v>362</v>
      </c>
    </row>
    <row r="269" spans="1:12" ht="20.25" customHeight="1" x14ac:dyDescent="0.3">
      <c r="A269" s="90" t="s">
        <v>771</v>
      </c>
      <c r="B269" s="84"/>
      <c r="C269" s="7" t="s">
        <v>770</v>
      </c>
      <c r="D269" s="85" t="s">
        <v>183</v>
      </c>
      <c r="E269" s="86" t="s">
        <v>110</v>
      </c>
      <c r="F269" s="63">
        <v>6</v>
      </c>
      <c r="G269" s="142">
        <v>7</v>
      </c>
      <c r="H269" s="63" t="s">
        <v>444</v>
      </c>
      <c r="I269" s="63">
        <v>4</v>
      </c>
      <c r="J269" s="63" t="s">
        <v>837</v>
      </c>
      <c r="K269" s="63" t="s">
        <v>16</v>
      </c>
      <c r="L269" s="63" t="s">
        <v>338</v>
      </c>
    </row>
    <row r="270" spans="1:12" ht="20.25" customHeight="1" x14ac:dyDescent="0.3">
      <c r="A270" s="90" t="s">
        <v>771</v>
      </c>
      <c r="B270" s="84"/>
      <c r="C270" s="7" t="s">
        <v>770</v>
      </c>
      <c r="D270" s="85" t="s">
        <v>183</v>
      </c>
      <c r="E270" s="86" t="s">
        <v>110</v>
      </c>
      <c r="F270" s="63">
        <v>6</v>
      </c>
      <c r="G270" s="142">
        <v>9</v>
      </c>
      <c r="H270" s="63" t="s">
        <v>534</v>
      </c>
      <c r="I270" s="63">
        <v>5</v>
      </c>
      <c r="J270" s="63" t="s">
        <v>867</v>
      </c>
      <c r="K270" s="63" t="s">
        <v>16</v>
      </c>
      <c r="L270" s="63" t="s">
        <v>866</v>
      </c>
    </row>
    <row r="271" spans="1:12" ht="20.25" customHeight="1" x14ac:dyDescent="0.3">
      <c r="A271" s="90" t="s">
        <v>486</v>
      </c>
      <c r="B271" s="84"/>
      <c r="C271" s="7" t="s">
        <v>485</v>
      </c>
      <c r="D271" s="85" t="s">
        <v>29</v>
      </c>
      <c r="E271" s="86" t="s">
        <v>110</v>
      </c>
      <c r="F271" s="63">
        <v>6</v>
      </c>
      <c r="G271" s="142">
        <v>8</v>
      </c>
      <c r="H271" s="63" t="s">
        <v>365</v>
      </c>
      <c r="I271" s="63">
        <v>4</v>
      </c>
      <c r="J271" s="63" t="s">
        <v>365</v>
      </c>
      <c r="K271" s="63" t="s">
        <v>16</v>
      </c>
      <c r="L271" s="63" t="s">
        <v>362</v>
      </c>
    </row>
    <row r="272" spans="1:12" ht="20.25" customHeight="1" x14ac:dyDescent="0.3">
      <c r="A272" s="90" t="s">
        <v>892</v>
      </c>
      <c r="B272" s="84"/>
      <c r="C272" s="7" t="s">
        <v>891</v>
      </c>
      <c r="D272" s="85" t="s">
        <v>182</v>
      </c>
      <c r="E272" s="86" t="s">
        <v>105</v>
      </c>
      <c r="F272" s="63">
        <v>4</v>
      </c>
      <c r="G272" s="142">
        <v>2</v>
      </c>
      <c r="H272" s="63" t="s">
        <v>528</v>
      </c>
      <c r="I272" s="63">
        <v>1</v>
      </c>
      <c r="J272" s="63" t="s">
        <v>850</v>
      </c>
      <c r="K272" s="63" t="s">
        <v>16</v>
      </c>
      <c r="L272" s="63" t="s">
        <v>526</v>
      </c>
    </row>
    <row r="273" spans="1:12" ht="20.25" customHeight="1" x14ac:dyDescent="0.3">
      <c r="A273" s="90" t="s">
        <v>406</v>
      </c>
      <c r="B273" s="84"/>
      <c r="C273" s="7" t="s">
        <v>405</v>
      </c>
      <c r="D273" s="85" t="s">
        <v>183</v>
      </c>
      <c r="E273" s="86" t="s">
        <v>110</v>
      </c>
      <c r="F273" s="63">
        <v>6</v>
      </c>
      <c r="G273" s="142">
        <v>8</v>
      </c>
      <c r="H273" s="63" t="s">
        <v>868</v>
      </c>
      <c r="I273" s="63">
        <v>4</v>
      </c>
      <c r="J273" s="63" t="s">
        <v>873</v>
      </c>
      <c r="K273" s="63" t="s">
        <v>16</v>
      </c>
      <c r="L273" s="63" t="s">
        <v>362</v>
      </c>
    </row>
    <row r="274" spans="1:12" ht="20.25" customHeight="1" x14ac:dyDescent="0.3">
      <c r="A274" s="90" t="s">
        <v>296</v>
      </c>
      <c r="B274" s="84"/>
      <c r="C274" s="7" t="s">
        <v>295</v>
      </c>
      <c r="D274" s="85" t="s">
        <v>29</v>
      </c>
      <c r="E274" s="86" t="s">
        <v>105</v>
      </c>
      <c r="F274" s="63">
        <v>4</v>
      </c>
      <c r="G274" s="142">
        <v>4</v>
      </c>
      <c r="H274" s="63" t="s">
        <v>544</v>
      </c>
      <c r="I274" s="63">
        <v>2</v>
      </c>
      <c r="J274" s="63" t="s">
        <v>545</v>
      </c>
      <c r="K274" s="63" t="s">
        <v>16</v>
      </c>
      <c r="L274" s="63" t="s">
        <v>352</v>
      </c>
    </row>
    <row r="275" spans="1:12" ht="20.25" customHeight="1" x14ac:dyDescent="0.3">
      <c r="A275" s="90" t="s">
        <v>807</v>
      </c>
      <c r="B275" s="84"/>
      <c r="C275" s="7" t="s">
        <v>806</v>
      </c>
      <c r="D275" s="85" t="s">
        <v>183</v>
      </c>
      <c r="E275" s="86" t="s">
        <v>110</v>
      </c>
      <c r="F275" s="63">
        <v>6</v>
      </c>
      <c r="G275" s="142">
        <v>8</v>
      </c>
      <c r="H275" s="63" t="s">
        <v>528</v>
      </c>
      <c r="I275" s="63">
        <v>4</v>
      </c>
      <c r="J275" s="63" t="s">
        <v>528</v>
      </c>
      <c r="K275" s="63" t="s">
        <v>16</v>
      </c>
      <c r="L275" s="63" t="s">
        <v>526</v>
      </c>
    </row>
    <row r="276" spans="1:12" ht="20.25" customHeight="1" x14ac:dyDescent="0.3">
      <c r="A276" s="90" t="s">
        <v>219</v>
      </c>
      <c r="B276" s="84"/>
      <c r="C276" s="7" t="s">
        <v>218</v>
      </c>
      <c r="D276" s="85" t="s">
        <v>21</v>
      </c>
      <c r="E276" s="86" t="s">
        <v>106</v>
      </c>
      <c r="F276" s="63">
        <v>6</v>
      </c>
      <c r="G276" s="142">
        <v>7</v>
      </c>
      <c r="H276" s="63" t="s">
        <v>333</v>
      </c>
      <c r="I276" s="63">
        <v>4</v>
      </c>
      <c r="J276" s="63" t="s">
        <v>222</v>
      </c>
      <c r="K276" s="63" t="s">
        <v>16</v>
      </c>
      <c r="L276" s="63">
        <v>2014</v>
      </c>
    </row>
    <row r="277" spans="1:12" ht="20.25" customHeight="1" x14ac:dyDescent="0.3">
      <c r="A277" s="90" t="s">
        <v>783</v>
      </c>
      <c r="B277" s="84"/>
      <c r="C277" s="7" t="s">
        <v>782</v>
      </c>
      <c r="D277" s="85" t="s">
        <v>183</v>
      </c>
      <c r="E277" s="86" t="s">
        <v>106</v>
      </c>
      <c r="F277" s="63">
        <v>6</v>
      </c>
      <c r="G277" s="142">
        <v>7</v>
      </c>
      <c r="H277" s="63" t="s">
        <v>868</v>
      </c>
      <c r="I277" s="63">
        <v>4</v>
      </c>
      <c r="J277" s="63" t="s">
        <v>873</v>
      </c>
      <c r="K277" s="63" t="s">
        <v>16</v>
      </c>
      <c r="L277" s="63" t="s">
        <v>362</v>
      </c>
    </row>
    <row r="278" spans="1:12" ht="20.25" customHeight="1" x14ac:dyDescent="0.3">
      <c r="A278" s="90" t="s">
        <v>440</v>
      </c>
      <c r="B278" s="84"/>
      <c r="C278" s="7" t="s">
        <v>439</v>
      </c>
      <c r="D278" s="85" t="s">
        <v>183</v>
      </c>
      <c r="E278" s="86" t="s">
        <v>110</v>
      </c>
      <c r="F278" s="63">
        <v>6</v>
      </c>
      <c r="G278" s="142">
        <v>9</v>
      </c>
      <c r="H278" s="63" t="s">
        <v>533</v>
      </c>
      <c r="I278" s="63">
        <v>5</v>
      </c>
      <c r="J278" s="63" t="s">
        <v>863</v>
      </c>
      <c r="K278" s="63" t="s">
        <v>16</v>
      </c>
      <c r="L278" s="63" t="s">
        <v>369</v>
      </c>
    </row>
    <row r="279" spans="1:12" ht="20.25" customHeight="1" x14ac:dyDescent="0.3">
      <c r="A279" s="90" t="s">
        <v>833</v>
      </c>
      <c r="B279" s="84"/>
      <c r="C279" s="7" t="s">
        <v>832</v>
      </c>
      <c r="D279" s="85" t="s">
        <v>183</v>
      </c>
      <c r="E279" s="86" t="s">
        <v>110</v>
      </c>
      <c r="F279" s="63">
        <v>6</v>
      </c>
      <c r="G279" s="142">
        <v>9</v>
      </c>
      <c r="H279" s="63" t="s">
        <v>873</v>
      </c>
      <c r="I279" s="63">
        <v>5</v>
      </c>
      <c r="J279" s="63" t="s">
        <v>884</v>
      </c>
      <c r="K279" s="63" t="s">
        <v>16</v>
      </c>
      <c r="L279" s="63" t="s">
        <v>362</v>
      </c>
    </row>
    <row r="280" spans="1:12" ht="20.25" customHeight="1" x14ac:dyDescent="0.3">
      <c r="A280" s="90" t="s">
        <v>835</v>
      </c>
      <c r="B280" s="84"/>
      <c r="C280" s="7" t="s">
        <v>834</v>
      </c>
      <c r="D280" s="85" t="s">
        <v>183</v>
      </c>
      <c r="E280" s="86" t="s">
        <v>110</v>
      </c>
      <c r="F280" s="63">
        <v>6</v>
      </c>
      <c r="G280" s="142">
        <v>7</v>
      </c>
      <c r="H280" s="63" t="s">
        <v>543</v>
      </c>
      <c r="I280" s="63">
        <v>4</v>
      </c>
      <c r="J280" s="63" t="s">
        <v>865</v>
      </c>
      <c r="K280" s="63" t="s">
        <v>16</v>
      </c>
      <c r="L280" s="63" t="s">
        <v>367</v>
      </c>
    </row>
    <row r="281" spans="1:12" ht="20.25" customHeight="1" x14ac:dyDescent="0.3">
      <c r="A281" s="90" t="s">
        <v>294</v>
      </c>
      <c r="B281" s="84"/>
      <c r="C281" s="7" t="s">
        <v>293</v>
      </c>
      <c r="D281" s="85" t="s">
        <v>182</v>
      </c>
      <c r="E281" s="86" t="s">
        <v>106</v>
      </c>
      <c r="F281" s="63">
        <v>4</v>
      </c>
      <c r="G281" s="142">
        <v>6</v>
      </c>
      <c r="H281" s="63" t="s">
        <v>533</v>
      </c>
      <c r="I281" s="63">
        <v>3</v>
      </c>
      <c r="J281" s="63" t="s">
        <v>534</v>
      </c>
      <c r="K281" s="63" t="s">
        <v>16</v>
      </c>
      <c r="L281" s="63" t="s">
        <v>347</v>
      </c>
    </row>
    <row r="282" spans="1:12" ht="20.25" customHeight="1" x14ac:dyDescent="0.3">
      <c r="A282" s="90" t="s">
        <v>294</v>
      </c>
      <c r="B282" s="84"/>
      <c r="C282" s="7" t="s">
        <v>293</v>
      </c>
      <c r="D282" s="85" t="s">
        <v>182</v>
      </c>
      <c r="E282" s="86" t="s">
        <v>106</v>
      </c>
      <c r="F282" s="63">
        <v>4</v>
      </c>
      <c r="G282" s="142">
        <v>4</v>
      </c>
      <c r="H282" s="63">
        <v>2</v>
      </c>
      <c r="I282" s="63">
        <v>2</v>
      </c>
      <c r="J282" s="63">
        <v>4</v>
      </c>
      <c r="K282" s="63" t="s">
        <v>16</v>
      </c>
      <c r="L282" s="63">
        <v>2012</v>
      </c>
    </row>
    <row r="283" spans="1:12" ht="20.25" customHeight="1" x14ac:dyDescent="0.3">
      <c r="A283" s="90" t="s">
        <v>324</v>
      </c>
      <c r="B283" s="84"/>
      <c r="C283" s="7" t="s">
        <v>323</v>
      </c>
      <c r="D283" s="85" t="s">
        <v>21</v>
      </c>
      <c r="E283" s="86" t="s">
        <v>105</v>
      </c>
      <c r="F283" s="63">
        <v>4</v>
      </c>
      <c r="G283" s="142">
        <v>5</v>
      </c>
      <c r="H283" s="63" t="s">
        <v>333</v>
      </c>
      <c r="I283" s="63">
        <v>3</v>
      </c>
      <c r="J283" s="63" t="s">
        <v>222</v>
      </c>
      <c r="K283" s="63" t="s">
        <v>16</v>
      </c>
      <c r="L283" s="63">
        <v>2009</v>
      </c>
    </row>
    <row r="284" spans="1:12" ht="20.25" customHeight="1" x14ac:dyDescent="0.3">
      <c r="A284" s="90" t="s">
        <v>791</v>
      </c>
      <c r="B284" s="84"/>
      <c r="C284" s="7" t="s">
        <v>790</v>
      </c>
      <c r="D284" s="85" t="s">
        <v>183</v>
      </c>
      <c r="E284" s="86" t="s">
        <v>110</v>
      </c>
      <c r="F284" s="63">
        <v>6</v>
      </c>
      <c r="G284" s="142">
        <v>7</v>
      </c>
      <c r="H284" s="63" t="s">
        <v>443</v>
      </c>
      <c r="I284" s="63">
        <v>4</v>
      </c>
      <c r="J284" s="63" t="s">
        <v>841</v>
      </c>
      <c r="K284" s="63" t="s">
        <v>16</v>
      </c>
      <c r="L284" s="63" t="s">
        <v>338</v>
      </c>
    </row>
    <row r="285" spans="1:12" ht="20.25" customHeight="1" x14ac:dyDescent="0.3">
      <c r="A285" s="90" t="s">
        <v>791</v>
      </c>
      <c r="B285" s="84"/>
      <c r="C285" s="7" t="s">
        <v>790</v>
      </c>
      <c r="D285" s="85" t="s">
        <v>183</v>
      </c>
      <c r="E285" s="86" t="s">
        <v>110</v>
      </c>
      <c r="F285" s="63">
        <v>6</v>
      </c>
      <c r="G285" s="142">
        <v>9</v>
      </c>
      <c r="H285" s="63" t="s">
        <v>443</v>
      </c>
      <c r="I285" s="63">
        <v>5</v>
      </c>
      <c r="J285" s="63" t="s">
        <v>841</v>
      </c>
      <c r="K285" s="63" t="s">
        <v>16</v>
      </c>
      <c r="L285" s="63" t="s">
        <v>338</v>
      </c>
    </row>
    <row r="286" spans="1:12" ht="20.25" customHeight="1" x14ac:dyDescent="0.3">
      <c r="A286" s="90" t="s">
        <v>689</v>
      </c>
      <c r="B286" s="84"/>
      <c r="C286" s="7" t="s">
        <v>688</v>
      </c>
      <c r="D286" s="85" t="s">
        <v>65</v>
      </c>
      <c r="E286" s="86" t="s">
        <v>110</v>
      </c>
      <c r="F286" s="63">
        <v>6</v>
      </c>
      <c r="G286" s="142">
        <v>9</v>
      </c>
      <c r="H286" s="63" t="s">
        <v>345</v>
      </c>
      <c r="I286" s="63">
        <v>5</v>
      </c>
      <c r="J286" s="63" t="s">
        <v>346</v>
      </c>
      <c r="K286" s="63" t="s">
        <v>16</v>
      </c>
      <c r="L286" s="63" t="s">
        <v>848</v>
      </c>
    </row>
    <row r="287" spans="1:12" ht="20.25" customHeight="1" x14ac:dyDescent="0.3">
      <c r="A287" s="90" t="s">
        <v>288</v>
      </c>
      <c r="B287" s="84"/>
      <c r="C287" s="7" t="s">
        <v>287</v>
      </c>
      <c r="D287" s="85" t="s">
        <v>184</v>
      </c>
      <c r="E287" s="86" t="s">
        <v>106</v>
      </c>
      <c r="F287" s="63">
        <v>6</v>
      </c>
      <c r="G287" s="142">
        <v>4</v>
      </c>
      <c r="H287" s="63" t="s">
        <v>527</v>
      </c>
      <c r="I287" s="63">
        <v>2</v>
      </c>
      <c r="J287" s="63" t="s">
        <v>924</v>
      </c>
      <c r="K287" s="63" t="s">
        <v>16</v>
      </c>
      <c r="L287" s="63" t="s">
        <v>679</v>
      </c>
    </row>
    <row r="288" spans="1:12" ht="20.25" customHeight="1" x14ac:dyDescent="0.3">
      <c r="A288" s="90" t="s">
        <v>455</v>
      </c>
      <c r="B288" s="84"/>
      <c r="C288" s="7" t="s">
        <v>454</v>
      </c>
      <c r="D288" s="85" t="s">
        <v>29</v>
      </c>
      <c r="E288" s="86" t="s">
        <v>106</v>
      </c>
      <c r="F288" s="63">
        <v>6</v>
      </c>
      <c r="G288" s="142">
        <v>7</v>
      </c>
      <c r="H288" s="63" t="s">
        <v>535</v>
      </c>
      <c r="I288" s="63">
        <v>4</v>
      </c>
      <c r="J288" s="63" t="s">
        <v>536</v>
      </c>
      <c r="K288" s="63" t="s">
        <v>16</v>
      </c>
      <c r="L288" s="63" t="s">
        <v>347</v>
      </c>
    </row>
    <row r="289" spans="1:12" ht="20.25" customHeight="1" x14ac:dyDescent="0.3">
      <c r="A289" s="90" t="s">
        <v>472</v>
      </c>
      <c r="B289" s="84"/>
      <c r="C289" s="7" t="s">
        <v>471</v>
      </c>
      <c r="D289" s="85" t="s">
        <v>29</v>
      </c>
      <c r="E289" s="86" t="s">
        <v>110</v>
      </c>
      <c r="F289" s="63">
        <v>6</v>
      </c>
      <c r="G289" s="142">
        <v>8</v>
      </c>
      <c r="H289" s="63" t="s">
        <v>280</v>
      </c>
      <c r="I289" s="63">
        <v>4</v>
      </c>
      <c r="J289" s="63" t="s">
        <v>344</v>
      </c>
      <c r="K289" s="63" t="s">
        <v>16</v>
      </c>
      <c r="L289" s="63" t="s">
        <v>338</v>
      </c>
    </row>
    <row r="290" spans="1:12" ht="20.25" customHeight="1" x14ac:dyDescent="0.3">
      <c r="A290" s="90" t="s">
        <v>748</v>
      </c>
      <c r="B290" s="84"/>
      <c r="C290" s="7" t="s">
        <v>747</v>
      </c>
      <c r="D290" s="85" t="s">
        <v>102</v>
      </c>
      <c r="E290" s="86" t="s">
        <v>110</v>
      </c>
      <c r="F290" s="63">
        <v>12</v>
      </c>
      <c r="G290" s="142">
        <v>9</v>
      </c>
      <c r="H290" s="63" t="s">
        <v>340</v>
      </c>
      <c r="I290" s="63">
        <v>5</v>
      </c>
      <c r="J290" s="63" t="s">
        <v>449</v>
      </c>
      <c r="K290" s="63" t="s">
        <v>16</v>
      </c>
      <c r="L290" s="63" t="s">
        <v>361</v>
      </c>
    </row>
    <row r="291" spans="1:12" ht="20.25" customHeight="1" x14ac:dyDescent="0.3">
      <c r="A291" s="90" t="s">
        <v>742</v>
      </c>
      <c r="B291" s="84"/>
      <c r="C291" s="7" t="s">
        <v>741</v>
      </c>
      <c r="D291" s="85" t="s">
        <v>102</v>
      </c>
      <c r="E291" s="86" t="s">
        <v>110</v>
      </c>
      <c r="F291" s="63">
        <v>6</v>
      </c>
      <c r="G291" s="142">
        <v>7</v>
      </c>
      <c r="H291" s="63" t="s">
        <v>346</v>
      </c>
      <c r="I291" s="63">
        <v>4</v>
      </c>
      <c r="J291" s="63" t="s">
        <v>531</v>
      </c>
      <c r="K291" s="63" t="s">
        <v>16</v>
      </c>
      <c r="L291" s="63" t="s">
        <v>848</v>
      </c>
    </row>
    <row r="292" spans="1:12" ht="20.25" customHeight="1" x14ac:dyDescent="0.3">
      <c r="A292" s="90" t="s">
        <v>496</v>
      </c>
      <c r="B292" s="84"/>
      <c r="C292" s="7" t="s">
        <v>495</v>
      </c>
      <c r="D292" s="85" t="s">
        <v>29</v>
      </c>
      <c r="E292" s="86" t="s">
        <v>110</v>
      </c>
      <c r="F292" s="63">
        <v>6</v>
      </c>
      <c r="G292" s="142">
        <v>8</v>
      </c>
      <c r="H292" s="63" t="s">
        <v>366</v>
      </c>
      <c r="I292" s="63">
        <v>4</v>
      </c>
      <c r="J292" s="63" t="s">
        <v>376</v>
      </c>
      <c r="K292" s="63" t="s">
        <v>16</v>
      </c>
      <c r="L292" s="63" t="s">
        <v>362</v>
      </c>
    </row>
    <row r="293" spans="1:12" ht="20.25" customHeight="1" x14ac:dyDescent="0.3">
      <c r="A293" s="90" t="s">
        <v>228</v>
      </c>
      <c r="B293" s="84"/>
      <c r="C293" s="7" t="s">
        <v>227</v>
      </c>
      <c r="D293" s="85" t="s">
        <v>29</v>
      </c>
      <c r="E293" s="86" t="s">
        <v>106</v>
      </c>
      <c r="F293" s="63">
        <v>8</v>
      </c>
      <c r="G293" s="142">
        <v>5</v>
      </c>
      <c r="H293" s="63" t="s">
        <v>370</v>
      </c>
      <c r="I293" s="63">
        <v>3</v>
      </c>
      <c r="J293" s="63" t="s">
        <v>569</v>
      </c>
      <c r="K293" s="63" t="s">
        <v>16</v>
      </c>
      <c r="L293" s="63" t="s">
        <v>362</v>
      </c>
    </row>
    <row r="294" spans="1:12" ht="20.25" customHeight="1" x14ac:dyDescent="0.3">
      <c r="A294" s="90" t="s">
        <v>488</v>
      </c>
      <c r="B294" s="84"/>
      <c r="C294" s="7" t="s">
        <v>487</v>
      </c>
      <c r="D294" s="85" t="s">
        <v>29</v>
      </c>
      <c r="E294" s="86" t="s">
        <v>110</v>
      </c>
      <c r="F294" s="63">
        <v>6</v>
      </c>
      <c r="G294" s="142">
        <v>8</v>
      </c>
      <c r="H294" s="63" t="s">
        <v>366</v>
      </c>
      <c r="I294" s="63">
        <v>4</v>
      </c>
      <c r="J294" s="63" t="s">
        <v>376</v>
      </c>
      <c r="K294" s="63" t="s">
        <v>16</v>
      </c>
      <c r="L294" s="63" t="s">
        <v>362</v>
      </c>
    </row>
    <row r="295" spans="1:12" ht="20.25" customHeight="1" x14ac:dyDescent="0.3">
      <c r="A295" s="90" t="s">
        <v>70</v>
      </c>
      <c r="B295" s="84"/>
      <c r="C295" s="7" t="s">
        <v>456</v>
      </c>
      <c r="D295" s="85" t="s">
        <v>29</v>
      </c>
      <c r="E295" s="86" t="s">
        <v>110</v>
      </c>
      <c r="F295" s="63">
        <v>6</v>
      </c>
      <c r="G295" s="142">
        <v>7</v>
      </c>
      <c r="H295" s="63" t="s">
        <v>353</v>
      </c>
      <c r="I295" s="63">
        <v>4</v>
      </c>
      <c r="J295" s="63" t="s">
        <v>360</v>
      </c>
      <c r="K295" s="63" t="s">
        <v>16</v>
      </c>
      <c r="L295" s="63" t="s">
        <v>352</v>
      </c>
    </row>
    <row r="296" spans="1:12" ht="20.25" customHeight="1" x14ac:dyDescent="0.3">
      <c r="A296" s="90" t="s">
        <v>453</v>
      </c>
      <c r="B296" s="84"/>
      <c r="C296" s="7" t="s">
        <v>452</v>
      </c>
      <c r="D296" s="85" t="s">
        <v>29</v>
      </c>
      <c r="E296" s="86" t="s">
        <v>106</v>
      </c>
      <c r="F296" s="63">
        <v>6</v>
      </c>
      <c r="G296" s="142">
        <v>7</v>
      </c>
      <c r="H296" s="63" t="s">
        <v>280</v>
      </c>
      <c r="I296" s="63">
        <v>4</v>
      </c>
      <c r="J296" s="63" t="s">
        <v>344</v>
      </c>
      <c r="K296" s="63" t="s">
        <v>16</v>
      </c>
      <c r="L296" s="63" t="s">
        <v>338</v>
      </c>
    </row>
    <row r="297" spans="1:12" ht="20.25" customHeight="1" x14ac:dyDescent="0.3">
      <c r="A297" s="90" t="s">
        <v>751</v>
      </c>
      <c r="B297" s="84"/>
      <c r="C297" s="7" t="s">
        <v>750</v>
      </c>
      <c r="D297" s="85" t="s">
        <v>103</v>
      </c>
      <c r="E297" s="86" t="s">
        <v>110</v>
      </c>
      <c r="F297" s="63">
        <v>12</v>
      </c>
      <c r="G297" s="142">
        <v>7</v>
      </c>
      <c r="H297" s="63" t="s">
        <v>335</v>
      </c>
      <c r="I297" s="63">
        <v>4</v>
      </c>
      <c r="J297" s="63" t="s">
        <v>655</v>
      </c>
      <c r="K297" s="63" t="s">
        <v>16</v>
      </c>
      <c r="L297" s="63" t="s">
        <v>849</v>
      </c>
    </row>
    <row r="298" spans="1:12" ht="20.25" customHeight="1" x14ac:dyDescent="0.3">
      <c r="A298" s="90" t="s">
        <v>751</v>
      </c>
      <c r="B298" s="84"/>
      <c r="C298" s="7" t="s">
        <v>750</v>
      </c>
      <c r="D298" s="85" t="s">
        <v>183</v>
      </c>
      <c r="E298" s="86" t="s">
        <v>110</v>
      </c>
      <c r="F298" s="63">
        <v>12</v>
      </c>
      <c r="G298" s="142">
        <v>9</v>
      </c>
      <c r="H298" s="63" t="s">
        <v>851</v>
      </c>
      <c r="I298" s="63">
        <v>5</v>
      </c>
      <c r="J298" s="63" t="s">
        <v>346</v>
      </c>
      <c r="K298" s="63" t="s">
        <v>16</v>
      </c>
      <c r="L298" s="63" t="s">
        <v>526</v>
      </c>
    </row>
    <row r="299" spans="1:12" ht="20.25" customHeight="1" x14ac:dyDescent="0.3">
      <c r="A299" s="90" t="s">
        <v>113</v>
      </c>
      <c r="B299" s="84"/>
      <c r="C299" s="7" t="s">
        <v>112</v>
      </c>
      <c r="D299" s="85" t="s">
        <v>21</v>
      </c>
      <c r="E299" s="86" t="s">
        <v>106</v>
      </c>
      <c r="F299" s="63">
        <v>6</v>
      </c>
      <c r="G299" s="142">
        <v>5</v>
      </c>
      <c r="H299" s="63" t="s">
        <v>349</v>
      </c>
      <c r="I299" s="63">
        <v>3</v>
      </c>
      <c r="J299" s="63" t="s">
        <v>348</v>
      </c>
      <c r="K299" s="63" t="s">
        <v>16</v>
      </c>
      <c r="L299" s="63" t="s">
        <v>347</v>
      </c>
    </row>
    <row r="300" spans="1:12" ht="20.25" customHeight="1" x14ac:dyDescent="0.3">
      <c r="A300" s="90" t="s">
        <v>113</v>
      </c>
      <c r="B300" s="84"/>
      <c r="C300" s="7" t="s">
        <v>112</v>
      </c>
      <c r="D300" s="85" t="s">
        <v>183</v>
      </c>
      <c r="E300" s="86" t="s">
        <v>106</v>
      </c>
      <c r="F300" s="63">
        <v>6</v>
      </c>
      <c r="G300" s="142">
        <v>6</v>
      </c>
      <c r="H300" s="63">
        <v>1</v>
      </c>
      <c r="I300" s="63">
        <v>3</v>
      </c>
      <c r="J300" s="63">
        <v>2</v>
      </c>
      <c r="K300" s="63" t="s">
        <v>16</v>
      </c>
      <c r="L300" s="63">
        <v>2014</v>
      </c>
    </row>
    <row r="301" spans="1:12" ht="20.25" customHeight="1" x14ac:dyDescent="0.3">
      <c r="A301" s="90" t="s">
        <v>139</v>
      </c>
      <c r="B301" s="84"/>
      <c r="C301" s="7" t="s">
        <v>138</v>
      </c>
      <c r="D301" s="85" t="s">
        <v>182</v>
      </c>
      <c r="E301" s="86" t="s">
        <v>105</v>
      </c>
      <c r="F301" s="63">
        <v>8</v>
      </c>
      <c r="G301" s="142">
        <v>4</v>
      </c>
      <c r="H301" s="63" t="s">
        <v>851</v>
      </c>
      <c r="I301" s="63">
        <v>2</v>
      </c>
      <c r="J301" s="63" t="s">
        <v>346</v>
      </c>
      <c r="K301" s="63" t="s">
        <v>16</v>
      </c>
      <c r="L301" s="63" t="s">
        <v>526</v>
      </c>
    </row>
    <row r="302" spans="1:12" ht="20.25" customHeight="1" x14ac:dyDescent="0.3">
      <c r="A302" s="90" t="s">
        <v>243</v>
      </c>
      <c r="B302" s="84"/>
      <c r="C302" s="7" t="s">
        <v>242</v>
      </c>
      <c r="D302" s="85" t="s">
        <v>21</v>
      </c>
      <c r="E302" s="86" t="s">
        <v>110</v>
      </c>
      <c r="F302" s="63">
        <v>12</v>
      </c>
      <c r="G302" s="142">
        <v>7</v>
      </c>
      <c r="H302" s="63" t="s">
        <v>370</v>
      </c>
      <c r="I302" s="63">
        <v>4</v>
      </c>
      <c r="J302" s="63" t="s">
        <v>371</v>
      </c>
      <c r="K302" s="63" t="s">
        <v>16</v>
      </c>
      <c r="L302" s="63" t="s">
        <v>362</v>
      </c>
    </row>
    <row r="303" spans="1:12" ht="20.25" customHeight="1" x14ac:dyDescent="0.3">
      <c r="A303" s="90" t="s">
        <v>712</v>
      </c>
      <c r="B303" s="84"/>
      <c r="C303" s="7" t="s">
        <v>711</v>
      </c>
      <c r="D303" s="85" t="s">
        <v>101</v>
      </c>
      <c r="E303" s="86" t="s">
        <v>110</v>
      </c>
      <c r="F303" s="63">
        <v>12</v>
      </c>
      <c r="G303" s="142">
        <v>9</v>
      </c>
      <c r="H303" s="63" t="s">
        <v>530</v>
      </c>
      <c r="I303" s="63">
        <v>5</v>
      </c>
      <c r="J303" s="63" t="s">
        <v>721</v>
      </c>
      <c r="K303" s="63" t="s">
        <v>16</v>
      </c>
      <c r="L303" s="63" t="s">
        <v>856</v>
      </c>
    </row>
    <row r="304" spans="1:12" ht="20.25" customHeight="1" x14ac:dyDescent="0.3">
      <c r="A304" s="90" t="s">
        <v>674</v>
      </c>
      <c r="B304" s="84"/>
      <c r="C304" s="7" t="s">
        <v>673</v>
      </c>
      <c r="D304" s="85" t="s">
        <v>763</v>
      </c>
      <c r="E304" s="86" t="s">
        <v>110</v>
      </c>
      <c r="F304" s="63">
        <v>6</v>
      </c>
      <c r="G304" s="142">
        <v>8</v>
      </c>
      <c r="H304" s="63" t="s">
        <v>349</v>
      </c>
      <c r="I304" s="63">
        <v>4</v>
      </c>
      <c r="J304" s="63" t="s">
        <v>349</v>
      </c>
      <c r="K304" s="63" t="s">
        <v>16</v>
      </c>
      <c r="L304" s="63" t="s">
        <v>679</v>
      </c>
    </row>
    <row r="305" spans="1:12" ht="20.25" customHeight="1" x14ac:dyDescent="0.3">
      <c r="A305" s="90" t="s">
        <v>498</v>
      </c>
      <c r="B305" s="84"/>
      <c r="C305" s="7" t="s">
        <v>497</v>
      </c>
      <c r="D305" s="85" t="s">
        <v>29</v>
      </c>
      <c r="E305" s="86" t="s">
        <v>110</v>
      </c>
      <c r="F305" s="63">
        <v>12</v>
      </c>
      <c r="G305" s="142">
        <v>9</v>
      </c>
      <c r="H305" s="63" t="s">
        <v>370</v>
      </c>
      <c r="I305" s="63">
        <v>5</v>
      </c>
      <c r="J305" s="63" t="s">
        <v>573</v>
      </c>
      <c r="K305" s="63" t="s">
        <v>16</v>
      </c>
      <c r="L305" s="63" t="s">
        <v>362</v>
      </c>
    </row>
    <row r="306" spans="1:12" ht="20.25" customHeight="1" x14ac:dyDescent="0.3">
      <c r="A306" s="90" t="s">
        <v>599</v>
      </c>
      <c r="B306" s="84"/>
      <c r="C306" s="7" t="s">
        <v>598</v>
      </c>
      <c r="D306" s="85" t="s">
        <v>32</v>
      </c>
      <c r="E306" s="86" t="s">
        <v>110</v>
      </c>
      <c r="F306" s="63">
        <v>6</v>
      </c>
      <c r="G306" s="142">
        <v>8</v>
      </c>
      <c r="H306" s="63" t="s">
        <v>370</v>
      </c>
      <c r="I306" s="63">
        <v>4</v>
      </c>
      <c r="J306" s="63" t="s">
        <v>573</v>
      </c>
      <c r="K306" s="63" t="s">
        <v>16</v>
      </c>
      <c r="L306" s="63" t="s">
        <v>362</v>
      </c>
    </row>
    <row r="307" spans="1:12" ht="20.25" customHeight="1" x14ac:dyDescent="0.3">
      <c r="A307" s="90" t="s">
        <v>426</v>
      </c>
      <c r="B307" s="84"/>
      <c r="C307" s="7" t="s">
        <v>425</v>
      </c>
      <c r="D307" s="85" t="s">
        <v>183</v>
      </c>
      <c r="E307" s="86" t="s">
        <v>110</v>
      </c>
      <c r="F307" s="63">
        <v>6</v>
      </c>
      <c r="G307" s="142">
        <v>8</v>
      </c>
      <c r="H307" s="63" t="s">
        <v>873</v>
      </c>
      <c r="I307" s="63">
        <v>4</v>
      </c>
      <c r="J307" s="63" t="s">
        <v>883</v>
      </c>
      <c r="K307" s="63" t="s">
        <v>16</v>
      </c>
      <c r="L307" s="63" t="s">
        <v>362</v>
      </c>
    </row>
    <row r="308" spans="1:12" ht="20.25" customHeight="1" x14ac:dyDescent="0.3">
      <c r="A308" s="90" t="s">
        <v>726</v>
      </c>
      <c r="B308" s="84"/>
      <c r="C308" s="7" t="s">
        <v>725</v>
      </c>
      <c r="D308" s="85" t="s">
        <v>27</v>
      </c>
      <c r="E308" s="86" t="s">
        <v>110</v>
      </c>
      <c r="F308" s="63">
        <v>6</v>
      </c>
      <c r="G308" s="142">
        <v>8</v>
      </c>
      <c r="H308" s="63" t="s">
        <v>345</v>
      </c>
      <c r="I308" s="63">
        <v>4</v>
      </c>
      <c r="J308" s="63" t="s">
        <v>346</v>
      </c>
      <c r="K308" s="63" t="s">
        <v>16</v>
      </c>
      <c r="L308" s="63" t="s">
        <v>848</v>
      </c>
    </row>
    <row r="309" spans="1:12" ht="20.25" customHeight="1" x14ac:dyDescent="0.3">
      <c r="A309" s="90" t="s">
        <v>326</v>
      </c>
      <c r="B309" s="84"/>
      <c r="C309" s="7" t="s">
        <v>325</v>
      </c>
      <c r="D309" s="85" t="s">
        <v>21</v>
      </c>
      <c r="E309" s="86" t="s">
        <v>110</v>
      </c>
      <c r="F309" s="63">
        <v>6</v>
      </c>
      <c r="G309" s="142">
        <v>7</v>
      </c>
      <c r="H309" s="63" t="s">
        <v>341</v>
      </c>
      <c r="I309" s="63">
        <v>4</v>
      </c>
      <c r="J309" s="63" t="s">
        <v>342</v>
      </c>
      <c r="K309" s="63" t="s">
        <v>16</v>
      </c>
      <c r="L309" s="63" t="s">
        <v>338</v>
      </c>
    </row>
    <row r="310" spans="1:12" ht="20.25" customHeight="1" x14ac:dyDescent="0.3">
      <c r="A310" s="90" t="s">
        <v>422</v>
      </c>
      <c r="B310" s="84"/>
      <c r="C310" s="7" t="s">
        <v>421</v>
      </c>
      <c r="D310" s="85" t="s">
        <v>183</v>
      </c>
      <c r="E310" s="86" t="s">
        <v>110</v>
      </c>
      <c r="F310" s="63">
        <v>6</v>
      </c>
      <c r="G310" s="142">
        <v>8</v>
      </c>
      <c r="H310" s="63" t="s">
        <v>868</v>
      </c>
      <c r="I310" s="63">
        <v>4</v>
      </c>
      <c r="J310" s="63" t="s">
        <v>883</v>
      </c>
      <c r="K310" s="63" t="s">
        <v>16</v>
      </c>
      <c r="L310" s="63" t="s">
        <v>362</v>
      </c>
    </row>
    <row r="311" spans="1:12" ht="20.25" customHeight="1" x14ac:dyDescent="0.3">
      <c r="A311" s="90" t="s">
        <v>521</v>
      </c>
      <c r="B311" s="84"/>
      <c r="C311" s="7" t="s">
        <v>520</v>
      </c>
      <c r="D311" s="85" t="s">
        <v>29</v>
      </c>
      <c r="E311" s="86" t="s">
        <v>110</v>
      </c>
      <c r="F311" s="63">
        <v>6</v>
      </c>
      <c r="G311" s="142">
        <v>8</v>
      </c>
      <c r="H311" s="63" t="s">
        <v>346</v>
      </c>
      <c r="I311" s="63">
        <v>4</v>
      </c>
      <c r="J311" s="63" t="s">
        <v>345</v>
      </c>
      <c r="K311" s="63" t="s">
        <v>16</v>
      </c>
      <c r="L311" s="63" t="s">
        <v>356</v>
      </c>
    </row>
    <row r="312" spans="1:12" ht="20.25" customHeight="1" x14ac:dyDescent="0.3">
      <c r="A312" s="90" t="s">
        <v>575</v>
      </c>
      <c r="B312" s="84"/>
      <c r="C312" s="7" t="s">
        <v>574</v>
      </c>
      <c r="D312" s="85" t="s">
        <v>31</v>
      </c>
      <c r="E312" s="86" t="s">
        <v>106</v>
      </c>
      <c r="F312" s="63">
        <v>6</v>
      </c>
      <c r="G312" s="142">
        <v>6</v>
      </c>
      <c r="H312" s="63" t="s">
        <v>332</v>
      </c>
      <c r="I312" s="63">
        <v>3</v>
      </c>
      <c r="J312" s="63" t="s">
        <v>332</v>
      </c>
      <c r="K312" s="63" t="s">
        <v>16</v>
      </c>
      <c r="L312" s="63">
        <v>2014</v>
      </c>
    </row>
    <row r="313" spans="1:12" ht="20.25" customHeight="1" x14ac:dyDescent="0.3">
      <c r="A313" s="90" t="s">
        <v>290</v>
      </c>
      <c r="B313" s="84"/>
      <c r="C313" s="7" t="s">
        <v>289</v>
      </c>
      <c r="D313" s="85" t="s">
        <v>183</v>
      </c>
      <c r="E313" s="86" t="s">
        <v>105</v>
      </c>
      <c r="F313" s="63">
        <v>6</v>
      </c>
      <c r="G313" s="142">
        <v>5</v>
      </c>
      <c r="H313" s="63" t="s">
        <v>527</v>
      </c>
      <c r="I313" s="63">
        <v>3</v>
      </c>
      <c r="J313" s="63" t="s">
        <v>528</v>
      </c>
      <c r="K313" s="63" t="s">
        <v>16</v>
      </c>
      <c r="L313" s="63" t="s">
        <v>679</v>
      </c>
    </row>
    <row r="314" spans="1:12" ht="20.25" customHeight="1" x14ac:dyDescent="0.3">
      <c r="A314" s="90" t="s">
        <v>846</v>
      </c>
      <c r="B314" s="84"/>
      <c r="C314" s="7" t="s">
        <v>845</v>
      </c>
      <c r="D314" s="85" t="s">
        <v>183</v>
      </c>
      <c r="E314" s="86" t="s">
        <v>105</v>
      </c>
      <c r="F314" s="63">
        <v>6</v>
      </c>
      <c r="G314" s="142">
        <v>8</v>
      </c>
      <c r="H314" s="63" t="s">
        <v>534</v>
      </c>
      <c r="I314" s="63">
        <v>4</v>
      </c>
      <c r="J314" s="63" t="s">
        <v>533</v>
      </c>
      <c r="K314" s="63" t="s">
        <v>16</v>
      </c>
      <c r="L314" s="63" t="s">
        <v>369</v>
      </c>
    </row>
    <row r="315" spans="1:12" ht="20.25" customHeight="1" x14ac:dyDescent="0.3">
      <c r="A315" s="90" t="s">
        <v>793</v>
      </c>
      <c r="B315" s="84"/>
      <c r="C315" s="7" t="s">
        <v>792</v>
      </c>
      <c r="D315" s="85" t="s">
        <v>183</v>
      </c>
      <c r="E315" s="86" t="s">
        <v>110</v>
      </c>
      <c r="F315" s="63">
        <v>6</v>
      </c>
      <c r="G315" s="142">
        <v>7</v>
      </c>
      <c r="H315" s="63" t="s">
        <v>871</v>
      </c>
      <c r="I315" s="63">
        <v>4</v>
      </c>
      <c r="J315" s="63" t="s">
        <v>872</v>
      </c>
      <c r="K315" s="63" t="s">
        <v>16</v>
      </c>
      <c r="L315" s="63" t="s">
        <v>870</v>
      </c>
    </row>
    <row r="316" spans="1:12" ht="20.25" customHeight="1" x14ac:dyDescent="0.3">
      <c r="A316" s="90" t="s">
        <v>765</v>
      </c>
      <c r="B316" s="84"/>
      <c r="C316" s="7" t="s">
        <v>764</v>
      </c>
      <c r="D316" s="85" t="s">
        <v>104</v>
      </c>
      <c r="E316" s="86" t="s">
        <v>110</v>
      </c>
      <c r="F316" s="63">
        <v>6</v>
      </c>
      <c r="G316" s="142">
        <v>9</v>
      </c>
      <c r="H316" s="63" t="s">
        <v>333</v>
      </c>
      <c r="I316" s="63">
        <v>5</v>
      </c>
      <c r="J316" s="63" t="s">
        <v>200</v>
      </c>
      <c r="K316" s="63" t="s">
        <v>16</v>
      </c>
      <c r="L316" s="63">
        <v>2014</v>
      </c>
    </row>
    <row r="317" spans="1:12" ht="20.25" customHeight="1" x14ac:dyDescent="0.3">
      <c r="A317" s="90" t="s">
        <v>793</v>
      </c>
      <c r="B317" s="84"/>
      <c r="C317" s="7" t="s">
        <v>792</v>
      </c>
      <c r="D317" s="85" t="s">
        <v>183</v>
      </c>
      <c r="E317" s="86" t="s">
        <v>110</v>
      </c>
      <c r="F317" s="63">
        <v>6</v>
      </c>
      <c r="G317" s="142">
        <v>9</v>
      </c>
      <c r="H317" s="63" t="s">
        <v>871</v>
      </c>
      <c r="I317" s="63">
        <v>5</v>
      </c>
      <c r="J317" s="63" t="s">
        <v>872</v>
      </c>
      <c r="K317" s="63" t="s">
        <v>16</v>
      </c>
      <c r="L317" s="63" t="s">
        <v>870</v>
      </c>
    </row>
    <row r="318" spans="1:12" ht="20.25" customHeight="1" x14ac:dyDescent="0.3">
      <c r="A318" s="90" t="s">
        <v>432</v>
      </c>
      <c r="B318" s="84"/>
      <c r="C318" s="7" t="s">
        <v>431</v>
      </c>
      <c r="D318" s="85" t="s">
        <v>183</v>
      </c>
      <c r="E318" s="86" t="s">
        <v>110</v>
      </c>
      <c r="F318" s="63">
        <v>6</v>
      </c>
      <c r="G318" s="142">
        <v>8</v>
      </c>
      <c r="H318" s="63" t="s">
        <v>533</v>
      </c>
      <c r="I318" s="63">
        <v>4</v>
      </c>
      <c r="J318" s="63" t="s">
        <v>533</v>
      </c>
      <c r="K318" s="63" t="s">
        <v>16</v>
      </c>
      <c r="L318" s="63" t="s">
        <v>369</v>
      </c>
    </row>
    <row r="319" spans="1:12" ht="20.25" customHeight="1" x14ac:dyDescent="0.3">
      <c r="A319" s="90" t="s">
        <v>209</v>
      </c>
      <c r="B319" s="84"/>
      <c r="C319" s="7" t="s">
        <v>208</v>
      </c>
      <c r="D319" s="85" t="s">
        <v>183</v>
      </c>
      <c r="E319" s="86" t="s">
        <v>106</v>
      </c>
      <c r="F319" s="63">
        <v>6</v>
      </c>
      <c r="G319" s="142">
        <v>5</v>
      </c>
      <c r="H319" s="63" t="s">
        <v>527</v>
      </c>
      <c r="I319" s="63">
        <v>3</v>
      </c>
      <c r="J319" s="63" t="s">
        <v>854</v>
      </c>
      <c r="K319" s="63" t="s">
        <v>16</v>
      </c>
      <c r="L319" s="63" t="s">
        <v>679</v>
      </c>
    </row>
    <row r="320" spans="1:12" ht="20.25" customHeight="1" x14ac:dyDescent="0.3">
      <c r="A320" s="90" t="s">
        <v>378</v>
      </c>
      <c r="B320" s="84"/>
      <c r="C320" s="7" t="s">
        <v>377</v>
      </c>
      <c r="D320" s="85" t="s">
        <v>183</v>
      </c>
      <c r="E320" s="86" t="s">
        <v>106</v>
      </c>
      <c r="F320" s="63">
        <v>4</v>
      </c>
      <c r="G320" s="142">
        <v>5</v>
      </c>
      <c r="H320" s="63" t="s">
        <v>527</v>
      </c>
      <c r="I320" s="63">
        <v>3</v>
      </c>
      <c r="J320" s="63" t="s">
        <v>854</v>
      </c>
      <c r="K320" s="63" t="s">
        <v>16</v>
      </c>
      <c r="L320" s="63" t="s">
        <v>526</v>
      </c>
    </row>
    <row r="321" spans="1:12" ht="20.25" customHeight="1" x14ac:dyDescent="0.3">
      <c r="A321" s="90" t="s">
        <v>380</v>
      </c>
      <c r="B321" s="84"/>
      <c r="C321" s="7" t="s">
        <v>379</v>
      </c>
      <c r="D321" s="85" t="s">
        <v>183</v>
      </c>
      <c r="E321" s="86" t="s">
        <v>106</v>
      </c>
      <c r="F321" s="63">
        <v>4</v>
      </c>
      <c r="G321" s="142">
        <v>6</v>
      </c>
      <c r="H321" s="63" t="s">
        <v>534</v>
      </c>
      <c r="I321" s="63">
        <v>3</v>
      </c>
      <c r="J321" s="63" t="s">
        <v>863</v>
      </c>
      <c r="K321" s="63" t="s">
        <v>16</v>
      </c>
      <c r="L321" s="63" t="s">
        <v>347</v>
      </c>
    </row>
    <row r="322" spans="1:12" ht="20.25" customHeight="1" x14ac:dyDescent="0.3">
      <c r="A322" s="90" t="s">
        <v>211</v>
      </c>
      <c r="B322" s="84"/>
      <c r="C322" s="7" t="s">
        <v>210</v>
      </c>
      <c r="D322" s="85" t="s">
        <v>183</v>
      </c>
      <c r="E322" s="86" t="s">
        <v>106</v>
      </c>
      <c r="F322" s="63">
        <v>4</v>
      </c>
      <c r="G322" s="142">
        <v>6</v>
      </c>
      <c r="H322" s="63" t="s">
        <v>928</v>
      </c>
      <c r="I322" s="63">
        <v>3</v>
      </c>
      <c r="J322" s="63" t="s">
        <v>841</v>
      </c>
      <c r="K322" s="63" t="s">
        <v>16</v>
      </c>
      <c r="L322" s="63" t="s">
        <v>361</v>
      </c>
    </row>
    <row r="323" spans="1:12" ht="20.25" customHeight="1" x14ac:dyDescent="0.3">
      <c r="A323" s="90" t="s">
        <v>384</v>
      </c>
      <c r="B323" s="84"/>
      <c r="C323" s="7" t="s">
        <v>383</v>
      </c>
      <c r="D323" s="85" t="s">
        <v>183</v>
      </c>
      <c r="E323" s="86" t="s">
        <v>110</v>
      </c>
      <c r="F323" s="63">
        <v>6</v>
      </c>
      <c r="G323" s="142">
        <v>7</v>
      </c>
      <c r="H323" s="63" t="s">
        <v>868</v>
      </c>
      <c r="I323" s="63">
        <v>4</v>
      </c>
      <c r="J323" s="63" t="s">
        <v>868</v>
      </c>
      <c r="K323" s="63" t="s">
        <v>16</v>
      </c>
      <c r="L323" s="63" t="s">
        <v>362</v>
      </c>
    </row>
    <row r="324" spans="1:12" ht="20.25" customHeight="1" x14ac:dyDescent="0.3">
      <c r="A324" s="90" t="s">
        <v>708</v>
      </c>
      <c r="B324" s="84"/>
      <c r="C324" s="7" t="s">
        <v>707</v>
      </c>
      <c r="D324" s="85" t="s">
        <v>183</v>
      </c>
      <c r="E324" s="86" t="s">
        <v>110</v>
      </c>
      <c r="F324" s="63">
        <v>6</v>
      </c>
      <c r="G324" s="142">
        <v>7</v>
      </c>
      <c r="H324" s="63" t="s">
        <v>443</v>
      </c>
      <c r="I324" s="63">
        <v>4</v>
      </c>
      <c r="J324" s="63" t="s">
        <v>443</v>
      </c>
      <c r="K324" s="63" t="s">
        <v>16</v>
      </c>
      <c r="L324" s="63" t="s">
        <v>338</v>
      </c>
    </row>
    <row r="325" spans="1:12" ht="20.25" customHeight="1" x14ac:dyDescent="0.3">
      <c r="A325" s="90" t="s">
        <v>708</v>
      </c>
      <c r="B325" s="84"/>
      <c r="C325" s="7" t="s">
        <v>707</v>
      </c>
      <c r="D325" s="85" t="s">
        <v>101</v>
      </c>
      <c r="E325" s="86" t="s">
        <v>110</v>
      </c>
      <c r="F325" s="63">
        <v>6</v>
      </c>
      <c r="G325" s="142">
        <v>8</v>
      </c>
      <c r="H325" s="63" t="s">
        <v>681</v>
      </c>
      <c r="I325" s="63">
        <v>4</v>
      </c>
      <c r="J325" s="63" t="s">
        <v>346</v>
      </c>
      <c r="K325" s="63" t="s">
        <v>16</v>
      </c>
      <c r="L325" s="63" t="s">
        <v>679</v>
      </c>
    </row>
    <row r="326" spans="1:12" ht="20.25" customHeight="1" x14ac:dyDescent="0.3">
      <c r="A326" s="90" t="s">
        <v>708</v>
      </c>
      <c r="B326" s="84"/>
      <c r="C326" s="7" t="s">
        <v>707</v>
      </c>
      <c r="D326" s="85" t="s">
        <v>183</v>
      </c>
      <c r="E326" s="86" t="s">
        <v>110</v>
      </c>
      <c r="F326" s="63">
        <v>6</v>
      </c>
      <c r="G326" s="142">
        <v>9</v>
      </c>
      <c r="H326" s="63" t="s">
        <v>443</v>
      </c>
      <c r="I326" s="63">
        <v>5</v>
      </c>
      <c r="J326" s="63" t="s">
        <v>443</v>
      </c>
      <c r="K326" s="63" t="s">
        <v>16</v>
      </c>
      <c r="L326" s="63" t="s">
        <v>338</v>
      </c>
    </row>
    <row r="327" spans="1:12" ht="20.25" customHeight="1" x14ac:dyDescent="0.3">
      <c r="A327" s="90" t="s">
        <v>817</v>
      </c>
      <c r="B327" s="84"/>
      <c r="C327" s="7" t="s">
        <v>816</v>
      </c>
      <c r="D327" s="85" t="s">
        <v>183</v>
      </c>
      <c r="E327" s="86" t="s">
        <v>105</v>
      </c>
      <c r="F327" s="63">
        <v>6</v>
      </c>
      <c r="G327" s="142">
        <v>8</v>
      </c>
      <c r="H327" s="63" t="s">
        <v>444</v>
      </c>
      <c r="I327" s="63">
        <v>4</v>
      </c>
      <c r="J327" s="63" t="s">
        <v>443</v>
      </c>
      <c r="K327" s="63" t="s">
        <v>16</v>
      </c>
      <c r="L327" s="63" t="s">
        <v>338</v>
      </c>
    </row>
    <row r="328" spans="1:12" ht="20.25" customHeight="1" x14ac:dyDescent="0.3">
      <c r="A328" s="90" t="s">
        <v>718</v>
      </c>
      <c r="B328" s="84"/>
      <c r="C328" s="7" t="s">
        <v>717</v>
      </c>
      <c r="D328" s="85" t="s">
        <v>101</v>
      </c>
      <c r="E328" s="86" t="s">
        <v>110</v>
      </c>
      <c r="F328" s="63">
        <v>6</v>
      </c>
      <c r="G328" s="142">
        <v>8</v>
      </c>
      <c r="H328" s="63" t="s">
        <v>280</v>
      </c>
      <c r="I328" s="63">
        <v>4</v>
      </c>
      <c r="J328" s="63" t="s">
        <v>339</v>
      </c>
      <c r="K328" s="63" t="s">
        <v>16</v>
      </c>
      <c r="L328" s="63" t="s">
        <v>361</v>
      </c>
    </row>
    <row r="329" spans="1:12" ht="20.25" customHeight="1" x14ac:dyDescent="0.3">
      <c r="A329" s="90" t="s">
        <v>773</v>
      </c>
      <c r="B329" s="84"/>
      <c r="C329" s="7" t="s">
        <v>772</v>
      </c>
      <c r="D329" s="85" t="s">
        <v>183</v>
      </c>
      <c r="E329" s="86" t="s">
        <v>110</v>
      </c>
      <c r="F329" s="63">
        <v>6</v>
      </c>
      <c r="G329" s="142">
        <v>7</v>
      </c>
      <c r="H329" s="63" t="s">
        <v>868</v>
      </c>
      <c r="I329" s="63">
        <v>4</v>
      </c>
      <c r="J329" s="63" t="s">
        <v>869</v>
      </c>
      <c r="K329" s="63" t="s">
        <v>16</v>
      </c>
      <c r="L329" s="63" t="s">
        <v>362</v>
      </c>
    </row>
    <row r="330" spans="1:12" ht="20.25" customHeight="1" x14ac:dyDescent="0.3">
      <c r="A330" s="90" t="s">
        <v>805</v>
      </c>
      <c r="B330" s="84"/>
      <c r="C330" s="7" t="s">
        <v>804</v>
      </c>
      <c r="D330" s="85" t="s">
        <v>183</v>
      </c>
      <c r="E330" s="86" t="s">
        <v>110</v>
      </c>
      <c r="F330" s="63">
        <v>6</v>
      </c>
      <c r="G330" s="142">
        <v>8</v>
      </c>
      <c r="H330" s="63" t="s">
        <v>868</v>
      </c>
      <c r="I330" s="63">
        <v>4</v>
      </c>
      <c r="J330" s="63" t="s">
        <v>883</v>
      </c>
      <c r="K330" s="63" t="s">
        <v>16</v>
      </c>
      <c r="L330" s="63" t="s">
        <v>362</v>
      </c>
    </row>
    <row r="331" spans="1:12" ht="20.25" customHeight="1" x14ac:dyDescent="0.3">
      <c r="A331" s="90" t="s">
        <v>674</v>
      </c>
      <c r="B331" s="84"/>
      <c r="C331" s="7" t="s">
        <v>778</v>
      </c>
      <c r="D331" s="85" t="s">
        <v>183</v>
      </c>
      <c r="E331" s="86" t="s">
        <v>110</v>
      </c>
      <c r="F331" s="63">
        <v>6</v>
      </c>
      <c r="G331" s="142">
        <v>7</v>
      </c>
      <c r="H331" s="63" t="s">
        <v>444</v>
      </c>
      <c r="I331" s="63">
        <v>4</v>
      </c>
      <c r="J331" s="63" t="s">
        <v>443</v>
      </c>
      <c r="K331" s="63" t="s">
        <v>16</v>
      </c>
      <c r="L331" s="63" t="s">
        <v>338</v>
      </c>
    </row>
    <row r="332" spans="1:12" ht="20.25" customHeight="1" x14ac:dyDescent="0.3">
      <c r="A332" s="90" t="s">
        <v>674</v>
      </c>
      <c r="B332" s="84"/>
      <c r="C332" s="7" t="s">
        <v>778</v>
      </c>
      <c r="D332" s="85" t="s">
        <v>183</v>
      </c>
      <c r="E332" s="86" t="s">
        <v>110</v>
      </c>
      <c r="F332" s="63">
        <v>6</v>
      </c>
      <c r="G332" s="142">
        <v>9</v>
      </c>
      <c r="H332" s="63" t="s">
        <v>444</v>
      </c>
      <c r="I332" s="63">
        <v>5</v>
      </c>
      <c r="J332" s="63" t="s">
        <v>443</v>
      </c>
      <c r="K332" s="63" t="s">
        <v>16</v>
      </c>
      <c r="L332" s="63" t="s">
        <v>338</v>
      </c>
    </row>
    <row r="333" spans="1:12" ht="20.25" customHeight="1" x14ac:dyDescent="0.3">
      <c r="A333" s="90" t="s">
        <v>674</v>
      </c>
      <c r="B333" s="84"/>
      <c r="C333" s="7" t="s">
        <v>673</v>
      </c>
      <c r="D333" s="85" t="s">
        <v>183</v>
      </c>
      <c r="E333" s="86" t="s">
        <v>110</v>
      </c>
      <c r="F333" s="63">
        <v>6</v>
      </c>
      <c r="G333" s="142">
        <v>9</v>
      </c>
      <c r="H333" s="63">
        <v>1</v>
      </c>
      <c r="I333" s="63">
        <v>5</v>
      </c>
      <c r="J333" s="63">
        <v>2</v>
      </c>
      <c r="K333" s="63" t="s">
        <v>16</v>
      </c>
      <c r="L333" s="63">
        <v>2011</v>
      </c>
    </row>
    <row r="334" spans="1:12" ht="20.25" customHeight="1" x14ac:dyDescent="0.3">
      <c r="A334" s="90" t="s">
        <v>823</v>
      </c>
      <c r="B334" s="84"/>
      <c r="C334" s="7" t="s">
        <v>822</v>
      </c>
      <c r="D334" s="85" t="s">
        <v>183</v>
      </c>
      <c r="E334" s="86" t="s">
        <v>110</v>
      </c>
      <c r="F334" s="63">
        <v>6</v>
      </c>
      <c r="G334" s="142">
        <v>8</v>
      </c>
      <c r="H334" s="63" t="s">
        <v>528</v>
      </c>
      <c r="I334" s="63">
        <v>4</v>
      </c>
      <c r="J334" s="63" t="s">
        <v>527</v>
      </c>
      <c r="K334" s="63" t="s">
        <v>16</v>
      </c>
      <c r="L334" s="63" t="s">
        <v>526</v>
      </c>
    </row>
    <row r="335" spans="1:12" ht="20.25" customHeight="1" x14ac:dyDescent="0.3">
      <c r="A335" s="90" t="s">
        <v>672</v>
      </c>
      <c r="B335" s="84"/>
      <c r="C335" s="7" t="s">
        <v>671</v>
      </c>
      <c r="D335" s="85" t="s">
        <v>99</v>
      </c>
      <c r="E335" s="86" t="s">
        <v>110</v>
      </c>
      <c r="F335" s="63">
        <v>6</v>
      </c>
      <c r="G335" s="142">
        <v>8</v>
      </c>
      <c r="H335" s="63" t="s">
        <v>346</v>
      </c>
      <c r="I335" s="63">
        <v>4</v>
      </c>
      <c r="J335" s="63" t="s">
        <v>531</v>
      </c>
      <c r="K335" s="63" t="s">
        <v>16</v>
      </c>
      <c r="L335" s="63" t="s">
        <v>838</v>
      </c>
    </row>
    <row r="336" spans="1:12" ht="20.25" customHeight="1" x14ac:dyDescent="0.3">
      <c r="A336" s="90" t="s">
        <v>666</v>
      </c>
      <c r="B336" s="84"/>
      <c r="C336" s="7" t="s">
        <v>665</v>
      </c>
      <c r="D336" s="85" t="s">
        <v>99</v>
      </c>
      <c r="E336" s="86" t="s">
        <v>110</v>
      </c>
      <c r="F336" s="63">
        <v>6</v>
      </c>
      <c r="G336" s="142">
        <v>7</v>
      </c>
      <c r="H336" s="63" t="s">
        <v>345</v>
      </c>
      <c r="I336" s="63">
        <v>4</v>
      </c>
      <c r="J336" s="63" t="s">
        <v>531</v>
      </c>
      <c r="K336" s="63" t="s">
        <v>16</v>
      </c>
      <c r="L336" s="63" t="s">
        <v>847</v>
      </c>
    </row>
    <row r="337" spans="1:12" ht="20.25" customHeight="1" x14ac:dyDescent="0.3">
      <c r="A337" s="90" t="s">
        <v>666</v>
      </c>
      <c r="B337" s="84"/>
      <c r="C337" s="7" t="s">
        <v>665</v>
      </c>
      <c r="D337" s="85" t="s">
        <v>104</v>
      </c>
      <c r="E337" s="86" t="s">
        <v>110</v>
      </c>
      <c r="F337" s="63">
        <v>6</v>
      </c>
      <c r="G337" s="142">
        <v>9</v>
      </c>
      <c r="H337" s="63" t="s">
        <v>332</v>
      </c>
      <c r="I337" s="63">
        <v>5</v>
      </c>
      <c r="J337" s="63" t="s">
        <v>200</v>
      </c>
      <c r="K337" s="63" t="s">
        <v>16</v>
      </c>
      <c r="L337" s="63">
        <v>2014</v>
      </c>
    </row>
    <row r="338" spans="1:12" ht="20.25" customHeight="1" x14ac:dyDescent="0.3">
      <c r="A338" s="90" t="s">
        <v>562</v>
      </c>
      <c r="B338" s="84"/>
      <c r="C338" s="7" t="s">
        <v>561</v>
      </c>
      <c r="D338" s="85" t="s">
        <v>29</v>
      </c>
      <c r="E338" s="86" t="s">
        <v>110</v>
      </c>
      <c r="F338" s="63">
        <v>6</v>
      </c>
      <c r="G338" s="142">
        <v>9</v>
      </c>
      <c r="H338" s="63" t="s">
        <v>332</v>
      </c>
      <c r="I338" s="63">
        <v>5</v>
      </c>
      <c r="J338" s="63" t="s">
        <v>222</v>
      </c>
      <c r="K338" s="63" t="s">
        <v>16</v>
      </c>
      <c r="L338" s="63">
        <v>2014</v>
      </c>
    </row>
    <row r="339" spans="1:12" ht="20.25" customHeight="1" x14ac:dyDescent="0.3">
      <c r="A339" s="90" t="s">
        <v>568</v>
      </c>
      <c r="B339" s="84"/>
      <c r="C339" s="7" t="s">
        <v>567</v>
      </c>
      <c r="D339" s="85" t="s">
        <v>29</v>
      </c>
      <c r="E339" s="86" t="s">
        <v>110</v>
      </c>
      <c r="F339" s="63">
        <v>6</v>
      </c>
      <c r="G339" s="142">
        <v>9</v>
      </c>
      <c r="H339" s="63" t="s">
        <v>333</v>
      </c>
      <c r="I339" s="63">
        <v>5</v>
      </c>
      <c r="J339" s="63" t="s">
        <v>332</v>
      </c>
      <c r="K339" s="63" t="s">
        <v>16</v>
      </c>
      <c r="L339" s="63">
        <v>2014</v>
      </c>
    </row>
    <row r="340" spans="1:12" ht="20.25" customHeight="1" x14ac:dyDescent="0.3">
      <c r="A340" s="90" t="s">
        <v>508</v>
      </c>
      <c r="B340" s="84"/>
      <c r="C340" s="7" t="s">
        <v>507</v>
      </c>
      <c r="D340" s="85" t="s">
        <v>657</v>
      </c>
      <c r="E340" s="86" t="s">
        <v>110</v>
      </c>
      <c r="F340" s="63">
        <v>6</v>
      </c>
      <c r="G340" s="142">
        <v>8</v>
      </c>
      <c r="H340" s="63" t="s">
        <v>445</v>
      </c>
      <c r="I340" s="63">
        <v>4</v>
      </c>
      <c r="J340" s="63" t="s">
        <v>649</v>
      </c>
      <c r="K340" s="63" t="s">
        <v>16</v>
      </c>
      <c r="L340" s="63" t="s">
        <v>662</v>
      </c>
    </row>
    <row r="341" spans="1:12" ht="20.25" customHeight="1" x14ac:dyDescent="0.3">
      <c r="A341" s="90" t="s">
        <v>638</v>
      </c>
      <c r="B341" s="84"/>
      <c r="C341" s="7" t="s">
        <v>637</v>
      </c>
      <c r="D341" s="85" t="s">
        <v>32</v>
      </c>
      <c r="E341" s="86" t="s">
        <v>106</v>
      </c>
      <c r="F341" s="63">
        <v>2</v>
      </c>
      <c r="G341" s="142">
        <v>6</v>
      </c>
      <c r="H341" s="63" t="s">
        <v>332</v>
      </c>
      <c r="I341" s="63">
        <v>3</v>
      </c>
      <c r="J341" s="63" t="s">
        <v>222</v>
      </c>
      <c r="K341" s="63" t="s">
        <v>16</v>
      </c>
      <c r="L341" s="63">
        <v>2014</v>
      </c>
    </row>
    <row r="342" spans="1:12" ht="20.25" customHeight="1" x14ac:dyDescent="0.3">
      <c r="A342" s="90" t="s">
        <v>312</v>
      </c>
      <c r="B342" s="84"/>
      <c r="C342" s="7" t="s">
        <v>311</v>
      </c>
      <c r="D342" s="85" t="s">
        <v>32</v>
      </c>
      <c r="E342" s="86" t="s">
        <v>106</v>
      </c>
      <c r="F342" s="63">
        <v>6</v>
      </c>
      <c r="G342" s="142">
        <v>6</v>
      </c>
      <c r="H342" s="63" t="s">
        <v>530</v>
      </c>
      <c r="I342" s="63">
        <v>3</v>
      </c>
      <c r="J342" s="63" t="s">
        <v>628</v>
      </c>
      <c r="K342" s="63" t="s">
        <v>16</v>
      </c>
      <c r="L342" s="63" t="s">
        <v>356</v>
      </c>
    </row>
    <row r="343" spans="1:12" ht="20.25" customHeight="1" x14ac:dyDescent="0.3">
      <c r="A343" s="90" t="s">
        <v>831</v>
      </c>
      <c r="B343" s="84"/>
      <c r="C343" s="7" t="s">
        <v>830</v>
      </c>
      <c r="D343" s="85" t="s">
        <v>183</v>
      </c>
      <c r="E343" s="86" t="s">
        <v>110</v>
      </c>
      <c r="F343" s="63">
        <v>12</v>
      </c>
      <c r="G343" s="142">
        <v>9</v>
      </c>
      <c r="H343" s="63" t="s">
        <v>876</v>
      </c>
      <c r="I343" s="63">
        <v>5</v>
      </c>
      <c r="J343" s="63" t="s">
        <v>368</v>
      </c>
      <c r="K343" s="63" t="s">
        <v>16</v>
      </c>
      <c r="L343" s="63" t="s">
        <v>362</v>
      </c>
    </row>
    <row r="344" spans="1:12" ht="20.25" customHeight="1" x14ac:dyDescent="0.3">
      <c r="A344" s="90" t="s">
        <v>815</v>
      </c>
      <c r="B344" s="84"/>
      <c r="C344" s="7" t="s">
        <v>814</v>
      </c>
      <c r="D344" s="85" t="s">
        <v>183</v>
      </c>
      <c r="E344" s="86" t="s">
        <v>105</v>
      </c>
      <c r="F344" s="63">
        <v>6</v>
      </c>
      <c r="G344" s="142">
        <v>8</v>
      </c>
      <c r="H344" s="63" t="s">
        <v>868</v>
      </c>
      <c r="I344" s="63">
        <v>4</v>
      </c>
      <c r="J344" s="63" t="s">
        <v>884</v>
      </c>
      <c r="K344" s="63" t="s">
        <v>16</v>
      </c>
      <c r="L344" s="63" t="s">
        <v>362</v>
      </c>
    </row>
    <row r="345" spans="1:12" ht="20.25" customHeight="1" x14ac:dyDescent="0.3">
      <c r="A345" s="90" t="s">
        <v>803</v>
      </c>
      <c r="B345" s="84"/>
      <c r="C345" s="7" t="s">
        <v>802</v>
      </c>
      <c r="D345" s="85" t="s">
        <v>183</v>
      </c>
      <c r="E345" s="86" t="s">
        <v>105</v>
      </c>
      <c r="F345" s="63">
        <v>4</v>
      </c>
      <c r="G345" s="142">
        <v>7</v>
      </c>
      <c r="H345" s="63">
        <v>2</v>
      </c>
      <c r="I345" s="63">
        <v>4</v>
      </c>
      <c r="J345" s="63">
        <v>4</v>
      </c>
      <c r="K345" s="63" t="s">
        <v>16</v>
      </c>
      <c r="L345" s="63">
        <v>2009</v>
      </c>
    </row>
    <row r="346" spans="1:12" ht="20.25" customHeight="1" x14ac:dyDescent="0.3">
      <c r="A346" s="90" t="s">
        <v>585</v>
      </c>
      <c r="B346" s="84"/>
      <c r="C346" s="7" t="s">
        <v>584</v>
      </c>
      <c r="D346" s="85" t="s">
        <v>32</v>
      </c>
      <c r="E346" s="86" t="s">
        <v>106</v>
      </c>
      <c r="F346" s="63">
        <v>10</v>
      </c>
      <c r="G346" s="142">
        <v>6</v>
      </c>
      <c r="H346" s="63" t="s">
        <v>339</v>
      </c>
      <c r="I346" s="63">
        <v>3</v>
      </c>
      <c r="J346" s="63" t="s">
        <v>615</v>
      </c>
      <c r="K346" s="63" t="s">
        <v>16</v>
      </c>
      <c r="L346" s="63" t="s">
        <v>338</v>
      </c>
    </row>
    <row r="347" spans="1:12" ht="20.25" customHeight="1" x14ac:dyDescent="0.3">
      <c r="A347" s="90" t="s">
        <v>678</v>
      </c>
      <c r="B347" s="84"/>
      <c r="C347" s="7" t="s">
        <v>677</v>
      </c>
      <c r="D347" s="85" t="s">
        <v>99</v>
      </c>
      <c r="E347" s="86" t="s">
        <v>110</v>
      </c>
      <c r="F347" s="63">
        <v>6</v>
      </c>
      <c r="G347" s="142">
        <v>9</v>
      </c>
      <c r="H347" s="63" t="s">
        <v>332</v>
      </c>
      <c r="I347" s="63">
        <v>5</v>
      </c>
      <c r="J347" s="63" t="s">
        <v>222</v>
      </c>
      <c r="K347" s="63" t="s">
        <v>16</v>
      </c>
      <c r="L347" s="63">
        <v>2014</v>
      </c>
    </row>
    <row r="348" spans="1:12" ht="20.25" customHeight="1" x14ac:dyDescent="0.3">
      <c r="A348" s="90" t="s">
        <v>402</v>
      </c>
      <c r="B348" s="84"/>
      <c r="C348" s="7" t="s">
        <v>401</v>
      </c>
      <c r="D348" s="85" t="s">
        <v>183</v>
      </c>
      <c r="E348" s="86" t="s">
        <v>106</v>
      </c>
      <c r="F348" s="63">
        <v>6</v>
      </c>
      <c r="G348" s="142">
        <v>7</v>
      </c>
      <c r="H348" s="63" t="s">
        <v>862</v>
      </c>
      <c r="I348" s="63">
        <v>4</v>
      </c>
      <c r="J348" s="63" t="s">
        <v>862</v>
      </c>
      <c r="K348" s="63" t="s">
        <v>16</v>
      </c>
      <c r="L348" s="63" t="s">
        <v>347</v>
      </c>
    </row>
    <row r="349" spans="1:12" ht="20.25" customHeight="1" x14ac:dyDescent="0.3">
      <c r="A349" s="90" t="s">
        <v>614</v>
      </c>
      <c r="B349" s="84"/>
      <c r="C349" s="7" t="s">
        <v>613</v>
      </c>
      <c r="D349" s="85" t="s">
        <v>32</v>
      </c>
      <c r="E349" s="86" t="s">
        <v>110</v>
      </c>
      <c r="F349" s="63">
        <v>6</v>
      </c>
      <c r="G349" s="142">
        <v>9</v>
      </c>
      <c r="H349" s="63" t="s">
        <v>354</v>
      </c>
      <c r="I349" s="63">
        <v>5</v>
      </c>
      <c r="J349" s="63" t="s">
        <v>648</v>
      </c>
      <c r="K349" s="63" t="s">
        <v>16</v>
      </c>
      <c r="L349" s="63" t="s">
        <v>367</v>
      </c>
    </row>
    <row r="350" spans="1:12" ht="20.25" customHeight="1" x14ac:dyDescent="0.3">
      <c r="A350" s="90" t="s">
        <v>583</v>
      </c>
      <c r="B350" s="84"/>
      <c r="C350" s="7" t="s">
        <v>582</v>
      </c>
      <c r="D350" s="85" t="s">
        <v>32</v>
      </c>
      <c r="E350" s="86" t="s">
        <v>106</v>
      </c>
      <c r="F350" s="63">
        <v>8</v>
      </c>
      <c r="G350" s="142">
        <v>6</v>
      </c>
      <c r="H350" s="63" t="s">
        <v>280</v>
      </c>
      <c r="I350" s="63">
        <v>3</v>
      </c>
      <c r="J350" s="63" t="s">
        <v>339</v>
      </c>
      <c r="K350" s="63" t="s">
        <v>16</v>
      </c>
      <c r="L350" s="63" t="s">
        <v>338</v>
      </c>
    </row>
    <row r="351" spans="1:12" ht="20.25" customHeight="1" x14ac:dyDescent="0.3">
      <c r="A351" s="90" t="s">
        <v>609</v>
      </c>
      <c r="B351" s="84"/>
      <c r="C351" s="7" t="s">
        <v>608</v>
      </c>
      <c r="D351" s="85" t="s">
        <v>32</v>
      </c>
      <c r="E351" s="86" t="s">
        <v>110</v>
      </c>
      <c r="F351" s="63">
        <v>6</v>
      </c>
      <c r="G351" s="142">
        <v>9</v>
      </c>
      <c r="H351" s="63" t="s">
        <v>333</v>
      </c>
      <c r="I351" s="63">
        <v>5</v>
      </c>
      <c r="J351" s="63" t="s">
        <v>610</v>
      </c>
      <c r="K351" s="63" t="s">
        <v>16</v>
      </c>
      <c r="L351" s="63">
        <v>2009</v>
      </c>
    </row>
    <row r="352" spans="1:12" ht="20.25" customHeight="1" x14ac:dyDescent="0.3">
      <c r="A352" s="90" t="s">
        <v>224</v>
      </c>
      <c r="B352" s="84"/>
      <c r="C352" s="7" t="s">
        <v>223</v>
      </c>
      <c r="D352" s="85" t="s">
        <v>658</v>
      </c>
      <c r="E352" s="86" t="s">
        <v>106</v>
      </c>
      <c r="F352" s="63">
        <v>6</v>
      </c>
      <c r="G352" s="142">
        <v>4</v>
      </c>
      <c r="H352" s="63" t="s">
        <v>653</v>
      </c>
      <c r="I352" s="63">
        <v>2</v>
      </c>
      <c r="J352" s="63" t="s">
        <v>652</v>
      </c>
      <c r="K352" s="63" t="s">
        <v>16</v>
      </c>
      <c r="L352" s="63" t="s">
        <v>361</v>
      </c>
    </row>
    <row r="353" spans="1:12" ht="20.25" customHeight="1" x14ac:dyDescent="0.3">
      <c r="A353" s="90" t="s">
        <v>224</v>
      </c>
      <c r="B353" s="84"/>
      <c r="C353" s="7" t="s">
        <v>223</v>
      </c>
      <c r="D353" s="85" t="s">
        <v>659</v>
      </c>
      <c r="E353" s="86" t="s">
        <v>106</v>
      </c>
      <c r="F353" s="63">
        <v>6</v>
      </c>
      <c r="G353" s="142">
        <v>6</v>
      </c>
      <c r="H353" s="63" t="s">
        <v>280</v>
      </c>
      <c r="I353" s="63">
        <v>3</v>
      </c>
      <c r="J353" s="63" t="s">
        <v>344</v>
      </c>
      <c r="K353" s="63" t="s">
        <v>16</v>
      </c>
      <c r="L353" s="63">
        <v>2013</v>
      </c>
    </row>
    <row r="354" spans="1:12" ht="20.25" customHeight="1" x14ac:dyDescent="0.3">
      <c r="A354" s="90" t="s">
        <v>224</v>
      </c>
      <c r="B354" s="84"/>
      <c r="C354" s="7" t="s">
        <v>223</v>
      </c>
      <c r="D354" s="85" t="s">
        <v>29</v>
      </c>
      <c r="E354" s="86" t="s">
        <v>106</v>
      </c>
      <c r="F354" s="63">
        <v>6</v>
      </c>
      <c r="G354" s="142">
        <v>7</v>
      </c>
      <c r="H354" s="63" t="s">
        <v>353</v>
      </c>
      <c r="I354" s="63">
        <v>4</v>
      </c>
      <c r="J354" s="63" t="s">
        <v>353</v>
      </c>
      <c r="K354" s="63" t="s">
        <v>16</v>
      </c>
      <c r="L354" s="63" t="s">
        <v>352</v>
      </c>
    </row>
    <row r="355" spans="1:12" ht="20.25" customHeight="1" x14ac:dyDescent="0.3">
      <c r="A355" s="90" t="s">
        <v>206</v>
      </c>
      <c r="B355" s="84"/>
      <c r="C355" s="7" t="s">
        <v>297</v>
      </c>
      <c r="D355" s="85" t="s">
        <v>183</v>
      </c>
      <c r="E355" s="86" t="s">
        <v>105</v>
      </c>
      <c r="F355" s="63">
        <v>4</v>
      </c>
      <c r="G355" s="142">
        <v>4</v>
      </c>
      <c r="H355" s="63" t="s">
        <v>542</v>
      </c>
      <c r="I355" s="63">
        <v>2</v>
      </c>
      <c r="J355" s="63" t="s">
        <v>543</v>
      </c>
      <c r="K355" s="63" t="s">
        <v>16</v>
      </c>
      <c r="L355" s="63" t="s">
        <v>352</v>
      </c>
    </row>
    <row r="356" spans="1:12" ht="20.25" customHeight="1" x14ac:dyDescent="0.3">
      <c r="A356" s="90" t="s">
        <v>206</v>
      </c>
      <c r="B356" s="84"/>
      <c r="C356" s="7" t="s">
        <v>913</v>
      </c>
      <c r="D356" s="85" t="s">
        <v>183</v>
      </c>
      <c r="E356" s="86" t="s">
        <v>105</v>
      </c>
      <c r="F356" s="63">
        <v>6</v>
      </c>
      <c r="G356" s="142">
        <v>4</v>
      </c>
      <c r="H356" s="63">
        <v>2</v>
      </c>
      <c r="I356" s="63">
        <v>2</v>
      </c>
      <c r="J356" s="63">
        <v>1</v>
      </c>
      <c r="K356" s="63" t="s">
        <v>16</v>
      </c>
      <c r="L356" s="63">
        <v>2014</v>
      </c>
    </row>
    <row r="357" spans="1:12" ht="20.25" customHeight="1" x14ac:dyDescent="0.3">
      <c r="A357" s="90" t="s">
        <v>418</v>
      </c>
      <c r="B357" s="84"/>
      <c r="C357" s="7" t="s">
        <v>417</v>
      </c>
      <c r="D357" s="85" t="s">
        <v>183</v>
      </c>
      <c r="E357" s="86" t="s">
        <v>110</v>
      </c>
      <c r="F357" s="63">
        <v>6</v>
      </c>
      <c r="G357" s="142">
        <v>8</v>
      </c>
      <c r="H357" s="63" t="s">
        <v>851</v>
      </c>
      <c r="I357" s="63">
        <v>4</v>
      </c>
      <c r="J357" s="63" t="s">
        <v>889</v>
      </c>
      <c r="K357" s="63" t="s">
        <v>16</v>
      </c>
      <c r="L357" s="63" t="s">
        <v>679</v>
      </c>
    </row>
    <row r="358" spans="1:12" ht="20.25" customHeight="1" x14ac:dyDescent="0.3">
      <c r="A358" s="90" t="s">
        <v>458</v>
      </c>
      <c r="B358" s="84"/>
      <c r="C358" s="7" t="s">
        <v>457</v>
      </c>
      <c r="D358" s="85" t="s">
        <v>29</v>
      </c>
      <c r="E358" s="86" t="s">
        <v>106</v>
      </c>
      <c r="F358" s="63">
        <v>6</v>
      </c>
      <c r="G358" s="142">
        <v>7</v>
      </c>
      <c r="H358" s="63" t="s">
        <v>353</v>
      </c>
      <c r="I358" s="63">
        <v>4</v>
      </c>
      <c r="J358" s="63" t="s">
        <v>360</v>
      </c>
      <c r="K358" s="63" t="s">
        <v>16</v>
      </c>
      <c r="L358" s="63" t="s">
        <v>352</v>
      </c>
    </row>
    <row r="359" spans="1:12" ht="20.25" customHeight="1" x14ac:dyDescent="0.3">
      <c r="A359" s="90" t="s">
        <v>550</v>
      </c>
      <c r="B359" s="84"/>
      <c r="C359" s="7" t="s">
        <v>549</v>
      </c>
      <c r="D359" s="85" t="s">
        <v>29</v>
      </c>
      <c r="E359" s="86" t="s">
        <v>106</v>
      </c>
      <c r="F359" s="63">
        <v>6</v>
      </c>
      <c r="G359" s="142">
        <v>7</v>
      </c>
      <c r="H359" s="63" t="s">
        <v>332</v>
      </c>
      <c r="I359" s="63">
        <v>4</v>
      </c>
      <c r="J359" s="63" t="s">
        <v>333</v>
      </c>
      <c r="K359" s="63" t="s">
        <v>16</v>
      </c>
      <c r="L359" s="63">
        <v>2014</v>
      </c>
    </row>
    <row r="360" spans="1:12" ht="20.25" customHeight="1" x14ac:dyDescent="0.3">
      <c r="A360" s="90" t="s">
        <v>506</v>
      </c>
      <c r="B360" s="84"/>
      <c r="C360" s="7" t="s">
        <v>505</v>
      </c>
      <c r="D360" s="85" t="s">
        <v>29</v>
      </c>
      <c r="E360" s="86" t="s">
        <v>110</v>
      </c>
      <c r="F360" s="63">
        <v>12</v>
      </c>
      <c r="G360" s="142">
        <v>7</v>
      </c>
      <c r="H360" s="63" t="s">
        <v>349</v>
      </c>
      <c r="I360" s="63">
        <v>4</v>
      </c>
      <c r="J360" s="63" t="s">
        <v>348</v>
      </c>
      <c r="K360" s="63" t="s">
        <v>16</v>
      </c>
      <c r="L360" s="63" t="s">
        <v>355</v>
      </c>
    </row>
    <row r="361" spans="1:12" ht="20.25" customHeight="1" x14ac:dyDescent="0.3">
      <c r="A361" s="90" t="s">
        <v>554</v>
      </c>
      <c r="B361" s="84"/>
      <c r="C361" s="7" t="s">
        <v>553</v>
      </c>
      <c r="D361" s="85" t="s">
        <v>29</v>
      </c>
      <c r="E361" s="86" t="s">
        <v>106</v>
      </c>
      <c r="F361" s="63">
        <v>6</v>
      </c>
      <c r="G361" s="142">
        <v>7</v>
      </c>
      <c r="H361" s="63" t="s">
        <v>333</v>
      </c>
      <c r="I361" s="63">
        <v>4</v>
      </c>
      <c r="J361" s="63" t="s">
        <v>332</v>
      </c>
      <c r="K361" s="63" t="s">
        <v>16</v>
      </c>
      <c r="L361" s="63">
        <v>2014</v>
      </c>
    </row>
    <row r="362" spans="1:12" ht="20.25" customHeight="1" x14ac:dyDescent="0.3">
      <c r="A362" s="90" t="s">
        <v>265</v>
      </c>
      <c r="B362" s="84"/>
      <c r="C362" s="7" t="s">
        <v>264</v>
      </c>
      <c r="D362" s="85" t="s">
        <v>21</v>
      </c>
      <c r="E362" s="86" t="s">
        <v>110</v>
      </c>
      <c r="F362" s="63">
        <v>6</v>
      </c>
      <c r="G362" s="142">
        <v>8</v>
      </c>
      <c r="H362" s="63" t="s">
        <v>366</v>
      </c>
      <c r="I362" s="63">
        <v>4</v>
      </c>
      <c r="J362" s="63" t="s">
        <v>366</v>
      </c>
      <c r="K362" s="63" t="s">
        <v>16</v>
      </c>
      <c r="L362" s="63" t="s">
        <v>362</v>
      </c>
    </row>
    <row r="363" spans="1:12" ht="20.25" customHeight="1" x14ac:dyDescent="0.3">
      <c r="A363" s="90" t="s">
        <v>308</v>
      </c>
      <c r="B363" s="84"/>
      <c r="C363" s="7" t="s">
        <v>307</v>
      </c>
      <c r="D363" s="85" t="s">
        <v>21</v>
      </c>
      <c r="E363" s="86" t="s">
        <v>105</v>
      </c>
      <c r="F363" s="63">
        <v>6</v>
      </c>
      <c r="G363" s="142">
        <v>6</v>
      </c>
      <c r="H363" s="63" t="s">
        <v>345</v>
      </c>
      <c r="I363" s="63">
        <v>3</v>
      </c>
      <c r="J363" s="63" t="s">
        <v>346</v>
      </c>
      <c r="K363" s="63" t="s">
        <v>16</v>
      </c>
      <c r="L363" s="63" t="s">
        <v>356</v>
      </c>
    </row>
    <row r="364" spans="1:12" ht="20.25" customHeight="1" x14ac:dyDescent="0.3">
      <c r="A364" s="90" t="s">
        <v>257</v>
      </c>
      <c r="B364" s="84"/>
      <c r="C364" s="7" t="s">
        <v>256</v>
      </c>
      <c r="D364" s="85" t="s">
        <v>21</v>
      </c>
      <c r="E364" s="86" t="s">
        <v>106</v>
      </c>
      <c r="F364" s="63">
        <v>4</v>
      </c>
      <c r="G364" s="142">
        <v>8</v>
      </c>
      <c r="H364" s="63" t="s">
        <v>365</v>
      </c>
      <c r="I364" s="63">
        <v>4</v>
      </c>
      <c r="J364" s="63" t="s">
        <v>373</v>
      </c>
      <c r="K364" s="63" t="s">
        <v>16</v>
      </c>
      <c r="L364" s="63" t="s">
        <v>362</v>
      </c>
    </row>
    <row r="365" spans="1:12" ht="20.25" customHeight="1" x14ac:dyDescent="0.3">
      <c r="A365" s="90" t="s">
        <v>777</v>
      </c>
      <c r="B365" s="84"/>
      <c r="C365" s="7" t="s">
        <v>776</v>
      </c>
      <c r="D365" s="85" t="s">
        <v>183</v>
      </c>
      <c r="E365" s="86" t="s">
        <v>105</v>
      </c>
      <c r="F365" s="63">
        <v>4</v>
      </c>
      <c r="G365" s="142">
        <v>7</v>
      </c>
      <c r="H365" s="63" t="s">
        <v>868</v>
      </c>
      <c r="I365" s="63">
        <v>4</v>
      </c>
      <c r="J365" s="63" t="s">
        <v>868</v>
      </c>
      <c r="K365" s="63" t="s">
        <v>16</v>
      </c>
      <c r="L365" s="63" t="s">
        <v>362</v>
      </c>
    </row>
    <row r="366" spans="1:12" ht="20.25" customHeight="1" x14ac:dyDescent="0.3">
      <c r="A366" s="90" t="s">
        <v>827</v>
      </c>
      <c r="B366" s="84"/>
      <c r="C366" s="7" t="s">
        <v>826</v>
      </c>
      <c r="D366" s="85" t="s">
        <v>183</v>
      </c>
      <c r="E366" s="86" t="s">
        <v>105</v>
      </c>
      <c r="F366" s="63">
        <v>6</v>
      </c>
      <c r="G366" s="142">
        <v>8</v>
      </c>
      <c r="H366" s="63" t="s">
        <v>873</v>
      </c>
      <c r="I366" s="63">
        <v>4</v>
      </c>
      <c r="J366" s="63" t="s">
        <v>874</v>
      </c>
      <c r="K366" s="63" t="s">
        <v>16</v>
      </c>
      <c r="L366" s="63" t="s">
        <v>362</v>
      </c>
    </row>
    <row r="367" spans="1:12" ht="20.25" customHeight="1" x14ac:dyDescent="0.3">
      <c r="A367" s="90" t="s">
        <v>523</v>
      </c>
      <c r="B367" s="84"/>
      <c r="C367" s="7" t="s">
        <v>522</v>
      </c>
      <c r="D367" s="85" t="s">
        <v>68</v>
      </c>
      <c r="E367" s="86" t="s">
        <v>110</v>
      </c>
      <c r="F367" s="155">
        <v>6</v>
      </c>
      <c r="G367" s="156">
        <v>7</v>
      </c>
      <c r="H367" s="155" t="s">
        <v>868</v>
      </c>
      <c r="I367" s="155">
        <v>4</v>
      </c>
      <c r="J367" s="155" t="s">
        <v>869</v>
      </c>
      <c r="K367" s="155" t="s">
        <v>17</v>
      </c>
      <c r="L367" s="155" t="s">
        <v>362</v>
      </c>
    </row>
    <row r="368" spans="1:12" ht="20.25" customHeight="1" x14ac:dyDescent="0.3">
      <c r="A368" s="90" t="s">
        <v>517</v>
      </c>
      <c r="B368" s="84"/>
      <c r="C368" s="7" t="s">
        <v>516</v>
      </c>
      <c r="D368" s="85" t="s">
        <v>68</v>
      </c>
      <c r="E368" s="86" t="s">
        <v>110</v>
      </c>
      <c r="F368" s="155">
        <v>6</v>
      </c>
      <c r="G368" s="156">
        <v>7</v>
      </c>
      <c r="H368" s="155" t="s">
        <v>868</v>
      </c>
      <c r="I368" s="155">
        <v>4</v>
      </c>
      <c r="J368" s="155" t="s">
        <v>883</v>
      </c>
      <c r="K368" s="155" t="s">
        <v>17</v>
      </c>
      <c r="L368" s="155" t="s">
        <v>362</v>
      </c>
    </row>
    <row r="369" spans="1:12" ht="20.25" customHeight="1" x14ac:dyDescent="0.3">
      <c r="A369" s="90" t="s">
        <v>460</v>
      </c>
      <c r="B369" s="84"/>
      <c r="C369" s="7" t="s">
        <v>459</v>
      </c>
      <c r="D369" s="85" t="s">
        <v>68</v>
      </c>
      <c r="E369" s="86" t="s">
        <v>110</v>
      </c>
      <c r="F369" s="155">
        <v>6</v>
      </c>
      <c r="G369" s="156">
        <v>7</v>
      </c>
      <c r="H369" s="155" t="s">
        <v>873</v>
      </c>
      <c r="I369" s="155">
        <v>4</v>
      </c>
      <c r="J369" s="155" t="s">
        <v>883</v>
      </c>
      <c r="K369" s="155" t="s">
        <v>17</v>
      </c>
      <c r="L369" s="155" t="s">
        <v>362</v>
      </c>
    </row>
    <row r="370" spans="1:12" ht="20.25" customHeight="1" x14ac:dyDescent="0.3">
      <c r="A370" s="90" t="s">
        <v>519</v>
      </c>
      <c r="B370" s="84"/>
      <c r="C370" s="7" t="s">
        <v>518</v>
      </c>
      <c r="D370" s="85" t="s">
        <v>68</v>
      </c>
      <c r="E370" s="86" t="s">
        <v>110</v>
      </c>
      <c r="F370" s="155">
        <v>6</v>
      </c>
      <c r="G370" s="156">
        <v>8</v>
      </c>
      <c r="H370" s="155" t="s">
        <v>868</v>
      </c>
      <c r="I370" s="155">
        <v>4</v>
      </c>
      <c r="J370" s="155" t="s">
        <v>868</v>
      </c>
      <c r="K370" s="155" t="s">
        <v>17</v>
      </c>
      <c r="L370" s="155" t="s">
        <v>362</v>
      </c>
    </row>
    <row r="371" spans="1:12" ht="20.25" customHeight="1" x14ac:dyDescent="0.3">
      <c r="A371" s="90" t="s">
        <v>474</v>
      </c>
      <c r="B371" s="84"/>
      <c r="C371" s="7" t="s">
        <v>473</v>
      </c>
      <c r="D371" s="85" t="s">
        <v>68</v>
      </c>
      <c r="E371" s="86" t="s">
        <v>110</v>
      </c>
      <c r="F371" s="155">
        <v>6</v>
      </c>
      <c r="G371" s="156">
        <v>8</v>
      </c>
      <c r="H371" s="155" t="s">
        <v>868</v>
      </c>
      <c r="I371" s="155">
        <v>4</v>
      </c>
      <c r="J371" s="155" t="s">
        <v>883</v>
      </c>
      <c r="K371" s="155" t="s">
        <v>17</v>
      </c>
      <c r="L371" s="155" t="s">
        <v>362</v>
      </c>
    </row>
    <row r="372" spans="1:12" ht="20.25" customHeight="1" x14ac:dyDescent="0.3">
      <c r="A372" s="90" t="s">
        <v>521</v>
      </c>
      <c r="B372" s="84"/>
      <c r="C372" s="7" t="s">
        <v>520</v>
      </c>
      <c r="D372" s="85" t="s">
        <v>68</v>
      </c>
      <c r="E372" s="86" t="s">
        <v>110</v>
      </c>
      <c r="F372" s="155">
        <v>6</v>
      </c>
      <c r="G372" s="156">
        <v>8</v>
      </c>
      <c r="H372" s="155" t="s">
        <v>873</v>
      </c>
      <c r="I372" s="155">
        <v>4</v>
      </c>
      <c r="J372" s="155" t="s">
        <v>868</v>
      </c>
      <c r="K372" s="155" t="s">
        <v>17</v>
      </c>
      <c r="L372" s="155" t="s">
        <v>362</v>
      </c>
    </row>
    <row r="373" spans="1:12" ht="20.25" customHeight="1" x14ac:dyDescent="0.3">
      <c r="A373" s="90" t="s">
        <v>498</v>
      </c>
      <c r="B373" s="84"/>
      <c r="C373" s="7" t="s">
        <v>497</v>
      </c>
      <c r="D373" s="85" t="s">
        <v>1016</v>
      </c>
      <c r="E373" s="86" t="s">
        <v>110</v>
      </c>
      <c r="F373" s="155">
        <v>12</v>
      </c>
      <c r="G373" s="156">
        <v>9</v>
      </c>
      <c r="H373" s="155" t="s">
        <v>1035</v>
      </c>
      <c r="I373" s="155">
        <v>5</v>
      </c>
      <c r="J373" s="155" t="s">
        <v>1036</v>
      </c>
      <c r="K373" s="155" t="s">
        <v>17</v>
      </c>
      <c r="L373" s="155" t="s">
        <v>362</v>
      </c>
    </row>
    <row r="374" spans="1:12" ht="20.25" customHeight="1" x14ac:dyDescent="0.3">
      <c r="A374" s="90" t="s">
        <v>451</v>
      </c>
      <c r="B374" s="84"/>
      <c r="C374" s="7" t="s">
        <v>450</v>
      </c>
      <c r="D374" s="85" t="s">
        <v>68</v>
      </c>
      <c r="E374" s="86" t="s">
        <v>110</v>
      </c>
      <c r="F374" s="155">
        <v>6</v>
      </c>
      <c r="G374" s="156">
        <v>9</v>
      </c>
      <c r="H374" s="155" t="s">
        <v>868</v>
      </c>
      <c r="I374" s="155">
        <v>5</v>
      </c>
      <c r="J374" s="155" t="s">
        <v>883</v>
      </c>
      <c r="K374" s="155" t="s">
        <v>17</v>
      </c>
      <c r="L374" s="155" t="s">
        <v>362</v>
      </c>
    </row>
    <row r="375" spans="1:12" ht="20.25" customHeight="1" x14ac:dyDescent="0.3">
      <c r="A375" s="90" t="s">
        <v>514</v>
      </c>
      <c r="B375" s="84"/>
      <c r="C375" s="7" t="s">
        <v>513</v>
      </c>
      <c r="D375" s="85" t="s">
        <v>68</v>
      </c>
      <c r="E375" s="86" t="s">
        <v>110</v>
      </c>
      <c r="F375" s="155">
        <v>6</v>
      </c>
      <c r="G375" s="156">
        <v>9</v>
      </c>
      <c r="H375" s="155" t="s">
        <v>873</v>
      </c>
      <c r="I375" s="155">
        <v>5</v>
      </c>
      <c r="J375" s="155" t="s">
        <v>868</v>
      </c>
      <c r="K375" s="155" t="s">
        <v>17</v>
      </c>
      <c r="L375" s="155" t="s">
        <v>362</v>
      </c>
    </row>
    <row r="376" spans="1:12" ht="20.25" customHeight="1" x14ac:dyDescent="0.3">
      <c r="A376" s="90" t="s">
        <v>525</v>
      </c>
      <c r="B376" s="84"/>
      <c r="C376" s="7" t="s">
        <v>524</v>
      </c>
      <c r="D376" s="85" t="s">
        <v>68</v>
      </c>
      <c r="E376" s="86" t="s">
        <v>110</v>
      </c>
      <c r="F376" s="155">
        <v>6</v>
      </c>
      <c r="G376" s="156">
        <v>9</v>
      </c>
      <c r="H376" s="155" t="s">
        <v>542</v>
      </c>
      <c r="I376" s="155">
        <v>5</v>
      </c>
      <c r="J376" s="155" t="s">
        <v>865</v>
      </c>
      <c r="K376" s="155" t="s">
        <v>17</v>
      </c>
      <c r="L376" s="155" t="s">
        <v>367</v>
      </c>
    </row>
    <row r="377" spans="1:12" ht="20.25" customHeight="1" x14ac:dyDescent="0.3">
      <c r="A377" s="90" t="s">
        <v>942</v>
      </c>
      <c r="B377" s="84"/>
      <c r="C377" s="7" t="s">
        <v>941</v>
      </c>
      <c r="D377" s="85" t="s">
        <v>69</v>
      </c>
      <c r="E377" s="86" t="s">
        <v>110</v>
      </c>
      <c r="F377" s="155">
        <v>6</v>
      </c>
      <c r="G377" s="156">
        <v>7</v>
      </c>
      <c r="H377" s="155" t="s">
        <v>533</v>
      </c>
      <c r="I377" s="155">
        <v>4</v>
      </c>
      <c r="J377" s="155" t="s">
        <v>534</v>
      </c>
      <c r="K377" s="155" t="s">
        <v>17</v>
      </c>
      <c r="L377" s="155" t="s">
        <v>347</v>
      </c>
    </row>
    <row r="378" spans="1:12" ht="20.25" customHeight="1" x14ac:dyDescent="0.3">
      <c r="A378" s="90" t="s">
        <v>498</v>
      </c>
      <c r="B378" s="84"/>
      <c r="C378" s="7" t="s">
        <v>497</v>
      </c>
      <c r="D378" s="85" t="s">
        <v>976</v>
      </c>
      <c r="E378" s="86" t="s">
        <v>110</v>
      </c>
      <c r="F378" s="155">
        <v>12</v>
      </c>
      <c r="G378" s="156">
        <v>8</v>
      </c>
      <c r="H378" s="155" t="s">
        <v>876</v>
      </c>
      <c r="I378" s="155">
        <v>4</v>
      </c>
      <c r="J378" s="155" t="s">
        <v>887</v>
      </c>
      <c r="K378" s="155" t="s">
        <v>17</v>
      </c>
      <c r="L378" s="155" t="s">
        <v>352</v>
      </c>
    </row>
    <row r="379" spans="1:12" ht="20.25" customHeight="1" x14ac:dyDescent="0.3">
      <c r="A379" s="90" t="s">
        <v>944</v>
      </c>
      <c r="B379" s="84"/>
      <c r="C379" s="7" t="s">
        <v>943</v>
      </c>
      <c r="D379" s="85" t="s">
        <v>69</v>
      </c>
      <c r="E379" s="86" t="s">
        <v>110</v>
      </c>
      <c r="F379" s="155">
        <v>6</v>
      </c>
      <c r="G379" s="156">
        <v>8</v>
      </c>
      <c r="H379" s="155" t="s">
        <v>876</v>
      </c>
      <c r="I379" s="155">
        <v>4</v>
      </c>
      <c r="J379" s="155" t="s">
        <v>969</v>
      </c>
      <c r="K379" s="155" t="s">
        <v>17</v>
      </c>
      <c r="L379" s="155" t="s">
        <v>362</v>
      </c>
    </row>
    <row r="380" spans="1:12" ht="20.25" customHeight="1" x14ac:dyDescent="0.3">
      <c r="A380" s="90" t="s">
        <v>946</v>
      </c>
      <c r="B380" s="84"/>
      <c r="C380" s="7" t="s">
        <v>945</v>
      </c>
      <c r="D380" s="85" t="s">
        <v>976</v>
      </c>
      <c r="E380" s="86" t="s">
        <v>110</v>
      </c>
      <c r="F380" s="155">
        <v>6</v>
      </c>
      <c r="G380" s="156">
        <v>9</v>
      </c>
      <c r="H380" s="155" t="s">
        <v>534</v>
      </c>
      <c r="I380" s="155">
        <v>5</v>
      </c>
      <c r="J380" s="155" t="s">
        <v>860</v>
      </c>
      <c r="K380" s="155" t="s">
        <v>17</v>
      </c>
      <c r="L380" s="155" t="s">
        <v>526</v>
      </c>
    </row>
    <row r="381" spans="1:12" ht="20.25" customHeight="1" x14ac:dyDescent="0.3">
      <c r="A381" s="90" t="s">
        <v>948</v>
      </c>
      <c r="B381" s="84"/>
      <c r="C381" s="7" t="s">
        <v>947</v>
      </c>
      <c r="D381" s="85" t="s">
        <v>69</v>
      </c>
      <c r="E381" s="86" t="s">
        <v>110</v>
      </c>
      <c r="F381" s="155">
        <v>6</v>
      </c>
      <c r="G381" s="156">
        <v>7</v>
      </c>
      <c r="H381" s="155">
        <v>2</v>
      </c>
      <c r="I381" s="155">
        <v>4</v>
      </c>
      <c r="J381" s="155">
        <v>3</v>
      </c>
      <c r="K381" s="155" t="s">
        <v>17</v>
      </c>
      <c r="L381" s="155">
        <v>2010</v>
      </c>
    </row>
    <row r="382" spans="1:12" ht="20.25" customHeight="1" x14ac:dyDescent="0.3">
      <c r="A382" s="90" t="s">
        <v>950</v>
      </c>
      <c r="B382" s="84"/>
      <c r="C382" s="7" t="s">
        <v>949</v>
      </c>
      <c r="D382" s="85" t="s">
        <v>69</v>
      </c>
      <c r="E382" s="86" t="s">
        <v>110</v>
      </c>
      <c r="F382" s="155">
        <v>6</v>
      </c>
      <c r="G382" s="156">
        <v>7</v>
      </c>
      <c r="H382" s="155" t="s">
        <v>967</v>
      </c>
      <c r="I382" s="155">
        <v>4</v>
      </c>
      <c r="J382" s="155" t="s">
        <v>968</v>
      </c>
      <c r="K382" s="155" t="s">
        <v>17</v>
      </c>
      <c r="L382" s="155" t="s">
        <v>848</v>
      </c>
    </row>
    <row r="383" spans="1:12" ht="20.25" customHeight="1" x14ac:dyDescent="0.3">
      <c r="A383" s="90" t="s">
        <v>510</v>
      </c>
      <c r="B383" s="84"/>
      <c r="C383" s="7" t="s">
        <v>509</v>
      </c>
      <c r="D383" s="85" t="s">
        <v>69</v>
      </c>
      <c r="E383" s="86" t="s">
        <v>110</v>
      </c>
      <c r="F383" s="155">
        <v>6</v>
      </c>
      <c r="G383" s="156">
        <v>8</v>
      </c>
      <c r="H383" s="155">
        <v>2</v>
      </c>
      <c r="I383" s="155">
        <v>4</v>
      </c>
      <c r="J383" s="155">
        <v>2</v>
      </c>
      <c r="K383" s="155" t="s">
        <v>17</v>
      </c>
      <c r="L383" s="155">
        <v>2012</v>
      </c>
    </row>
    <row r="384" spans="1:12" ht="20.25" customHeight="1" x14ac:dyDescent="0.3">
      <c r="A384" s="90" t="s">
        <v>510</v>
      </c>
      <c r="B384" s="84"/>
      <c r="C384" s="7" t="s">
        <v>509</v>
      </c>
      <c r="D384" s="85" t="s">
        <v>69</v>
      </c>
      <c r="E384" s="86" t="s">
        <v>110</v>
      </c>
      <c r="F384" s="155">
        <v>6</v>
      </c>
      <c r="G384" s="156">
        <v>7</v>
      </c>
      <c r="H384" s="155" t="s">
        <v>444</v>
      </c>
      <c r="I384" s="155">
        <v>4</v>
      </c>
      <c r="J384" s="155" t="s">
        <v>443</v>
      </c>
      <c r="K384" s="155" t="s">
        <v>17</v>
      </c>
      <c r="L384" s="155" t="s">
        <v>361</v>
      </c>
    </row>
    <row r="385" spans="1:12" ht="20.25" customHeight="1" x14ac:dyDescent="0.3">
      <c r="A385" s="90" t="s">
        <v>952</v>
      </c>
      <c r="B385" s="84"/>
      <c r="C385" s="7" t="s">
        <v>951</v>
      </c>
      <c r="D385" s="85" t="s">
        <v>69</v>
      </c>
      <c r="E385" s="86" t="s">
        <v>106</v>
      </c>
      <c r="F385" s="155">
        <v>6</v>
      </c>
      <c r="G385" s="156">
        <v>7</v>
      </c>
      <c r="H385" s="155">
        <v>1</v>
      </c>
      <c r="I385" s="155">
        <v>4</v>
      </c>
      <c r="J385" s="155">
        <v>3</v>
      </c>
      <c r="K385" s="155" t="s">
        <v>17</v>
      </c>
      <c r="L385" s="155">
        <v>2014</v>
      </c>
    </row>
    <row r="386" spans="1:12" ht="20.25" customHeight="1" x14ac:dyDescent="0.3">
      <c r="A386" s="90" t="s">
        <v>562</v>
      </c>
      <c r="B386" s="84"/>
      <c r="C386" s="7" t="s">
        <v>561</v>
      </c>
      <c r="D386" s="85" t="s">
        <v>69</v>
      </c>
      <c r="E386" s="86" t="s">
        <v>110</v>
      </c>
      <c r="F386" s="155">
        <v>6</v>
      </c>
      <c r="G386" s="156">
        <v>7</v>
      </c>
      <c r="H386" s="155">
        <v>1</v>
      </c>
      <c r="I386" s="155">
        <v>4</v>
      </c>
      <c r="J386" s="155">
        <v>3</v>
      </c>
      <c r="K386" s="155" t="s">
        <v>17</v>
      </c>
      <c r="L386" s="155" t="s">
        <v>660</v>
      </c>
    </row>
    <row r="387" spans="1:12" ht="20.25" customHeight="1" x14ac:dyDescent="0.3">
      <c r="A387" s="90" t="s">
        <v>75</v>
      </c>
      <c r="B387" s="84"/>
      <c r="C387" s="7" t="s">
        <v>953</v>
      </c>
      <c r="D387" s="85" t="s">
        <v>976</v>
      </c>
      <c r="E387" s="86" t="s">
        <v>110</v>
      </c>
      <c r="F387" s="155">
        <v>6</v>
      </c>
      <c r="G387" s="156">
        <v>7</v>
      </c>
      <c r="H387" s="155" t="s">
        <v>983</v>
      </c>
      <c r="I387" s="155">
        <v>4</v>
      </c>
      <c r="J387" s="155" t="s">
        <v>983</v>
      </c>
      <c r="K387" s="155" t="s">
        <v>17</v>
      </c>
      <c r="L387" s="155" t="s">
        <v>660</v>
      </c>
    </row>
    <row r="388" spans="1:12" ht="20.25" customHeight="1" x14ac:dyDescent="0.3">
      <c r="A388" s="90" t="s">
        <v>955</v>
      </c>
      <c r="B388" s="84"/>
      <c r="C388" s="7" t="s">
        <v>954</v>
      </c>
      <c r="D388" s="85" t="s">
        <v>976</v>
      </c>
      <c r="E388" s="86" t="s">
        <v>110</v>
      </c>
      <c r="F388" s="155">
        <v>6</v>
      </c>
      <c r="G388" s="156">
        <v>7</v>
      </c>
      <c r="H388" s="155" t="s">
        <v>985</v>
      </c>
      <c r="I388" s="155">
        <v>4</v>
      </c>
      <c r="J388" s="155" t="s">
        <v>986</v>
      </c>
      <c r="K388" s="155" t="s">
        <v>17</v>
      </c>
      <c r="L388" s="155" t="s">
        <v>660</v>
      </c>
    </row>
    <row r="389" spans="1:12" ht="20.25" customHeight="1" x14ac:dyDescent="0.3">
      <c r="A389" s="90" t="s">
        <v>462</v>
      </c>
      <c r="B389" s="84"/>
      <c r="C389" s="7" t="s">
        <v>461</v>
      </c>
      <c r="D389" s="85" t="s">
        <v>69</v>
      </c>
      <c r="E389" s="86" t="s">
        <v>110</v>
      </c>
      <c r="F389" s="155">
        <v>6</v>
      </c>
      <c r="G389" s="156">
        <v>7</v>
      </c>
      <c r="H389" s="155">
        <v>2</v>
      </c>
      <c r="I389" s="155">
        <v>4</v>
      </c>
      <c r="J389" s="155">
        <v>3</v>
      </c>
      <c r="K389" s="155" t="s">
        <v>17</v>
      </c>
      <c r="L389" s="155" t="s">
        <v>660</v>
      </c>
    </row>
    <row r="390" spans="1:12" ht="20.25" customHeight="1" x14ac:dyDescent="0.3">
      <c r="A390" s="90" t="s">
        <v>942</v>
      </c>
      <c r="B390" s="84"/>
      <c r="C390" s="7" t="s">
        <v>941</v>
      </c>
      <c r="D390" s="85" t="s">
        <v>69</v>
      </c>
      <c r="E390" s="86" t="s">
        <v>110</v>
      </c>
      <c r="F390" s="155">
        <v>6</v>
      </c>
      <c r="G390" s="156">
        <v>8</v>
      </c>
      <c r="H390" s="155">
        <v>1</v>
      </c>
      <c r="I390" s="155">
        <v>4</v>
      </c>
      <c r="J390" s="155">
        <v>2</v>
      </c>
      <c r="K390" s="155" t="s">
        <v>17</v>
      </c>
      <c r="L390" s="155">
        <v>2014</v>
      </c>
    </row>
    <row r="391" spans="1:12" ht="20.25" customHeight="1" x14ac:dyDescent="0.3">
      <c r="A391" s="90" t="s">
        <v>482</v>
      </c>
      <c r="B391" s="84"/>
      <c r="C391" s="7" t="s">
        <v>481</v>
      </c>
      <c r="D391" s="85" t="s">
        <v>995</v>
      </c>
      <c r="E391" s="86" t="s">
        <v>110</v>
      </c>
      <c r="F391" s="155">
        <v>6</v>
      </c>
      <c r="G391" s="156">
        <v>8</v>
      </c>
      <c r="H391" s="155" t="s">
        <v>983</v>
      </c>
      <c r="I391" s="155">
        <v>4</v>
      </c>
      <c r="J391" s="155" t="s">
        <v>983</v>
      </c>
      <c r="K391" s="155" t="s">
        <v>17</v>
      </c>
      <c r="L391" s="155" t="s">
        <v>660</v>
      </c>
    </row>
    <row r="392" spans="1:12" ht="20.25" customHeight="1" x14ac:dyDescent="0.3">
      <c r="A392" s="90" t="s">
        <v>957</v>
      </c>
      <c r="B392" s="84"/>
      <c r="C392" s="7" t="s">
        <v>956</v>
      </c>
      <c r="D392" s="85" t="s">
        <v>69</v>
      </c>
      <c r="E392" s="86" t="s">
        <v>110</v>
      </c>
      <c r="F392" s="155">
        <v>6</v>
      </c>
      <c r="G392" s="156">
        <v>8</v>
      </c>
      <c r="H392" s="155">
        <v>2</v>
      </c>
      <c r="I392" s="155">
        <v>4</v>
      </c>
      <c r="J392" s="155">
        <v>2</v>
      </c>
      <c r="K392" s="155" t="s">
        <v>17</v>
      </c>
      <c r="L392" s="155">
        <v>2014</v>
      </c>
    </row>
    <row r="393" spans="1:12" ht="20.25" customHeight="1" x14ac:dyDescent="0.3">
      <c r="A393" s="90" t="s">
        <v>488</v>
      </c>
      <c r="B393" s="84"/>
      <c r="C393" s="7" t="s">
        <v>487</v>
      </c>
      <c r="D393" s="85" t="s">
        <v>976</v>
      </c>
      <c r="E393" s="86" t="s">
        <v>110</v>
      </c>
      <c r="F393" s="155">
        <v>6</v>
      </c>
      <c r="G393" s="156">
        <v>8</v>
      </c>
      <c r="H393" s="155" t="s">
        <v>985</v>
      </c>
      <c r="I393" s="155">
        <v>4</v>
      </c>
      <c r="J393" s="155" t="s">
        <v>987</v>
      </c>
      <c r="K393" s="155" t="s">
        <v>17</v>
      </c>
      <c r="L393" s="155" t="s">
        <v>660</v>
      </c>
    </row>
    <row r="394" spans="1:12" ht="20.25" customHeight="1" x14ac:dyDescent="0.3">
      <c r="A394" s="90" t="s">
        <v>490</v>
      </c>
      <c r="B394" s="84"/>
      <c r="C394" s="7" t="s">
        <v>489</v>
      </c>
      <c r="D394" s="85" t="s">
        <v>69</v>
      </c>
      <c r="E394" s="86" t="s">
        <v>110</v>
      </c>
      <c r="F394" s="155">
        <v>6</v>
      </c>
      <c r="G394" s="156">
        <v>8</v>
      </c>
      <c r="H394" s="155">
        <v>2</v>
      </c>
      <c r="I394" s="155">
        <v>4</v>
      </c>
      <c r="J394" s="155">
        <v>1</v>
      </c>
      <c r="K394" s="155" t="s">
        <v>17</v>
      </c>
      <c r="L394" s="155" t="s">
        <v>660</v>
      </c>
    </row>
    <row r="395" spans="1:12" ht="20.25" customHeight="1" x14ac:dyDescent="0.3">
      <c r="A395" s="90" t="s">
        <v>959</v>
      </c>
      <c r="B395" s="84"/>
      <c r="C395" s="7" t="s">
        <v>958</v>
      </c>
      <c r="D395" s="85" t="s">
        <v>69</v>
      </c>
      <c r="E395" s="86" t="s">
        <v>110</v>
      </c>
      <c r="F395" s="155">
        <v>6</v>
      </c>
      <c r="G395" s="156">
        <v>9</v>
      </c>
      <c r="H395" s="155">
        <v>1</v>
      </c>
      <c r="I395" s="155">
        <v>5</v>
      </c>
      <c r="J395" s="155" t="s">
        <v>234</v>
      </c>
      <c r="K395" s="155" t="s">
        <v>17</v>
      </c>
      <c r="L395" s="155">
        <v>2014</v>
      </c>
    </row>
    <row r="396" spans="1:12" ht="20.25" customHeight="1" x14ac:dyDescent="0.3">
      <c r="A396" s="90" t="s">
        <v>961</v>
      </c>
      <c r="B396" s="84"/>
      <c r="C396" s="7" t="s">
        <v>960</v>
      </c>
      <c r="D396" s="85" t="s">
        <v>69</v>
      </c>
      <c r="E396" s="86" t="s">
        <v>110</v>
      </c>
      <c r="F396" s="155">
        <v>6</v>
      </c>
      <c r="G396" s="156">
        <v>9</v>
      </c>
      <c r="H396" s="155">
        <v>1</v>
      </c>
      <c r="I396" s="155">
        <v>5</v>
      </c>
      <c r="J396" s="155">
        <v>4</v>
      </c>
      <c r="K396" s="155" t="s">
        <v>17</v>
      </c>
      <c r="L396" s="155" t="s">
        <v>663</v>
      </c>
    </row>
    <row r="397" spans="1:12" ht="20.25" customHeight="1" x14ac:dyDescent="0.3">
      <c r="A397" s="90" t="s">
        <v>962</v>
      </c>
      <c r="B397" s="84"/>
      <c r="C397" s="7" t="s">
        <v>463</v>
      </c>
      <c r="D397" s="85" t="s">
        <v>69</v>
      </c>
      <c r="E397" s="86" t="s">
        <v>110</v>
      </c>
      <c r="F397" s="155">
        <v>6</v>
      </c>
      <c r="G397" s="156">
        <v>9</v>
      </c>
      <c r="H397" s="155">
        <v>1</v>
      </c>
      <c r="I397" s="155">
        <v>5</v>
      </c>
      <c r="J397" s="155">
        <v>1</v>
      </c>
      <c r="K397" s="155" t="s">
        <v>17</v>
      </c>
      <c r="L397" s="155">
        <v>2014</v>
      </c>
    </row>
    <row r="398" spans="1:12" ht="20.25" customHeight="1" x14ac:dyDescent="0.3">
      <c r="A398" s="90" t="s">
        <v>964</v>
      </c>
      <c r="B398" s="84"/>
      <c r="C398" s="7" t="s">
        <v>963</v>
      </c>
      <c r="D398" s="85" t="s">
        <v>69</v>
      </c>
      <c r="E398" s="86" t="s">
        <v>110</v>
      </c>
      <c r="F398" s="155">
        <v>6</v>
      </c>
      <c r="G398" s="156">
        <v>9</v>
      </c>
      <c r="H398" s="155">
        <v>2</v>
      </c>
      <c r="I398" s="155">
        <v>5</v>
      </c>
      <c r="J398" s="155" t="s">
        <v>234</v>
      </c>
      <c r="K398" s="155" t="s">
        <v>17</v>
      </c>
      <c r="L398" s="155">
        <v>2014</v>
      </c>
    </row>
    <row r="399" spans="1:12" ht="20.25" customHeight="1" x14ac:dyDescent="0.3">
      <c r="A399" s="90" t="s">
        <v>966</v>
      </c>
      <c r="B399" s="84"/>
      <c r="C399" s="7" t="s">
        <v>965</v>
      </c>
      <c r="D399" s="85" t="s">
        <v>69</v>
      </c>
      <c r="E399" s="86" t="s">
        <v>110</v>
      </c>
      <c r="F399" s="155">
        <v>6</v>
      </c>
      <c r="G399" s="156">
        <v>9</v>
      </c>
      <c r="H399" s="155">
        <v>2</v>
      </c>
      <c r="I399" s="155">
        <v>5</v>
      </c>
      <c r="J399" s="155" t="s">
        <v>234</v>
      </c>
      <c r="K399" s="155" t="s">
        <v>17</v>
      </c>
      <c r="L399" s="155">
        <v>2014</v>
      </c>
    </row>
    <row r="400" spans="1:12" ht="20.25" customHeight="1" x14ac:dyDescent="0.3">
      <c r="A400" s="90" t="s">
        <v>453</v>
      </c>
      <c r="B400" s="84"/>
      <c r="C400" s="7" t="s">
        <v>452</v>
      </c>
      <c r="D400" s="85" t="s">
        <v>70</v>
      </c>
      <c r="E400" s="86" t="s">
        <v>106</v>
      </c>
      <c r="F400" s="155">
        <v>6</v>
      </c>
      <c r="G400" s="156">
        <v>7</v>
      </c>
      <c r="H400" s="155" t="s">
        <v>444</v>
      </c>
      <c r="I400" s="155">
        <v>4</v>
      </c>
      <c r="J400" s="155" t="s">
        <v>841</v>
      </c>
      <c r="K400" s="155" t="s">
        <v>17</v>
      </c>
      <c r="L400" s="155" t="s">
        <v>338</v>
      </c>
    </row>
    <row r="401" spans="1:12" ht="20.25" customHeight="1" x14ac:dyDescent="0.3">
      <c r="A401" s="90" t="s">
        <v>971</v>
      </c>
      <c r="B401" s="84"/>
      <c r="C401" s="7" t="s">
        <v>970</v>
      </c>
      <c r="D401" s="85" t="s">
        <v>70</v>
      </c>
      <c r="E401" s="86" t="s">
        <v>106</v>
      </c>
      <c r="F401" s="155">
        <v>8</v>
      </c>
      <c r="G401" s="156">
        <v>7</v>
      </c>
      <c r="H401" s="155" t="s">
        <v>861</v>
      </c>
      <c r="I401" s="155">
        <v>4</v>
      </c>
      <c r="J401" s="155" t="s">
        <v>350</v>
      </c>
      <c r="K401" s="155" t="s">
        <v>17</v>
      </c>
      <c r="L401" s="155" t="s">
        <v>347</v>
      </c>
    </row>
    <row r="402" spans="1:12" ht="20.25" customHeight="1" x14ac:dyDescent="0.3">
      <c r="A402" s="90" t="s">
        <v>70</v>
      </c>
      <c r="B402" s="84"/>
      <c r="C402" s="7" t="s">
        <v>456</v>
      </c>
      <c r="D402" s="85" t="s">
        <v>70</v>
      </c>
      <c r="E402" s="86" t="s">
        <v>110</v>
      </c>
      <c r="F402" s="155">
        <v>6</v>
      </c>
      <c r="G402" s="156">
        <v>7</v>
      </c>
      <c r="H402" s="155" t="s">
        <v>543</v>
      </c>
      <c r="I402" s="155">
        <v>4</v>
      </c>
      <c r="J402" s="155" t="s">
        <v>865</v>
      </c>
      <c r="K402" s="155" t="s">
        <v>17</v>
      </c>
      <c r="L402" s="155" t="s">
        <v>352</v>
      </c>
    </row>
    <row r="403" spans="1:12" ht="20.25" customHeight="1" x14ac:dyDescent="0.3">
      <c r="A403" s="90" t="s">
        <v>973</v>
      </c>
      <c r="B403" s="84"/>
      <c r="C403" s="7" t="s">
        <v>972</v>
      </c>
      <c r="D403" s="85" t="s">
        <v>70</v>
      </c>
      <c r="E403" s="86" t="s">
        <v>110</v>
      </c>
      <c r="F403" s="155">
        <v>6</v>
      </c>
      <c r="G403" s="156">
        <v>7</v>
      </c>
      <c r="H403" s="155" t="s">
        <v>873</v>
      </c>
      <c r="I403" s="155">
        <v>4</v>
      </c>
      <c r="J403" s="155" t="s">
        <v>984</v>
      </c>
      <c r="K403" s="155" t="s">
        <v>17</v>
      </c>
      <c r="L403" s="155" t="s">
        <v>362</v>
      </c>
    </row>
    <row r="404" spans="1:12" ht="20.25" customHeight="1" x14ac:dyDescent="0.3">
      <c r="A404" s="90" t="s">
        <v>476</v>
      </c>
      <c r="B404" s="84"/>
      <c r="C404" s="7" t="s">
        <v>475</v>
      </c>
      <c r="D404" s="85" t="s">
        <v>70</v>
      </c>
      <c r="E404" s="86" t="s">
        <v>110</v>
      </c>
      <c r="F404" s="155">
        <v>6</v>
      </c>
      <c r="G404" s="156">
        <v>8</v>
      </c>
      <c r="H404" s="155" t="s">
        <v>868</v>
      </c>
      <c r="I404" s="155">
        <v>4</v>
      </c>
      <c r="J404" s="155" t="s">
        <v>883</v>
      </c>
      <c r="K404" s="155" t="s">
        <v>17</v>
      </c>
      <c r="L404" s="155" t="s">
        <v>362</v>
      </c>
    </row>
    <row r="405" spans="1:12" ht="20.25" customHeight="1" x14ac:dyDescent="0.3">
      <c r="A405" s="90" t="s">
        <v>75</v>
      </c>
      <c r="B405" s="84"/>
      <c r="C405" s="7" t="s">
        <v>233</v>
      </c>
      <c r="D405" s="85" t="s">
        <v>70</v>
      </c>
      <c r="E405" s="86" t="s">
        <v>106</v>
      </c>
      <c r="F405" s="155">
        <v>6</v>
      </c>
      <c r="G405" s="156">
        <v>8</v>
      </c>
      <c r="H405" s="155" t="s">
        <v>861</v>
      </c>
      <c r="I405" s="155">
        <v>4</v>
      </c>
      <c r="J405" s="155" t="s">
        <v>981</v>
      </c>
      <c r="K405" s="155" t="s">
        <v>17</v>
      </c>
      <c r="L405" s="155" t="s">
        <v>347</v>
      </c>
    </row>
    <row r="406" spans="1:12" ht="20.25" customHeight="1" x14ac:dyDescent="0.3">
      <c r="A406" s="90" t="s">
        <v>975</v>
      </c>
      <c r="B406" s="84"/>
      <c r="C406" s="7" t="s">
        <v>974</v>
      </c>
      <c r="D406" s="85" t="s">
        <v>70</v>
      </c>
      <c r="E406" s="86" t="s">
        <v>110</v>
      </c>
      <c r="F406" s="155">
        <v>6</v>
      </c>
      <c r="G406" s="156">
        <v>8</v>
      </c>
      <c r="H406" s="155" t="s">
        <v>873</v>
      </c>
      <c r="I406" s="155">
        <v>4</v>
      </c>
      <c r="J406" s="155" t="s">
        <v>873</v>
      </c>
      <c r="K406" s="155" t="s">
        <v>17</v>
      </c>
      <c r="L406" s="155" t="s">
        <v>362</v>
      </c>
    </row>
    <row r="407" spans="1:12" ht="20.25" customHeight="1" x14ac:dyDescent="0.3">
      <c r="A407" s="90" t="s">
        <v>978</v>
      </c>
      <c r="B407" s="84"/>
      <c r="C407" s="7" t="s">
        <v>977</v>
      </c>
      <c r="D407" s="85" t="s">
        <v>70</v>
      </c>
      <c r="E407" s="86" t="s">
        <v>110</v>
      </c>
      <c r="F407" s="155">
        <v>6</v>
      </c>
      <c r="G407" s="156">
        <v>8</v>
      </c>
      <c r="H407" s="155" t="s">
        <v>542</v>
      </c>
      <c r="I407" s="155">
        <v>4</v>
      </c>
      <c r="J407" s="155" t="s">
        <v>988</v>
      </c>
      <c r="K407" s="155" t="s">
        <v>17</v>
      </c>
      <c r="L407" s="155" t="s">
        <v>367</v>
      </c>
    </row>
    <row r="408" spans="1:12" ht="20.25" customHeight="1" x14ac:dyDescent="0.3">
      <c r="A408" s="90" t="s">
        <v>486</v>
      </c>
      <c r="B408" s="84"/>
      <c r="C408" s="7" t="s">
        <v>485</v>
      </c>
      <c r="D408" s="85" t="s">
        <v>1015</v>
      </c>
      <c r="E408" s="86" t="s">
        <v>110</v>
      </c>
      <c r="F408" s="155">
        <v>6</v>
      </c>
      <c r="G408" s="156">
        <v>8</v>
      </c>
      <c r="H408" s="155" t="s">
        <v>1023</v>
      </c>
      <c r="I408" s="155">
        <v>4</v>
      </c>
      <c r="J408" s="155" t="s">
        <v>1023</v>
      </c>
      <c r="K408" s="155" t="s">
        <v>17</v>
      </c>
      <c r="L408" s="155" t="s">
        <v>660</v>
      </c>
    </row>
    <row r="409" spans="1:12" ht="20.25" customHeight="1" x14ac:dyDescent="0.3">
      <c r="A409" s="90" t="s">
        <v>564</v>
      </c>
      <c r="B409" s="84"/>
      <c r="C409" s="7" t="s">
        <v>563</v>
      </c>
      <c r="D409" s="85" t="s">
        <v>67</v>
      </c>
      <c r="E409" s="86" t="s">
        <v>110</v>
      </c>
      <c r="F409" s="155">
        <v>6</v>
      </c>
      <c r="G409" s="156">
        <v>7</v>
      </c>
      <c r="H409" s="155" t="s">
        <v>868</v>
      </c>
      <c r="I409" s="155">
        <v>4</v>
      </c>
      <c r="J409" s="155" t="s">
        <v>874</v>
      </c>
      <c r="K409" s="155" t="s">
        <v>17</v>
      </c>
      <c r="L409" s="155" t="s">
        <v>362</v>
      </c>
    </row>
    <row r="410" spans="1:12" ht="20.25" customHeight="1" x14ac:dyDescent="0.3">
      <c r="A410" s="90" t="s">
        <v>464</v>
      </c>
      <c r="B410" s="84"/>
      <c r="C410" s="7" t="s">
        <v>463</v>
      </c>
      <c r="D410" s="85" t="s">
        <v>67</v>
      </c>
      <c r="E410" s="86" t="s">
        <v>110</v>
      </c>
      <c r="F410" s="155">
        <v>6</v>
      </c>
      <c r="G410" s="156">
        <v>7</v>
      </c>
      <c r="H410" s="155" t="s">
        <v>1004</v>
      </c>
      <c r="I410" s="155">
        <v>4</v>
      </c>
      <c r="J410" s="155" t="s">
        <v>1005</v>
      </c>
      <c r="K410" s="155" t="s">
        <v>17</v>
      </c>
      <c r="L410" s="155" t="s">
        <v>362</v>
      </c>
    </row>
    <row r="411" spans="1:12" ht="20.25" customHeight="1" x14ac:dyDescent="0.3">
      <c r="A411" s="90" t="s">
        <v>568</v>
      </c>
      <c r="B411" s="84"/>
      <c r="C411" s="7" t="s">
        <v>567</v>
      </c>
      <c r="D411" s="85" t="s">
        <v>67</v>
      </c>
      <c r="E411" s="86" t="s">
        <v>110</v>
      </c>
      <c r="F411" s="155">
        <v>6</v>
      </c>
      <c r="G411" s="156">
        <v>7</v>
      </c>
      <c r="H411" s="155" t="s">
        <v>873</v>
      </c>
      <c r="I411" s="155">
        <v>4</v>
      </c>
      <c r="J411" s="155" t="s">
        <v>868</v>
      </c>
      <c r="K411" s="155" t="s">
        <v>17</v>
      </c>
      <c r="L411" s="155" t="s">
        <v>362</v>
      </c>
    </row>
    <row r="412" spans="1:12" ht="20.25" customHeight="1" x14ac:dyDescent="0.3">
      <c r="A412" s="90" t="s">
        <v>466</v>
      </c>
      <c r="B412" s="84"/>
      <c r="C412" s="7" t="s">
        <v>465</v>
      </c>
      <c r="D412" s="85" t="s">
        <v>67</v>
      </c>
      <c r="E412" s="86" t="s">
        <v>110</v>
      </c>
      <c r="F412" s="155">
        <v>6</v>
      </c>
      <c r="G412" s="156">
        <v>7</v>
      </c>
      <c r="H412" s="155" t="s">
        <v>873</v>
      </c>
      <c r="I412" s="155">
        <v>4</v>
      </c>
      <c r="J412" s="155" t="s">
        <v>868</v>
      </c>
      <c r="K412" s="155" t="s">
        <v>17</v>
      </c>
      <c r="L412" s="155" t="s">
        <v>362</v>
      </c>
    </row>
    <row r="413" spans="1:12" ht="20.25" customHeight="1" x14ac:dyDescent="0.3">
      <c r="A413" s="90" t="s">
        <v>990</v>
      </c>
      <c r="B413" s="84"/>
      <c r="C413" s="7" t="s">
        <v>989</v>
      </c>
      <c r="D413" s="85" t="s">
        <v>67</v>
      </c>
      <c r="E413" s="86" t="s">
        <v>110</v>
      </c>
      <c r="F413" s="155">
        <v>6</v>
      </c>
      <c r="G413" s="156">
        <v>8</v>
      </c>
      <c r="H413" s="155" t="s">
        <v>868</v>
      </c>
      <c r="I413" s="155">
        <v>4</v>
      </c>
      <c r="J413" s="155" t="s">
        <v>1006</v>
      </c>
      <c r="K413" s="155" t="s">
        <v>17</v>
      </c>
      <c r="L413" s="155" t="s">
        <v>362</v>
      </c>
    </row>
    <row r="414" spans="1:12" ht="20.25" customHeight="1" x14ac:dyDescent="0.3">
      <c r="A414" s="90" t="s">
        <v>992</v>
      </c>
      <c r="B414" s="84"/>
      <c r="C414" s="7" t="s">
        <v>991</v>
      </c>
      <c r="D414" s="85" t="s">
        <v>67</v>
      </c>
      <c r="E414" s="86" t="s">
        <v>110</v>
      </c>
      <c r="F414" s="155">
        <v>6</v>
      </c>
      <c r="G414" s="156">
        <v>8</v>
      </c>
      <c r="H414" s="155" t="s">
        <v>868</v>
      </c>
      <c r="I414" s="155">
        <v>4</v>
      </c>
      <c r="J414" s="155" t="s">
        <v>873</v>
      </c>
      <c r="K414" s="155" t="s">
        <v>17</v>
      </c>
      <c r="L414" s="155" t="s">
        <v>362</v>
      </c>
    </row>
    <row r="415" spans="1:12" ht="20.25" customHeight="1" x14ac:dyDescent="0.3">
      <c r="A415" s="90" t="s">
        <v>480</v>
      </c>
      <c r="B415" s="84"/>
      <c r="C415" s="7" t="s">
        <v>479</v>
      </c>
      <c r="D415" s="85" t="s">
        <v>67</v>
      </c>
      <c r="E415" s="86" t="s">
        <v>110</v>
      </c>
      <c r="F415" s="155">
        <v>6</v>
      </c>
      <c r="G415" s="156">
        <v>8</v>
      </c>
      <c r="H415" s="155" t="s">
        <v>868</v>
      </c>
      <c r="I415" s="155">
        <v>4</v>
      </c>
      <c r="J415" s="155" t="s">
        <v>874</v>
      </c>
      <c r="K415" s="155" t="s">
        <v>17</v>
      </c>
      <c r="L415" s="155" t="s">
        <v>362</v>
      </c>
    </row>
    <row r="416" spans="1:12" ht="20.25" customHeight="1" x14ac:dyDescent="0.3">
      <c r="A416" s="90" t="s">
        <v>558</v>
      </c>
      <c r="B416" s="84"/>
      <c r="C416" s="7" t="s">
        <v>557</v>
      </c>
      <c r="D416" s="85" t="s">
        <v>67</v>
      </c>
      <c r="E416" s="86" t="s">
        <v>110</v>
      </c>
      <c r="F416" s="155">
        <v>6</v>
      </c>
      <c r="G416" s="156">
        <v>8</v>
      </c>
      <c r="H416" s="155" t="s">
        <v>873</v>
      </c>
      <c r="I416" s="155">
        <v>4</v>
      </c>
      <c r="J416" s="155" t="s">
        <v>868</v>
      </c>
      <c r="K416" s="155" t="s">
        <v>17</v>
      </c>
      <c r="L416" s="155" t="s">
        <v>362</v>
      </c>
    </row>
    <row r="417" spans="1:12" ht="20.25" customHeight="1" x14ac:dyDescent="0.3">
      <c r="A417" s="90" t="s">
        <v>994</v>
      </c>
      <c r="B417" s="84"/>
      <c r="C417" s="7" t="s">
        <v>993</v>
      </c>
      <c r="D417" s="85" t="s">
        <v>67</v>
      </c>
      <c r="E417" s="86" t="s">
        <v>110</v>
      </c>
      <c r="F417" s="155">
        <v>6</v>
      </c>
      <c r="G417" s="156">
        <v>8</v>
      </c>
      <c r="H417" s="155" t="s">
        <v>533</v>
      </c>
      <c r="I417" s="155">
        <v>4</v>
      </c>
      <c r="J417" s="155" t="s">
        <v>863</v>
      </c>
      <c r="K417" s="155" t="s">
        <v>17</v>
      </c>
      <c r="L417" s="155" t="s">
        <v>1007</v>
      </c>
    </row>
    <row r="418" spans="1:12" ht="20.25" customHeight="1" x14ac:dyDescent="0.3">
      <c r="A418" s="90" t="s">
        <v>512</v>
      </c>
      <c r="B418" s="84"/>
      <c r="C418" s="7" t="s">
        <v>511</v>
      </c>
      <c r="D418" s="85" t="s">
        <v>67</v>
      </c>
      <c r="E418" s="86" t="s">
        <v>110</v>
      </c>
      <c r="F418" s="155">
        <v>6</v>
      </c>
      <c r="G418" s="156">
        <v>8</v>
      </c>
      <c r="H418" s="155" t="s">
        <v>542</v>
      </c>
      <c r="I418" s="155">
        <v>4</v>
      </c>
      <c r="J418" s="155" t="s">
        <v>1003</v>
      </c>
      <c r="K418" s="155" t="s">
        <v>17</v>
      </c>
      <c r="L418" s="155" t="s">
        <v>367</v>
      </c>
    </row>
    <row r="419" spans="1:12" ht="20.25" customHeight="1" x14ac:dyDescent="0.3">
      <c r="A419" s="90" t="s">
        <v>997</v>
      </c>
      <c r="B419" s="84"/>
      <c r="C419" s="7" t="s">
        <v>996</v>
      </c>
      <c r="D419" s="85" t="s">
        <v>67</v>
      </c>
      <c r="E419" s="86" t="s">
        <v>110</v>
      </c>
      <c r="F419" s="155">
        <v>6</v>
      </c>
      <c r="G419" s="156">
        <v>9</v>
      </c>
      <c r="H419" s="155">
        <v>1</v>
      </c>
      <c r="I419" s="155">
        <v>5</v>
      </c>
      <c r="J419" s="155">
        <v>2</v>
      </c>
      <c r="K419" s="155" t="s">
        <v>17</v>
      </c>
      <c r="L419" s="155">
        <v>2010</v>
      </c>
    </row>
    <row r="420" spans="1:12" ht="20.25" customHeight="1" x14ac:dyDescent="0.3">
      <c r="A420" s="90" t="s">
        <v>566</v>
      </c>
      <c r="B420" s="84"/>
      <c r="C420" s="7" t="s">
        <v>565</v>
      </c>
      <c r="D420" s="85" t="s">
        <v>67</v>
      </c>
      <c r="E420" s="86" t="s">
        <v>110</v>
      </c>
      <c r="F420" s="155">
        <v>6</v>
      </c>
      <c r="G420" s="156">
        <v>7</v>
      </c>
      <c r="H420" s="155" t="s">
        <v>533</v>
      </c>
      <c r="I420" s="155">
        <v>4</v>
      </c>
      <c r="J420" s="155" t="s">
        <v>533</v>
      </c>
      <c r="K420" s="155" t="s">
        <v>17</v>
      </c>
      <c r="L420" s="155" t="s">
        <v>840</v>
      </c>
    </row>
    <row r="421" spans="1:12" ht="20.25" customHeight="1" x14ac:dyDescent="0.3">
      <c r="A421" s="90" t="s">
        <v>999</v>
      </c>
      <c r="B421" s="84"/>
      <c r="C421" s="7" t="s">
        <v>998</v>
      </c>
      <c r="D421" s="85" t="s">
        <v>67</v>
      </c>
      <c r="E421" s="86" t="s">
        <v>110</v>
      </c>
      <c r="F421" s="155">
        <v>12</v>
      </c>
      <c r="G421" s="156">
        <v>9</v>
      </c>
      <c r="H421" s="155" t="s">
        <v>199</v>
      </c>
      <c r="I421" s="155">
        <v>5</v>
      </c>
      <c r="J421" s="155" t="s">
        <v>332</v>
      </c>
      <c r="K421" s="155" t="s">
        <v>17</v>
      </c>
      <c r="L421" s="155">
        <v>2011</v>
      </c>
    </row>
    <row r="422" spans="1:12" ht="20.25" customHeight="1" x14ac:dyDescent="0.3">
      <c r="A422" s="90" t="s">
        <v>1002</v>
      </c>
      <c r="B422" s="84"/>
      <c r="C422" s="7" t="s">
        <v>1001</v>
      </c>
      <c r="D422" s="85" t="s">
        <v>67</v>
      </c>
      <c r="E422" s="86" t="s">
        <v>110</v>
      </c>
      <c r="F422" s="155">
        <v>6</v>
      </c>
      <c r="G422" s="156">
        <v>9</v>
      </c>
      <c r="H422" s="155" t="s">
        <v>444</v>
      </c>
      <c r="I422" s="155">
        <v>5</v>
      </c>
      <c r="J422" s="155" t="s">
        <v>444</v>
      </c>
      <c r="K422" s="155" t="s">
        <v>17</v>
      </c>
      <c r="L422" s="155" t="s">
        <v>361</v>
      </c>
    </row>
    <row r="423" spans="1:12" ht="20.25" customHeight="1" x14ac:dyDescent="0.3">
      <c r="A423" s="90" t="s">
        <v>1009</v>
      </c>
      <c r="B423" s="84"/>
      <c r="C423" s="7" t="s">
        <v>1008</v>
      </c>
      <c r="D423" s="85" t="s">
        <v>1014</v>
      </c>
      <c r="E423" s="86" t="s">
        <v>110</v>
      </c>
      <c r="F423" s="155">
        <v>6</v>
      </c>
      <c r="G423" s="156">
        <v>7</v>
      </c>
      <c r="H423" s="155" t="s">
        <v>1025</v>
      </c>
      <c r="I423" s="155">
        <v>4</v>
      </c>
      <c r="J423" s="155" t="s">
        <v>1026</v>
      </c>
      <c r="K423" s="155" t="s">
        <v>17</v>
      </c>
      <c r="L423" s="155" t="s">
        <v>362</v>
      </c>
    </row>
    <row r="424" spans="1:12" ht="20.25" customHeight="1" x14ac:dyDescent="0.3">
      <c r="A424" s="90" t="s">
        <v>484</v>
      </c>
      <c r="B424" s="84"/>
      <c r="C424" s="7" t="s">
        <v>483</v>
      </c>
      <c r="D424" s="85" t="s">
        <v>1014</v>
      </c>
      <c r="E424" s="86" t="s">
        <v>110</v>
      </c>
      <c r="F424" s="155">
        <v>6</v>
      </c>
      <c r="G424" s="156">
        <v>8</v>
      </c>
      <c r="H424" s="155" t="s">
        <v>1025</v>
      </c>
      <c r="I424" s="155">
        <v>4</v>
      </c>
      <c r="J424" s="155" t="s">
        <v>1025</v>
      </c>
      <c r="K424" s="155" t="s">
        <v>17</v>
      </c>
      <c r="L424" s="155" t="s">
        <v>362</v>
      </c>
    </row>
    <row r="425" spans="1:12" ht="20.25" customHeight="1" x14ac:dyDescent="0.3">
      <c r="A425" s="90" t="s">
        <v>823</v>
      </c>
      <c r="B425" s="84"/>
      <c r="C425" s="7" t="s">
        <v>822</v>
      </c>
      <c r="D425" s="85" t="s">
        <v>1014</v>
      </c>
      <c r="E425" s="86" t="s">
        <v>110</v>
      </c>
      <c r="F425" s="155">
        <v>6</v>
      </c>
      <c r="G425" s="156">
        <v>8</v>
      </c>
      <c r="H425" s="155" t="s">
        <v>1020</v>
      </c>
      <c r="I425" s="155">
        <v>4</v>
      </c>
      <c r="J425" s="155" t="s">
        <v>1021</v>
      </c>
      <c r="K425" s="155" t="s">
        <v>17</v>
      </c>
      <c r="L425" s="155" t="s">
        <v>526</v>
      </c>
    </row>
    <row r="426" spans="1:12" ht="20.25" customHeight="1" x14ac:dyDescent="0.3">
      <c r="A426" s="90" t="s">
        <v>744</v>
      </c>
      <c r="B426" s="84"/>
      <c r="C426" s="7" t="s">
        <v>743</v>
      </c>
      <c r="D426" s="85" t="s">
        <v>1014</v>
      </c>
      <c r="E426" s="86" t="s">
        <v>110</v>
      </c>
      <c r="F426" s="155">
        <v>6</v>
      </c>
      <c r="G426" s="156">
        <v>8</v>
      </c>
      <c r="H426" s="155" t="s">
        <v>1025</v>
      </c>
      <c r="I426" s="155">
        <v>4</v>
      </c>
      <c r="J426" s="155" t="s">
        <v>1029</v>
      </c>
      <c r="K426" s="155" t="s">
        <v>17</v>
      </c>
      <c r="L426" s="155" t="s">
        <v>362</v>
      </c>
    </row>
    <row r="427" spans="1:12" ht="20.25" customHeight="1" x14ac:dyDescent="0.3">
      <c r="A427" s="90" t="s">
        <v>496</v>
      </c>
      <c r="B427" s="84"/>
      <c r="C427" s="7" t="s">
        <v>495</v>
      </c>
      <c r="D427" s="85" t="s">
        <v>1014</v>
      </c>
      <c r="E427" s="86" t="s">
        <v>110</v>
      </c>
      <c r="F427" s="155">
        <v>6</v>
      </c>
      <c r="G427" s="156">
        <v>8</v>
      </c>
      <c r="H427" s="155" t="s">
        <v>1030</v>
      </c>
      <c r="I427" s="155">
        <v>4</v>
      </c>
      <c r="J427" s="155" t="s">
        <v>1031</v>
      </c>
      <c r="K427" s="155" t="s">
        <v>17</v>
      </c>
      <c r="L427" s="155" t="s">
        <v>362</v>
      </c>
    </row>
    <row r="428" spans="1:12" ht="20.25" customHeight="1" x14ac:dyDescent="0.3">
      <c r="A428" s="90" t="s">
        <v>710</v>
      </c>
      <c r="B428" s="84"/>
      <c r="C428" s="7" t="s">
        <v>709</v>
      </c>
      <c r="D428" s="85" t="s">
        <v>1014</v>
      </c>
      <c r="E428" s="86" t="s">
        <v>110</v>
      </c>
      <c r="F428" s="155">
        <v>6</v>
      </c>
      <c r="G428" s="156">
        <v>8</v>
      </c>
      <c r="H428" s="155" t="s">
        <v>1022</v>
      </c>
      <c r="I428" s="155">
        <v>4</v>
      </c>
      <c r="J428" s="155" t="s">
        <v>1022</v>
      </c>
      <c r="K428" s="155" t="s">
        <v>17</v>
      </c>
      <c r="L428" s="155" t="s">
        <v>347</v>
      </c>
    </row>
    <row r="429" spans="1:12" ht="20.25" customHeight="1" x14ac:dyDescent="0.3">
      <c r="A429" s="90" t="s">
        <v>746</v>
      </c>
      <c r="B429" s="84"/>
      <c r="C429" s="7" t="s">
        <v>745</v>
      </c>
      <c r="D429" s="85" t="s">
        <v>1037</v>
      </c>
      <c r="E429" s="86" t="s">
        <v>110</v>
      </c>
      <c r="F429" s="155">
        <v>6</v>
      </c>
      <c r="G429" s="156">
        <v>8</v>
      </c>
      <c r="H429" s="155" t="s">
        <v>1038</v>
      </c>
      <c r="I429" s="155">
        <v>4</v>
      </c>
      <c r="J429" s="155" t="s">
        <v>1039</v>
      </c>
      <c r="K429" s="155" t="s">
        <v>17</v>
      </c>
      <c r="L429" s="155" t="s">
        <v>362</v>
      </c>
    </row>
    <row r="430" spans="1:12" ht="20.25" customHeight="1" x14ac:dyDescent="0.3">
      <c r="A430" s="90" t="s">
        <v>500</v>
      </c>
      <c r="B430" s="84"/>
      <c r="C430" s="7" t="s">
        <v>499</v>
      </c>
      <c r="D430" s="85" t="s">
        <v>1014</v>
      </c>
      <c r="E430" s="86" t="s">
        <v>110</v>
      </c>
      <c r="F430" s="155">
        <v>6</v>
      </c>
      <c r="G430" s="156">
        <v>9</v>
      </c>
      <c r="H430" s="155" t="s">
        <v>1025</v>
      </c>
      <c r="I430" s="155">
        <v>5</v>
      </c>
      <c r="J430" s="155" t="s">
        <v>1031</v>
      </c>
      <c r="K430" s="155" t="s">
        <v>17</v>
      </c>
      <c r="L430" s="155" t="s">
        <v>362</v>
      </c>
    </row>
    <row r="431" spans="1:12" ht="20.25" customHeight="1" x14ac:dyDescent="0.3">
      <c r="A431" s="90" t="s">
        <v>829</v>
      </c>
      <c r="B431" s="84"/>
      <c r="C431" s="7" t="s">
        <v>828</v>
      </c>
      <c r="D431" s="85" t="s">
        <v>1014</v>
      </c>
      <c r="E431" s="86" t="s">
        <v>110</v>
      </c>
      <c r="F431" s="155">
        <v>6</v>
      </c>
      <c r="G431" s="156">
        <v>9</v>
      </c>
      <c r="H431" s="155" t="s">
        <v>1017</v>
      </c>
      <c r="I431" s="155">
        <v>5</v>
      </c>
      <c r="J431" s="155" t="s">
        <v>1018</v>
      </c>
      <c r="K431" s="155" t="s">
        <v>17</v>
      </c>
      <c r="L431" s="155" t="s">
        <v>338</v>
      </c>
    </row>
    <row r="432" spans="1:12" ht="20.25" customHeight="1" x14ac:dyDescent="0.3">
      <c r="A432" s="90" t="s">
        <v>740</v>
      </c>
      <c r="B432" s="84"/>
      <c r="C432" s="7" t="s">
        <v>739</v>
      </c>
      <c r="D432" s="85" t="s">
        <v>1014</v>
      </c>
      <c r="E432" s="86" t="s">
        <v>110</v>
      </c>
      <c r="F432" s="155">
        <v>6</v>
      </c>
      <c r="G432" s="156">
        <v>9</v>
      </c>
      <c r="H432" s="155" t="s">
        <v>1025</v>
      </c>
      <c r="I432" s="155">
        <v>5</v>
      </c>
      <c r="J432" s="155" t="s">
        <v>1030</v>
      </c>
      <c r="K432" s="155" t="s">
        <v>17</v>
      </c>
      <c r="L432" s="155" t="s">
        <v>362</v>
      </c>
    </row>
    <row r="433" spans="1:12" ht="20.25" customHeight="1" x14ac:dyDescent="0.3">
      <c r="A433" s="90" t="s">
        <v>708</v>
      </c>
      <c r="B433" s="84"/>
      <c r="C433" s="7" t="s">
        <v>707</v>
      </c>
      <c r="D433" s="85" t="s">
        <v>1014</v>
      </c>
      <c r="E433" s="86" t="s">
        <v>110</v>
      </c>
      <c r="F433" s="155">
        <v>6</v>
      </c>
      <c r="G433" s="156">
        <v>9</v>
      </c>
      <c r="H433" s="155" t="s">
        <v>1019</v>
      </c>
      <c r="I433" s="155">
        <v>5</v>
      </c>
      <c r="J433" s="155" t="s">
        <v>1019</v>
      </c>
      <c r="K433" s="155" t="s">
        <v>17</v>
      </c>
      <c r="L433" s="155" t="s">
        <v>338</v>
      </c>
    </row>
    <row r="434" spans="1:12" ht="20.25" customHeight="1" x14ac:dyDescent="0.3">
      <c r="A434" s="90" t="s">
        <v>742</v>
      </c>
      <c r="B434" s="84"/>
      <c r="C434" s="7" t="s">
        <v>741</v>
      </c>
      <c r="D434" s="85" t="s">
        <v>1037</v>
      </c>
      <c r="E434" s="86" t="s">
        <v>110</v>
      </c>
      <c r="F434" s="155">
        <v>6</v>
      </c>
      <c r="G434" s="156">
        <v>9</v>
      </c>
      <c r="H434" s="155" t="s">
        <v>1038</v>
      </c>
      <c r="I434" s="155">
        <v>5</v>
      </c>
      <c r="J434" s="155" t="s">
        <v>1039</v>
      </c>
      <c r="K434" s="155" t="s">
        <v>17</v>
      </c>
      <c r="L434" s="155" t="s">
        <v>362</v>
      </c>
    </row>
    <row r="435" spans="1:12" ht="20.25" customHeight="1" x14ac:dyDescent="0.3">
      <c r="A435" s="90" t="s">
        <v>1011</v>
      </c>
      <c r="B435" s="84"/>
      <c r="C435" s="7" t="s">
        <v>1010</v>
      </c>
      <c r="D435" s="85" t="s">
        <v>1014</v>
      </c>
      <c r="E435" s="86" t="s">
        <v>106</v>
      </c>
      <c r="F435" s="155">
        <v>6</v>
      </c>
      <c r="G435" s="156">
        <v>7</v>
      </c>
      <c r="H435" s="155" t="s">
        <v>1027</v>
      </c>
      <c r="I435" s="155">
        <v>4</v>
      </c>
      <c r="J435" s="155" t="s">
        <v>1028</v>
      </c>
      <c r="K435" s="155" t="s">
        <v>17</v>
      </c>
      <c r="L435" s="155" t="s">
        <v>367</v>
      </c>
    </row>
    <row r="436" spans="1:12" ht="20.25" customHeight="1" x14ac:dyDescent="0.3">
      <c r="A436" s="90" t="s">
        <v>506</v>
      </c>
      <c r="B436" s="84"/>
      <c r="C436" s="7" t="s">
        <v>505</v>
      </c>
      <c r="D436" s="85" t="s">
        <v>1014</v>
      </c>
      <c r="E436" s="86" t="s">
        <v>110</v>
      </c>
      <c r="F436" s="155">
        <v>12</v>
      </c>
      <c r="G436" s="156">
        <v>7</v>
      </c>
      <c r="H436" s="155" t="s">
        <v>1022</v>
      </c>
      <c r="I436" s="155">
        <v>4</v>
      </c>
      <c r="J436" s="155" t="s">
        <v>1024</v>
      </c>
      <c r="K436" s="155" t="s">
        <v>17</v>
      </c>
      <c r="L436" s="155" t="s">
        <v>355</v>
      </c>
    </row>
    <row r="437" spans="1:12" ht="20.25" customHeight="1" x14ac:dyDescent="0.3">
      <c r="A437" s="90" t="s">
        <v>712</v>
      </c>
      <c r="B437" s="84"/>
      <c r="C437" s="7" t="s">
        <v>711</v>
      </c>
      <c r="D437" s="85" t="s">
        <v>1014</v>
      </c>
      <c r="E437" s="86" t="s">
        <v>110</v>
      </c>
      <c r="F437" s="155">
        <v>12</v>
      </c>
      <c r="G437" s="156">
        <v>9</v>
      </c>
      <c r="H437" s="155" t="s">
        <v>1033</v>
      </c>
      <c r="I437" s="155">
        <v>5</v>
      </c>
      <c r="J437" s="155" t="s">
        <v>1034</v>
      </c>
      <c r="K437" s="155" t="s">
        <v>17</v>
      </c>
      <c r="L437" s="155" t="s">
        <v>1072</v>
      </c>
    </row>
    <row r="438" spans="1:12" ht="20.25" customHeight="1" x14ac:dyDescent="0.3">
      <c r="A438" s="90" t="s">
        <v>1013</v>
      </c>
      <c r="B438" s="84"/>
      <c r="C438" s="7" t="s">
        <v>1012</v>
      </c>
      <c r="D438" s="85" t="s">
        <v>1014</v>
      </c>
      <c r="E438" s="86" t="s">
        <v>106</v>
      </c>
      <c r="F438" s="155">
        <v>6</v>
      </c>
      <c r="G438" s="156">
        <v>9</v>
      </c>
      <c r="H438" s="155" t="s">
        <v>1017</v>
      </c>
      <c r="I438" s="155">
        <v>5</v>
      </c>
      <c r="J438" s="155" t="s">
        <v>1019</v>
      </c>
      <c r="K438" s="155" t="s">
        <v>17</v>
      </c>
      <c r="L438" s="155" t="s">
        <v>532</v>
      </c>
    </row>
    <row r="439" spans="1:12" ht="20.25" customHeight="1" x14ac:dyDescent="0.3">
      <c r="A439" s="90" t="s">
        <v>716</v>
      </c>
      <c r="B439" s="84"/>
      <c r="C439" s="7" t="s">
        <v>715</v>
      </c>
      <c r="D439" s="85" t="s">
        <v>1014</v>
      </c>
      <c r="E439" s="86" t="s">
        <v>110</v>
      </c>
      <c r="F439" s="155">
        <v>6</v>
      </c>
      <c r="G439" s="156">
        <v>9</v>
      </c>
      <c r="H439" s="155" t="s">
        <v>1024</v>
      </c>
      <c r="I439" s="155">
        <v>5</v>
      </c>
      <c r="J439" s="155" t="s">
        <v>1032</v>
      </c>
      <c r="K439" s="155" t="s">
        <v>17</v>
      </c>
      <c r="L439" s="155" t="s">
        <v>369</v>
      </c>
    </row>
    <row r="440" spans="1:12" ht="20.25" customHeight="1" x14ac:dyDescent="0.3">
      <c r="A440" s="90" t="s">
        <v>1013</v>
      </c>
      <c r="B440" s="84"/>
      <c r="C440" s="7" t="s">
        <v>1012</v>
      </c>
      <c r="D440" s="85" t="s">
        <v>1014</v>
      </c>
      <c r="E440" s="86" t="s">
        <v>106</v>
      </c>
      <c r="F440" s="155">
        <v>6</v>
      </c>
      <c r="G440" s="156">
        <v>7</v>
      </c>
      <c r="H440" s="155" t="s">
        <v>1020</v>
      </c>
      <c r="I440" s="155">
        <v>4</v>
      </c>
      <c r="J440" s="155" t="s">
        <v>1021</v>
      </c>
      <c r="K440" s="155" t="s">
        <v>17</v>
      </c>
      <c r="L440" s="155" t="s">
        <v>847</v>
      </c>
    </row>
    <row r="441" spans="1:12" ht="20.25" customHeight="1" x14ac:dyDescent="0.3">
      <c r="A441" s="90" t="s">
        <v>718</v>
      </c>
      <c r="B441" s="84"/>
      <c r="C441" s="7" t="s">
        <v>717</v>
      </c>
      <c r="D441" s="85" t="s">
        <v>1014</v>
      </c>
      <c r="E441" s="86" t="s">
        <v>110</v>
      </c>
      <c r="F441" s="155">
        <v>6</v>
      </c>
      <c r="G441" s="156">
        <v>8</v>
      </c>
      <c r="H441" s="155" t="s">
        <v>1017</v>
      </c>
      <c r="I441" s="155">
        <v>4</v>
      </c>
      <c r="J441" s="155" t="s">
        <v>1019</v>
      </c>
      <c r="K441" s="155" t="s">
        <v>17</v>
      </c>
      <c r="L441" s="155" t="s">
        <v>361</v>
      </c>
    </row>
    <row r="442" spans="1:12" ht="20.25" customHeight="1" x14ac:dyDescent="0.3">
      <c r="A442" s="90" t="s">
        <v>708</v>
      </c>
      <c r="B442" s="84"/>
      <c r="C442" s="7" t="s">
        <v>707</v>
      </c>
      <c r="D442" s="85" t="s">
        <v>1014</v>
      </c>
      <c r="E442" s="86" t="s">
        <v>110</v>
      </c>
      <c r="F442" s="155">
        <v>6</v>
      </c>
      <c r="G442" s="156">
        <v>8</v>
      </c>
      <c r="H442" s="155" t="s">
        <v>1019</v>
      </c>
      <c r="I442" s="155">
        <v>4</v>
      </c>
      <c r="J442" s="155" t="s">
        <v>1019</v>
      </c>
      <c r="K442" s="155" t="s">
        <v>17</v>
      </c>
      <c r="L442" s="155" t="s">
        <v>361</v>
      </c>
    </row>
    <row r="443" spans="1:12" ht="20.25" customHeight="1" x14ac:dyDescent="0.3">
      <c r="A443" s="90" t="s">
        <v>706</v>
      </c>
      <c r="B443" s="84"/>
      <c r="C443" s="7" t="s">
        <v>705</v>
      </c>
      <c r="D443" s="85" t="s">
        <v>1014</v>
      </c>
      <c r="E443" s="86" t="s">
        <v>110</v>
      </c>
      <c r="F443" s="155">
        <v>6</v>
      </c>
      <c r="G443" s="156">
        <v>9</v>
      </c>
      <c r="H443" s="155" t="s">
        <v>1019</v>
      </c>
      <c r="I443" s="155">
        <v>5</v>
      </c>
      <c r="J443" s="155" t="s">
        <v>1019</v>
      </c>
      <c r="K443" s="155" t="s">
        <v>17</v>
      </c>
      <c r="L443" s="155" t="s">
        <v>908</v>
      </c>
    </row>
    <row r="444" spans="1:12" ht="20.25" customHeight="1" x14ac:dyDescent="0.3">
      <c r="A444" s="90" t="s">
        <v>726</v>
      </c>
      <c r="B444" s="84"/>
      <c r="C444" s="7" t="s">
        <v>725</v>
      </c>
      <c r="D444" s="85" t="s">
        <v>27</v>
      </c>
      <c r="E444" s="86" t="s">
        <v>110</v>
      </c>
      <c r="F444" s="155">
        <v>6</v>
      </c>
      <c r="G444" s="156">
        <v>8</v>
      </c>
      <c r="H444" s="155" t="s">
        <v>868</v>
      </c>
      <c r="I444" s="155">
        <v>4</v>
      </c>
      <c r="J444" s="155" t="s">
        <v>873</v>
      </c>
      <c r="K444" s="155" t="s">
        <v>17</v>
      </c>
      <c r="L444" s="155" t="s">
        <v>362</v>
      </c>
    </row>
    <row r="445" spans="1:12" ht="20.25" customHeight="1" x14ac:dyDescent="0.3">
      <c r="A445" s="90" t="s">
        <v>730</v>
      </c>
      <c r="B445" s="84"/>
      <c r="C445" s="7" t="s">
        <v>729</v>
      </c>
      <c r="D445" s="85" t="s">
        <v>27</v>
      </c>
      <c r="E445" s="86" t="s">
        <v>110</v>
      </c>
      <c r="F445" s="155">
        <v>6</v>
      </c>
      <c r="G445" s="156">
        <v>8</v>
      </c>
      <c r="H445" s="155" t="s">
        <v>873</v>
      </c>
      <c r="I445" s="155">
        <v>4</v>
      </c>
      <c r="J445" s="155" t="s">
        <v>873</v>
      </c>
      <c r="K445" s="155" t="s">
        <v>17</v>
      </c>
      <c r="L445" s="155" t="s">
        <v>362</v>
      </c>
    </row>
    <row r="446" spans="1:12" ht="20.25" customHeight="1" x14ac:dyDescent="0.3">
      <c r="A446" s="90" t="s">
        <v>724</v>
      </c>
      <c r="B446" s="84"/>
      <c r="C446" s="7" t="s">
        <v>723</v>
      </c>
      <c r="D446" s="85" t="s">
        <v>27</v>
      </c>
      <c r="E446" s="86" t="s">
        <v>110</v>
      </c>
      <c r="F446" s="155">
        <v>6</v>
      </c>
      <c r="G446" s="156">
        <v>9</v>
      </c>
      <c r="H446" s="155" t="s">
        <v>868</v>
      </c>
      <c r="I446" s="155">
        <v>5</v>
      </c>
      <c r="J446" s="155" t="s">
        <v>873</v>
      </c>
      <c r="K446" s="155" t="s">
        <v>17</v>
      </c>
      <c r="L446" s="155" t="s">
        <v>362</v>
      </c>
    </row>
    <row r="447" spans="1:12" ht="20.25" customHeight="1" x14ac:dyDescent="0.3">
      <c r="A447" s="90" t="s">
        <v>732</v>
      </c>
      <c r="B447" s="84"/>
      <c r="C447" s="7" t="s">
        <v>781</v>
      </c>
      <c r="D447" s="85" t="s">
        <v>27</v>
      </c>
      <c r="E447" s="86" t="s">
        <v>110</v>
      </c>
      <c r="F447" s="155">
        <v>12</v>
      </c>
      <c r="G447" s="156">
        <v>9</v>
      </c>
      <c r="H447" s="155" t="s">
        <v>851</v>
      </c>
      <c r="I447" s="155">
        <v>5</v>
      </c>
      <c r="J447" s="155" t="s">
        <v>853</v>
      </c>
      <c r="K447" s="155" t="s">
        <v>17</v>
      </c>
      <c r="L447" s="155" t="s">
        <v>526</v>
      </c>
    </row>
    <row r="448" spans="1:12" ht="20.25" customHeight="1" x14ac:dyDescent="0.3">
      <c r="A448" s="90" t="s">
        <v>833</v>
      </c>
      <c r="B448" s="84"/>
      <c r="C448" s="7" t="s">
        <v>832</v>
      </c>
      <c r="D448" s="85" t="s">
        <v>27</v>
      </c>
      <c r="E448" s="86" t="s">
        <v>110</v>
      </c>
      <c r="F448" s="155">
        <v>6</v>
      </c>
      <c r="G448" s="156">
        <v>9</v>
      </c>
      <c r="H448" s="155" t="s">
        <v>873</v>
      </c>
      <c r="I448" s="155">
        <v>5</v>
      </c>
      <c r="J448" s="155" t="s">
        <v>884</v>
      </c>
      <c r="K448" s="155" t="s">
        <v>17</v>
      </c>
      <c r="L448" s="155" t="s">
        <v>362</v>
      </c>
    </row>
    <row r="449" spans="1:12" ht="20.25" customHeight="1" x14ac:dyDescent="0.3">
      <c r="A449" s="90" t="s">
        <v>734</v>
      </c>
      <c r="B449" s="84"/>
      <c r="C449" s="7" t="s">
        <v>733</v>
      </c>
      <c r="D449" s="85" t="s">
        <v>27</v>
      </c>
      <c r="E449" s="86" t="s">
        <v>110</v>
      </c>
      <c r="F449" s="155">
        <v>6</v>
      </c>
      <c r="G449" s="156">
        <v>9</v>
      </c>
      <c r="H449" s="155" t="s">
        <v>873</v>
      </c>
      <c r="I449" s="155">
        <v>5</v>
      </c>
      <c r="J449" s="155" t="s">
        <v>874</v>
      </c>
      <c r="K449" s="155" t="s">
        <v>17</v>
      </c>
      <c r="L449" s="155" t="s">
        <v>362</v>
      </c>
    </row>
    <row r="450" spans="1:12" ht="20.25" customHeight="1" x14ac:dyDescent="0.3">
      <c r="A450" s="90" t="s">
        <v>728</v>
      </c>
      <c r="B450" s="84"/>
      <c r="C450" s="7" t="s">
        <v>836</v>
      </c>
      <c r="D450" s="85" t="s">
        <v>27</v>
      </c>
      <c r="E450" s="86" t="s">
        <v>106</v>
      </c>
      <c r="F450" s="155">
        <v>6</v>
      </c>
      <c r="G450" s="156">
        <v>8</v>
      </c>
      <c r="H450" s="155">
        <v>1</v>
      </c>
      <c r="I450" s="155">
        <v>4</v>
      </c>
      <c r="J450" s="155">
        <v>4</v>
      </c>
      <c r="K450" s="155" t="s">
        <v>17</v>
      </c>
      <c r="L450" s="155" t="s">
        <v>1076</v>
      </c>
    </row>
    <row r="451" spans="1:12" ht="20.25" customHeight="1" x14ac:dyDescent="0.3">
      <c r="A451" s="90" t="s">
        <v>728</v>
      </c>
      <c r="B451" s="84"/>
      <c r="C451" s="7" t="s">
        <v>727</v>
      </c>
      <c r="D451" s="85" t="s">
        <v>27</v>
      </c>
      <c r="E451" s="86" t="s">
        <v>110</v>
      </c>
      <c r="F451" s="155">
        <v>6</v>
      </c>
      <c r="G451" s="156">
        <v>8</v>
      </c>
      <c r="H451" s="155" t="s">
        <v>528</v>
      </c>
      <c r="I451" s="155">
        <v>4</v>
      </c>
      <c r="J451" s="155" t="s">
        <v>850</v>
      </c>
      <c r="K451" s="155" t="s">
        <v>17</v>
      </c>
      <c r="L451" s="155" t="s">
        <v>679</v>
      </c>
    </row>
    <row r="452" spans="1:12" ht="20.25" customHeight="1" x14ac:dyDescent="0.3">
      <c r="A452" s="90" t="s">
        <v>732</v>
      </c>
      <c r="B452" s="84"/>
      <c r="C452" s="7" t="s">
        <v>731</v>
      </c>
      <c r="D452" s="85" t="s">
        <v>27</v>
      </c>
      <c r="E452" s="86" t="s">
        <v>110</v>
      </c>
      <c r="F452" s="155">
        <v>12</v>
      </c>
      <c r="G452" s="156">
        <v>9</v>
      </c>
      <c r="H452" s="155" t="s">
        <v>851</v>
      </c>
      <c r="I452" s="155">
        <v>5</v>
      </c>
      <c r="J452" s="155" t="s">
        <v>853</v>
      </c>
      <c r="K452" s="155" t="s">
        <v>17</v>
      </c>
      <c r="L452" s="155" t="s">
        <v>679</v>
      </c>
    </row>
    <row r="453" spans="1:12" ht="20.25" customHeight="1" x14ac:dyDescent="0.3">
      <c r="A453" s="90" t="s">
        <v>720</v>
      </c>
      <c r="B453" s="84"/>
      <c r="C453" s="7" t="s">
        <v>719</v>
      </c>
      <c r="D453" s="85" t="s">
        <v>27</v>
      </c>
      <c r="E453" s="86" t="s">
        <v>110</v>
      </c>
      <c r="F453" s="155">
        <v>6</v>
      </c>
      <c r="G453" s="156">
        <v>8</v>
      </c>
      <c r="H453" s="155" t="s">
        <v>443</v>
      </c>
      <c r="I453" s="155">
        <v>4</v>
      </c>
      <c r="J453" s="155" t="s">
        <v>839</v>
      </c>
      <c r="K453" s="155" t="s">
        <v>17</v>
      </c>
      <c r="L453" s="155" t="s">
        <v>361</v>
      </c>
    </row>
    <row r="454" spans="1:12" ht="20.25" customHeight="1" x14ac:dyDescent="0.3">
      <c r="A454" s="90" t="s">
        <v>1041</v>
      </c>
      <c r="B454" s="84"/>
      <c r="C454" s="7" t="s">
        <v>1040</v>
      </c>
      <c r="D454" s="85" t="s">
        <v>47</v>
      </c>
      <c r="E454" s="86" t="s">
        <v>110</v>
      </c>
      <c r="F454" s="155">
        <v>6</v>
      </c>
      <c r="G454" s="156">
        <v>7</v>
      </c>
      <c r="H454" s="155" t="s">
        <v>868</v>
      </c>
      <c r="I454" s="155">
        <v>4</v>
      </c>
      <c r="J454" s="155" t="s">
        <v>868</v>
      </c>
      <c r="K454" s="155" t="s">
        <v>17</v>
      </c>
      <c r="L454" s="155" t="s">
        <v>362</v>
      </c>
    </row>
    <row r="455" spans="1:12" ht="20.25" customHeight="1" x14ac:dyDescent="0.3">
      <c r="A455" s="90" t="s">
        <v>1043</v>
      </c>
      <c r="B455" s="84"/>
      <c r="C455" s="7" t="s">
        <v>1042</v>
      </c>
      <c r="D455" s="85" t="s">
        <v>47</v>
      </c>
      <c r="E455" s="86" t="s">
        <v>110</v>
      </c>
      <c r="F455" s="155">
        <v>6</v>
      </c>
      <c r="G455" s="156">
        <v>7</v>
      </c>
      <c r="H455" s="155" t="s">
        <v>1051</v>
      </c>
      <c r="I455" s="155">
        <v>4</v>
      </c>
      <c r="J455" s="155" t="s">
        <v>1052</v>
      </c>
      <c r="K455" s="155" t="s">
        <v>17</v>
      </c>
      <c r="L455" s="155" t="s">
        <v>526</v>
      </c>
    </row>
    <row r="456" spans="1:12" ht="20.25" customHeight="1" x14ac:dyDescent="0.3">
      <c r="A456" s="90" t="s">
        <v>1045</v>
      </c>
      <c r="B456" s="84"/>
      <c r="C456" s="7" t="s">
        <v>1044</v>
      </c>
      <c r="D456" s="85" t="s">
        <v>47</v>
      </c>
      <c r="E456" s="86" t="s">
        <v>110</v>
      </c>
      <c r="F456" s="155">
        <v>6</v>
      </c>
      <c r="G456" s="156">
        <v>8</v>
      </c>
      <c r="H456" s="155" t="s">
        <v>868</v>
      </c>
      <c r="I456" s="155">
        <v>4</v>
      </c>
      <c r="J456" s="155" t="s">
        <v>868</v>
      </c>
      <c r="K456" s="155" t="s">
        <v>17</v>
      </c>
      <c r="L456" s="155" t="s">
        <v>362</v>
      </c>
    </row>
    <row r="457" spans="1:12" ht="20.25" customHeight="1" x14ac:dyDescent="0.3">
      <c r="A457" s="90" t="s">
        <v>382</v>
      </c>
      <c r="B457" s="84"/>
      <c r="C457" s="7" t="s">
        <v>381</v>
      </c>
      <c r="D457" s="85" t="s">
        <v>47</v>
      </c>
      <c r="E457" s="86" t="s">
        <v>110</v>
      </c>
      <c r="F457" s="155">
        <v>6</v>
      </c>
      <c r="G457" s="156">
        <v>8</v>
      </c>
      <c r="H457" s="155" t="s">
        <v>868</v>
      </c>
      <c r="I457" s="155">
        <v>4</v>
      </c>
      <c r="J457" s="155" t="s">
        <v>873</v>
      </c>
      <c r="K457" s="155" t="s">
        <v>17</v>
      </c>
      <c r="L457" s="155" t="s">
        <v>362</v>
      </c>
    </row>
    <row r="458" spans="1:12" ht="20.25" customHeight="1" x14ac:dyDescent="0.3">
      <c r="A458" s="90" t="s">
        <v>430</v>
      </c>
      <c r="B458" s="84"/>
      <c r="C458" s="7" t="s">
        <v>429</v>
      </c>
      <c r="D458" s="85" t="s">
        <v>47</v>
      </c>
      <c r="E458" s="86" t="s">
        <v>110</v>
      </c>
      <c r="F458" s="155">
        <v>6</v>
      </c>
      <c r="G458" s="156">
        <v>8</v>
      </c>
      <c r="H458" s="155" t="s">
        <v>873</v>
      </c>
      <c r="I458" s="155">
        <v>4</v>
      </c>
      <c r="J458" s="155" t="s">
        <v>868</v>
      </c>
      <c r="K458" s="155" t="s">
        <v>17</v>
      </c>
      <c r="L458" s="155" t="s">
        <v>362</v>
      </c>
    </row>
    <row r="459" spans="1:12" ht="20.25" customHeight="1" x14ac:dyDescent="0.3">
      <c r="A459" s="90" t="s">
        <v>1047</v>
      </c>
      <c r="B459" s="84"/>
      <c r="C459" s="7" t="s">
        <v>1046</v>
      </c>
      <c r="D459" s="85" t="s">
        <v>47</v>
      </c>
      <c r="E459" s="86" t="s">
        <v>110</v>
      </c>
      <c r="F459" s="155">
        <v>12</v>
      </c>
      <c r="G459" s="156">
        <v>9</v>
      </c>
      <c r="H459" s="155" t="s">
        <v>876</v>
      </c>
      <c r="I459" s="155">
        <v>5</v>
      </c>
      <c r="J459" s="155" t="s">
        <v>368</v>
      </c>
      <c r="K459" s="155" t="s">
        <v>17</v>
      </c>
      <c r="L459" s="155" t="s">
        <v>362</v>
      </c>
    </row>
    <row r="460" spans="1:12" ht="20.25" customHeight="1" x14ac:dyDescent="0.3">
      <c r="A460" s="90" t="s">
        <v>1049</v>
      </c>
      <c r="B460" s="84"/>
      <c r="C460" s="7" t="s">
        <v>1048</v>
      </c>
      <c r="D460" s="85" t="s">
        <v>47</v>
      </c>
      <c r="E460" s="86" t="s">
        <v>110</v>
      </c>
      <c r="F460" s="155">
        <v>6</v>
      </c>
      <c r="G460" s="156">
        <v>9</v>
      </c>
      <c r="H460" s="155" t="s">
        <v>1057</v>
      </c>
      <c r="I460" s="155">
        <v>5</v>
      </c>
      <c r="J460" s="155" t="s">
        <v>873</v>
      </c>
      <c r="K460" s="155" t="s">
        <v>17</v>
      </c>
      <c r="L460" s="155" t="s">
        <v>362</v>
      </c>
    </row>
    <row r="461" spans="1:12" ht="20.25" customHeight="1" x14ac:dyDescent="0.3">
      <c r="A461" s="90" t="s">
        <v>392</v>
      </c>
      <c r="B461" s="84"/>
      <c r="C461" s="7" t="s">
        <v>391</v>
      </c>
      <c r="D461" s="85" t="s">
        <v>47</v>
      </c>
      <c r="E461" s="86" t="s">
        <v>110</v>
      </c>
      <c r="F461" s="155">
        <v>6</v>
      </c>
      <c r="G461" s="156">
        <v>9</v>
      </c>
      <c r="H461" s="155" t="s">
        <v>868</v>
      </c>
      <c r="I461" s="155">
        <v>5</v>
      </c>
      <c r="J461" s="155" t="s">
        <v>883</v>
      </c>
      <c r="K461" s="155" t="s">
        <v>17</v>
      </c>
      <c r="L461" s="155" t="s">
        <v>362</v>
      </c>
    </row>
    <row r="462" spans="1:12" ht="20.25" customHeight="1" x14ac:dyDescent="0.3">
      <c r="A462" s="90" t="s">
        <v>1054</v>
      </c>
      <c r="B462" s="84"/>
      <c r="C462" s="7" t="s">
        <v>1053</v>
      </c>
      <c r="D462" s="85" t="s">
        <v>47</v>
      </c>
      <c r="E462" s="86" t="s">
        <v>110</v>
      </c>
      <c r="F462" s="155">
        <v>6</v>
      </c>
      <c r="G462" s="156">
        <v>7</v>
      </c>
      <c r="H462" s="155" t="s">
        <v>851</v>
      </c>
      <c r="I462" s="155">
        <v>4</v>
      </c>
      <c r="J462" s="155" t="s">
        <v>1056</v>
      </c>
      <c r="K462" s="155" t="s">
        <v>17</v>
      </c>
      <c r="L462" s="155" t="s">
        <v>679</v>
      </c>
    </row>
    <row r="463" spans="1:12" ht="20.25" customHeight="1" x14ac:dyDescent="0.3">
      <c r="A463" s="90" t="s">
        <v>1059</v>
      </c>
      <c r="B463" s="84"/>
      <c r="C463" s="7" t="s">
        <v>1058</v>
      </c>
      <c r="D463" s="85" t="s">
        <v>182</v>
      </c>
      <c r="E463" s="86" t="s">
        <v>106</v>
      </c>
      <c r="F463" s="155">
        <v>6</v>
      </c>
      <c r="G463" s="156">
        <v>7</v>
      </c>
      <c r="H463" s="155" t="s">
        <v>534</v>
      </c>
      <c r="I463" s="155">
        <v>4</v>
      </c>
      <c r="J463" s="155" t="s">
        <v>533</v>
      </c>
      <c r="K463" s="155" t="s">
        <v>17</v>
      </c>
      <c r="L463" s="155" t="s">
        <v>347</v>
      </c>
    </row>
    <row r="464" spans="1:12" ht="20.25" customHeight="1" x14ac:dyDescent="0.3">
      <c r="A464" s="90" t="s">
        <v>326</v>
      </c>
      <c r="B464" s="84"/>
      <c r="C464" s="7" t="s">
        <v>325</v>
      </c>
      <c r="D464" s="85" t="s">
        <v>183</v>
      </c>
      <c r="E464" s="86" t="s">
        <v>110</v>
      </c>
      <c r="F464" s="155">
        <v>6</v>
      </c>
      <c r="G464" s="156">
        <v>7</v>
      </c>
      <c r="H464" s="155" t="s">
        <v>1075</v>
      </c>
      <c r="I464" s="155">
        <v>4</v>
      </c>
      <c r="J464" s="155" t="s">
        <v>979</v>
      </c>
      <c r="K464" s="155" t="s">
        <v>17</v>
      </c>
      <c r="L464" s="155" t="s">
        <v>338</v>
      </c>
    </row>
    <row r="465" spans="1:12" ht="20.25" customHeight="1" x14ac:dyDescent="0.3">
      <c r="A465" s="90" t="s">
        <v>780</v>
      </c>
      <c r="B465" s="84"/>
      <c r="C465" s="7" t="s">
        <v>779</v>
      </c>
      <c r="D465" s="85" t="s">
        <v>183</v>
      </c>
      <c r="E465" s="86" t="s">
        <v>106</v>
      </c>
      <c r="F465" s="155">
        <v>6</v>
      </c>
      <c r="G465" s="156">
        <v>7</v>
      </c>
      <c r="H465" s="155" t="s">
        <v>851</v>
      </c>
      <c r="I465" s="155">
        <v>4</v>
      </c>
      <c r="J465" s="155" t="s">
        <v>531</v>
      </c>
      <c r="K465" s="155" t="s">
        <v>17</v>
      </c>
      <c r="L465" s="155" t="s">
        <v>526</v>
      </c>
    </row>
    <row r="466" spans="1:12" ht="20.25" customHeight="1" x14ac:dyDescent="0.3">
      <c r="A466" s="90" t="s">
        <v>451</v>
      </c>
      <c r="B466" s="84"/>
      <c r="C466" s="7" t="s">
        <v>450</v>
      </c>
      <c r="D466" s="85" t="s">
        <v>183</v>
      </c>
      <c r="E466" s="86" t="s">
        <v>110</v>
      </c>
      <c r="F466" s="155">
        <v>6</v>
      </c>
      <c r="G466" s="156">
        <v>7</v>
      </c>
      <c r="H466" s="155" t="s">
        <v>868</v>
      </c>
      <c r="I466" s="155">
        <v>4</v>
      </c>
      <c r="J466" s="155" t="s">
        <v>883</v>
      </c>
      <c r="K466" s="155" t="s">
        <v>17</v>
      </c>
      <c r="L466" s="155" t="s">
        <v>362</v>
      </c>
    </row>
    <row r="467" spans="1:12" ht="20.25" customHeight="1" x14ac:dyDescent="0.3">
      <c r="A467" s="90" t="s">
        <v>1061</v>
      </c>
      <c r="B467" s="84"/>
      <c r="C467" s="7" t="s">
        <v>1060</v>
      </c>
      <c r="D467" s="85" t="s">
        <v>183</v>
      </c>
      <c r="E467" s="86" t="s">
        <v>110</v>
      </c>
      <c r="F467" s="155">
        <v>6</v>
      </c>
      <c r="G467" s="156">
        <v>7</v>
      </c>
      <c r="H467" s="155" t="s">
        <v>1113</v>
      </c>
      <c r="I467" s="155">
        <v>4</v>
      </c>
      <c r="J467" s="155" t="s">
        <v>1114</v>
      </c>
      <c r="K467" s="155" t="s">
        <v>17</v>
      </c>
      <c r="L467" s="155" t="s">
        <v>362</v>
      </c>
    </row>
    <row r="468" spans="1:12" ht="20.25" customHeight="1" x14ac:dyDescent="0.3">
      <c r="A468" s="90" t="s">
        <v>1063</v>
      </c>
      <c r="B468" s="84"/>
      <c r="C468" s="7" t="s">
        <v>1062</v>
      </c>
      <c r="D468" s="85" t="s">
        <v>183</v>
      </c>
      <c r="E468" s="86" t="s">
        <v>110</v>
      </c>
      <c r="F468" s="155">
        <v>6</v>
      </c>
      <c r="G468" s="156">
        <v>7</v>
      </c>
      <c r="H468" s="155" t="s">
        <v>868</v>
      </c>
      <c r="I468" s="155">
        <v>4</v>
      </c>
      <c r="J468" s="155" t="s">
        <v>883</v>
      </c>
      <c r="K468" s="155" t="s">
        <v>17</v>
      </c>
      <c r="L468" s="155" t="s">
        <v>362</v>
      </c>
    </row>
    <row r="469" spans="1:12" ht="20.25" customHeight="1" x14ac:dyDescent="0.3">
      <c r="A469" s="90" t="s">
        <v>740</v>
      </c>
      <c r="B469" s="84"/>
      <c r="C469" s="7" t="s">
        <v>739</v>
      </c>
      <c r="D469" s="85" t="s">
        <v>183</v>
      </c>
      <c r="E469" s="86" t="s">
        <v>110</v>
      </c>
      <c r="F469" s="155">
        <v>6</v>
      </c>
      <c r="G469" s="156">
        <v>7</v>
      </c>
      <c r="H469" s="155" t="s">
        <v>868</v>
      </c>
      <c r="I469" s="155">
        <v>4</v>
      </c>
      <c r="J469" s="155" t="s">
        <v>873</v>
      </c>
      <c r="K469" s="155" t="s">
        <v>17</v>
      </c>
      <c r="L469" s="155" t="s">
        <v>362</v>
      </c>
    </row>
    <row r="470" spans="1:12" ht="20.25" customHeight="1" x14ac:dyDescent="0.3">
      <c r="A470" s="90" t="s">
        <v>1065</v>
      </c>
      <c r="B470" s="84"/>
      <c r="C470" s="7" t="s">
        <v>1064</v>
      </c>
      <c r="D470" s="85" t="s">
        <v>182</v>
      </c>
      <c r="E470" s="86" t="s">
        <v>106</v>
      </c>
      <c r="F470" s="155">
        <v>6</v>
      </c>
      <c r="G470" s="156">
        <v>7</v>
      </c>
      <c r="H470" s="155" t="s">
        <v>873</v>
      </c>
      <c r="I470" s="155">
        <v>4</v>
      </c>
      <c r="J470" s="155" t="s">
        <v>1112</v>
      </c>
      <c r="K470" s="155" t="s">
        <v>17</v>
      </c>
      <c r="L470" s="155" t="s">
        <v>362</v>
      </c>
    </row>
    <row r="471" spans="1:12" ht="20.25" customHeight="1" x14ac:dyDescent="0.3">
      <c r="A471" s="90" t="s">
        <v>697</v>
      </c>
      <c r="B471" s="84"/>
      <c r="C471" s="7" t="s">
        <v>696</v>
      </c>
      <c r="D471" s="85" t="s">
        <v>183</v>
      </c>
      <c r="E471" s="86" t="s">
        <v>110</v>
      </c>
      <c r="F471" s="155">
        <v>6</v>
      </c>
      <c r="G471" s="156">
        <v>7</v>
      </c>
      <c r="H471" s="155" t="s">
        <v>873</v>
      </c>
      <c r="I471" s="155">
        <v>4</v>
      </c>
      <c r="J471" s="155" t="s">
        <v>874</v>
      </c>
      <c r="K471" s="155" t="s">
        <v>17</v>
      </c>
      <c r="L471" s="155" t="s">
        <v>362</v>
      </c>
    </row>
    <row r="472" spans="1:12" ht="20.25" customHeight="1" x14ac:dyDescent="0.3">
      <c r="A472" s="90" t="s">
        <v>801</v>
      </c>
      <c r="B472" s="84"/>
      <c r="C472" s="7" t="s">
        <v>800</v>
      </c>
      <c r="D472" s="85" t="s">
        <v>183</v>
      </c>
      <c r="E472" s="86" t="s">
        <v>110</v>
      </c>
      <c r="F472" s="155">
        <v>6</v>
      </c>
      <c r="G472" s="156">
        <v>7</v>
      </c>
      <c r="H472" s="155" t="s">
        <v>527</v>
      </c>
      <c r="I472" s="155">
        <v>4</v>
      </c>
      <c r="J472" s="155" t="s">
        <v>527</v>
      </c>
      <c r="K472" s="155" t="s">
        <v>17</v>
      </c>
      <c r="L472" s="155" t="s">
        <v>526</v>
      </c>
    </row>
    <row r="473" spans="1:12" ht="20.25" customHeight="1" x14ac:dyDescent="0.3">
      <c r="A473" s="90" t="s">
        <v>1067</v>
      </c>
      <c r="B473" s="84"/>
      <c r="C473" s="7" t="s">
        <v>1066</v>
      </c>
      <c r="D473" s="85" t="s">
        <v>183</v>
      </c>
      <c r="E473" s="86" t="s">
        <v>106</v>
      </c>
      <c r="F473" s="155">
        <v>6</v>
      </c>
      <c r="G473" s="156">
        <v>7</v>
      </c>
      <c r="H473" s="155" t="s">
        <v>873</v>
      </c>
      <c r="I473" s="155">
        <v>4</v>
      </c>
      <c r="J473" s="155" t="s">
        <v>873</v>
      </c>
      <c r="K473" s="155" t="s">
        <v>17</v>
      </c>
      <c r="L473" s="155" t="s">
        <v>362</v>
      </c>
    </row>
    <row r="474" spans="1:12" ht="20.25" customHeight="1" x14ac:dyDescent="0.3">
      <c r="A474" s="90" t="s">
        <v>803</v>
      </c>
      <c r="B474" s="84"/>
      <c r="C474" s="7" t="s">
        <v>802</v>
      </c>
      <c r="D474" s="85" t="s">
        <v>183</v>
      </c>
      <c r="E474" s="86" t="s">
        <v>105</v>
      </c>
      <c r="F474" s="155">
        <v>4</v>
      </c>
      <c r="G474" s="156">
        <v>7</v>
      </c>
      <c r="H474" s="155">
        <v>2</v>
      </c>
      <c r="I474" s="155">
        <v>4</v>
      </c>
      <c r="J474" s="155">
        <v>4</v>
      </c>
      <c r="K474" s="155" t="s">
        <v>17</v>
      </c>
      <c r="L474" s="155">
        <v>2009</v>
      </c>
    </row>
    <row r="475" spans="1:12" ht="20.25" customHeight="1" x14ac:dyDescent="0.3">
      <c r="A475" s="90" t="s">
        <v>1069</v>
      </c>
      <c r="B475" s="84"/>
      <c r="C475" s="7" t="s">
        <v>1068</v>
      </c>
      <c r="D475" s="85" t="s">
        <v>183</v>
      </c>
      <c r="E475" s="86" t="s">
        <v>105</v>
      </c>
      <c r="F475" s="155">
        <v>6</v>
      </c>
      <c r="G475" s="156">
        <v>7</v>
      </c>
      <c r="H475" s="155" t="s">
        <v>443</v>
      </c>
      <c r="I475" s="155">
        <v>4</v>
      </c>
      <c r="J475" s="155" t="s">
        <v>841</v>
      </c>
      <c r="K475" s="155" t="s">
        <v>17</v>
      </c>
      <c r="L475" s="155" t="s">
        <v>338</v>
      </c>
    </row>
    <row r="476" spans="1:12" ht="20.25" customHeight="1" x14ac:dyDescent="0.3">
      <c r="A476" s="90" t="s">
        <v>593</v>
      </c>
      <c r="B476" s="84"/>
      <c r="C476" s="7" t="s">
        <v>592</v>
      </c>
      <c r="D476" s="85" t="s">
        <v>183</v>
      </c>
      <c r="E476" s="86" t="s">
        <v>110</v>
      </c>
      <c r="F476" s="155">
        <v>6</v>
      </c>
      <c r="G476" s="156">
        <v>7</v>
      </c>
      <c r="H476" s="155" t="s">
        <v>873</v>
      </c>
      <c r="I476" s="155">
        <v>4</v>
      </c>
      <c r="J476" s="155" t="s">
        <v>874</v>
      </c>
      <c r="K476" s="155" t="s">
        <v>17</v>
      </c>
      <c r="L476" s="155" t="s">
        <v>362</v>
      </c>
    </row>
    <row r="477" spans="1:12" ht="20.25" customHeight="1" x14ac:dyDescent="0.3">
      <c r="A477" s="90" t="s">
        <v>742</v>
      </c>
      <c r="B477" s="84"/>
      <c r="C477" s="7" t="s">
        <v>741</v>
      </c>
      <c r="D477" s="85" t="s">
        <v>183</v>
      </c>
      <c r="E477" s="86" t="s">
        <v>110</v>
      </c>
      <c r="F477" s="155">
        <v>6</v>
      </c>
      <c r="G477" s="156">
        <v>7</v>
      </c>
      <c r="H477" s="155" t="s">
        <v>873</v>
      </c>
      <c r="I477" s="155">
        <v>4</v>
      </c>
      <c r="J477" s="155" t="s">
        <v>874</v>
      </c>
      <c r="K477" s="155" t="s">
        <v>17</v>
      </c>
      <c r="L477" s="155" t="s">
        <v>362</v>
      </c>
    </row>
    <row r="478" spans="1:12" ht="20.25" customHeight="1" x14ac:dyDescent="0.3">
      <c r="A478" s="90" t="s">
        <v>807</v>
      </c>
      <c r="B478" s="84"/>
      <c r="C478" s="7" t="s">
        <v>806</v>
      </c>
      <c r="D478" s="85" t="s">
        <v>183</v>
      </c>
      <c r="E478" s="86" t="s">
        <v>110</v>
      </c>
      <c r="F478" s="155">
        <v>6</v>
      </c>
      <c r="G478" s="156">
        <v>8</v>
      </c>
      <c r="H478" s="155" t="s">
        <v>528</v>
      </c>
      <c r="I478" s="155">
        <v>4</v>
      </c>
      <c r="J478" s="155" t="s">
        <v>528</v>
      </c>
      <c r="K478" s="155" t="s">
        <v>17</v>
      </c>
      <c r="L478" s="155" t="s">
        <v>526</v>
      </c>
    </row>
    <row r="479" spans="1:12" ht="20.25" customHeight="1" x14ac:dyDescent="0.3">
      <c r="A479" s="90" t="s">
        <v>1071</v>
      </c>
      <c r="B479" s="84"/>
      <c r="C479" s="7" t="s">
        <v>1070</v>
      </c>
      <c r="D479" s="85" t="s">
        <v>183</v>
      </c>
      <c r="E479" s="86" t="s">
        <v>105</v>
      </c>
      <c r="F479" s="155">
        <v>4</v>
      </c>
      <c r="G479" s="156">
        <v>8</v>
      </c>
      <c r="H479" s="155" t="s">
        <v>868</v>
      </c>
      <c r="I479" s="155">
        <v>4</v>
      </c>
      <c r="J479" s="155" t="s">
        <v>874</v>
      </c>
      <c r="K479" s="155" t="s">
        <v>17</v>
      </c>
      <c r="L479" s="155" t="s">
        <v>362</v>
      </c>
    </row>
    <row r="480" spans="1:12" ht="20.25" customHeight="1" x14ac:dyDescent="0.3">
      <c r="A480" s="90" t="s">
        <v>277</v>
      </c>
      <c r="B480" s="84"/>
      <c r="C480" s="7" t="s">
        <v>902</v>
      </c>
      <c r="D480" s="85" t="s">
        <v>183</v>
      </c>
      <c r="E480" s="86" t="s">
        <v>106</v>
      </c>
      <c r="F480" s="155">
        <v>6</v>
      </c>
      <c r="G480" s="156">
        <v>8</v>
      </c>
      <c r="H480" s="155" t="s">
        <v>842</v>
      </c>
      <c r="I480" s="155">
        <v>4</v>
      </c>
      <c r="J480" s="155" t="s">
        <v>446</v>
      </c>
      <c r="K480" s="155" t="s">
        <v>17</v>
      </c>
      <c r="L480" s="155" t="s">
        <v>338</v>
      </c>
    </row>
    <row r="481" spans="1:12" ht="20.25" customHeight="1" x14ac:dyDescent="0.3">
      <c r="A481" s="90" t="s">
        <v>815</v>
      </c>
      <c r="B481" s="84"/>
      <c r="C481" s="7" t="s">
        <v>814</v>
      </c>
      <c r="D481" s="85" t="s">
        <v>183</v>
      </c>
      <c r="E481" s="86" t="s">
        <v>105</v>
      </c>
      <c r="F481" s="155">
        <v>6</v>
      </c>
      <c r="G481" s="156">
        <v>8</v>
      </c>
      <c r="H481" s="155" t="s">
        <v>868</v>
      </c>
      <c r="I481" s="155">
        <v>4</v>
      </c>
      <c r="J481" s="155" t="s">
        <v>884</v>
      </c>
      <c r="K481" s="155" t="s">
        <v>17</v>
      </c>
      <c r="L481" s="155" t="s">
        <v>362</v>
      </c>
    </row>
    <row r="482" spans="1:12" ht="20.25" customHeight="1" x14ac:dyDescent="0.3">
      <c r="A482" s="90" t="s">
        <v>817</v>
      </c>
      <c r="B482" s="84"/>
      <c r="C482" s="7" t="s">
        <v>816</v>
      </c>
      <c r="D482" s="85" t="s">
        <v>183</v>
      </c>
      <c r="E482" s="86" t="s">
        <v>105</v>
      </c>
      <c r="F482" s="155">
        <v>6</v>
      </c>
      <c r="G482" s="156">
        <v>8</v>
      </c>
      <c r="H482" s="155" t="s">
        <v>444</v>
      </c>
      <c r="I482" s="155">
        <v>4</v>
      </c>
      <c r="J482" s="155" t="s">
        <v>443</v>
      </c>
      <c r="K482" s="155" t="s">
        <v>17</v>
      </c>
      <c r="L482" s="155" t="s">
        <v>338</v>
      </c>
    </row>
    <row r="483" spans="1:12" ht="20.25" customHeight="1" x14ac:dyDescent="0.3">
      <c r="A483" s="90" t="s">
        <v>819</v>
      </c>
      <c r="B483" s="84"/>
      <c r="C483" s="7" t="s">
        <v>818</v>
      </c>
      <c r="D483" s="85" t="s">
        <v>183</v>
      </c>
      <c r="E483" s="86" t="s">
        <v>105</v>
      </c>
      <c r="F483" s="155">
        <v>6</v>
      </c>
      <c r="G483" s="156">
        <v>8</v>
      </c>
      <c r="H483" s="155" t="s">
        <v>868</v>
      </c>
      <c r="I483" s="155">
        <v>4</v>
      </c>
      <c r="J483" s="155" t="s">
        <v>874</v>
      </c>
      <c r="K483" s="155" t="s">
        <v>17</v>
      </c>
      <c r="L483" s="155" t="s">
        <v>362</v>
      </c>
    </row>
    <row r="484" spans="1:12" ht="20.25" customHeight="1" x14ac:dyDescent="0.3">
      <c r="A484" s="90" t="s">
        <v>241</v>
      </c>
      <c r="B484" s="84"/>
      <c r="C484" s="7" t="s">
        <v>240</v>
      </c>
      <c r="D484" s="85" t="s">
        <v>183</v>
      </c>
      <c r="E484" s="86" t="s">
        <v>106</v>
      </c>
      <c r="F484" s="155">
        <v>6</v>
      </c>
      <c r="G484" s="156">
        <v>8</v>
      </c>
      <c r="H484" s="155" t="s">
        <v>873</v>
      </c>
      <c r="I484" s="155">
        <v>4</v>
      </c>
      <c r="J484" s="155" t="s">
        <v>874</v>
      </c>
      <c r="K484" s="155" t="s">
        <v>17</v>
      </c>
      <c r="L484" s="155" t="s">
        <v>362</v>
      </c>
    </row>
    <row r="485" spans="1:12" ht="20.25" customHeight="1" x14ac:dyDescent="0.3">
      <c r="A485" s="90" t="s">
        <v>827</v>
      </c>
      <c r="B485" s="84"/>
      <c r="C485" s="7" t="s">
        <v>826</v>
      </c>
      <c r="D485" s="85" t="s">
        <v>183</v>
      </c>
      <c r="E485" s="86" t="s">
        <v>105</v>
      </c>
      <c r="F485" s="155">
        <v>6</v>
      </c>
      <c r="G485" s="156">
        <v>8</v>
      </c>
      <c r="H485" s="155" t="s">
        <v>873</v>
      </c>
      <c r="I485" s="155">
        <v>4</v>
      </c>
      <c r="J485" s="155" t="s">
        <v>874</v>
      </c>
      <c r="K485" s="155" t="s">
        <v>17</v>
      </c>
      <c r="L485" s="155" t="s">
        <v>362</v>
      </c>
    </row>
    <row r="486" spans="1:12" ht="20.25" customHeight="1" x14ac:dyDescent="0.3">
      <c r="A486" s="90" t="s">
        <v>213</v>
      </c>
      <c r="B486" s="84"/>
      <c r="C486" s="7" t="s">
        <v>212</v>
      </c>
      <c r="D486" s="85" t="s">
        <v>183</v>
      </c>
      <c r="E486" s="86" t="s">
        <v>106</v>
      </c>
      <c r="F486" s="155">
        <v>6</v>
      </c>
      <c r="G486" s="156">
        <v>9</v>
      </c>
      <c r="H486" s="155" t="s">
        <v>868</v>
      </c>
      <c r="I486" s="155">
        <v>5</v>
      </c>
      <c r="J486" s="155" t="s">
        <v>883</v>
      </c>
      <c r="K486" s="155" t="s">
        <v>17</v>
      </c>
      <c r="L486" s="155" t="s">
        <v>362</v>
      </c>
    </row>
    <row r="487" spans="1:12" ht="20.25" customHeight="1" x14ac:dyDescent="0.3">
      <c r="A487" s="90" t="s">
        <v>791</v>
      </c>
      <c r="B487" s="84"/>
      <c r="C487" s="7" t="s">
        <v>790</v>
      </c>
      <c r="D487" s="85" t="s">
        <v>183</v>
      </c>
      <c r="E487" s="86" t="s">
        <v>110</v>
      </c>
      <c r="F487" s="155">
        <v>6</v>
      </c>
      <c r="G487" s="156">
        <v>9</v>
      </c>
      <c r="H487" s="155" t="s">
        <v>443</v>
      </c>
      <c r="I487" s="155">
        <v>5</v>
      </c>
      <c r="J487" s="155" t="s">
        <v>841</v>
      </c>
      <c r="K487" s="155" t="s">
        <v>17</v>
      </c>
      <c r="L487" s="155" t="s">
        <v>338</v>
      </c>
    </row>
    <row r="488" spans="1:12" ht="20.25" customHeight="1" x14ac:dyDescent="0.3">
      <c r="A488" s="90" t="s">
        <v>1074</v>
      </c>
      <c r="B488" s="84"/>
      <c r="C488" s="7" t="s">
        <v>1073</v>
      </c>
      <c r="D488" s="85" t="s">
        <v>183</v>
      </c>
      <c r="E488" s="86" t="s">
        <v>106</v>
      </c>
      <c r="F488" s="155">
        <v>6</v>
      </c>
      <c r="G488" s="156">
        <v>7</v>
      </c>
      <c r="H488" s="155" t="s">
        <v>861</v>
      </c>
      <c r="I488" s="155">
        <v>4</v>
      </c>
      <c r="J488" s="155" t="s">
        <v>981</v>
      </c>
      <c r="K488" s="155" t="s">
        <v>17</v>
      </c>
      <c r="L488" s="155" t="s">
        <v>1110</v>
      </c>
    </row>
    <row r="489" spans="1:12" ht="20.25" customHeight="1" x14ac:dyDescent="0.3">
      <c r="A489" s="90" t="s">
        <v>560</v>
      </c>
      <c r="B489" s="84"/>
      <c r="C489" s="7" t="s">
        <v>559</v>
      </c>
      <c r="D489" s="85" t="s">
        <v>183</v>
      </c>
      <c r="E489" s="86" t="s">
        <v>110</v>
      </c>
      <c r="F489" s="155">
        <v>6</v>
      </c>
      <c r="G489" s="156">
        <v>7</v>
      </c>
      <c r="H489" s="155" t="s">
        <v>534</v>
      </c>
      <c r="I489" s="155">
        <v>4</v>
      </c>
      <c r="J489" s="155" t="s">
        <v>860</v>
      </c>
      <c r="K489" s="155" t="s">
        <v>17</v>
      </c>
      <c r="L489" s="155" t="s">
        <v>369</v>
      </c>
    </row>
    <row r="490" spans="1:12" ht="20.25" customHeight="1" x14ac:dyDescent="0.3">
      <c r="A490" s="90" t="s">
        <v>1069</v>
      </c>
      <c r="B490" s="84"/>
      <c r="C490" s="7" t="s">
        <v>1077</v>
      </c>
      <c r="D490" s="85" t="s">
        <v>183</v>
      </c>
      <c r="E490" s="86" t="s">
        <v>105</v>
      </c>
      <c r="F490" s="155">
        <v>6</v>
      </c>
      <c r="G490" s="156">
        <v>7</v>
      </c>
      <c r="H490" s="155" t="s">
        <v>533</v>
      </c>
      <c r="I490" s="155">
        <v>4</v>
      </c>
      <c r="J490" s="155" t="s">
        <v>863</v>
      </c>
      <c r="K490" s="155" t="s">
        <v>17</v>
      </c>
      <c r="L490" s="155" t="s">
        <v>369</v>
      </c>
    </row>
    <row r="491" spans="1:12" ht="20.25" customHeight="1" x14ac:dyDescent="0.3">
      <c r="A491" s="90" t="s">
        <v>215</v>
      </c>
      <c r="B491" s="84"/>
      <c r="C491" s="7" t="s">
        <v>214</v>
      </c>
      <c r="D491" s="85" t="s">
        <v>183</v>
      </c>
      <c r="E491" s="86" t="s">
        <v>110</v>
      </c>
      <c r="F491" s="155">
        <v>6</v>
      </c>
      <c r="G491" s="156">
        <v>7</v>
      </c>
      <c r="H491" s="155" t="s">
        <v>533</v>
      </c>
      <c r="I491" s="155">
        <v>4</v>
      </c>
      <c r="J491" s="155" t="s">
        <v>860</v>
      </c>
      <c r="K491" s="155" t="s">
        <v>17</v>
      </c>
      <c r="L491" s="155" t="s">
        <v>369</v>
      </c>
    </row>
    <row r="492" spans="1:12" ht="20.25" customHeight="1" x14ac:dyDescent="0.3">
      <c r="A492" s="90" t="s">
        <v>1079</v>
      </c>
      <c r="B492" s="84"/>
      <c r="C492" s="7" t="s">
        <v>1078</v>
      </c>
      <c r="D492" s="85" t="s">
        <v>183</v>
      </c>
      <c r="E492" s="86" t="s">
        <v>110</v>
      </c>
      <c r="F492" s="155">
        <v>6</v>
      </c>
      <c r="G492" s="156">
        <v>8</v>
      </c>
      <c r="H492" s="155">
        <v>1</v>
      </c>
      <c r="I492" s="155">
        <v>4</v>
      </c>
      <c r="J492" s="155">
        <v>1</v>
      </c>
      <c r="K492" s="155" t="s">
        <v>17</v>
      </c>
      <c r="L492" s="155">
        <v>2011</v>
      </c>
    </row>
    <row r="493" spans="1:12" ht="20.25" customHeight="1" x14ac:dyDescent="0.3">
      <c r="A493" s="90" t="s">
        <v>277</v>
      </c>
      <c r="B493" s="84"/>
      <c r="C493" s="7" t="s">
        <v>276</v>
      </c>
      <c r="D493" s="85" t="s">
        <v>183</v>
      </c>
      <c r="E493" s="86" t="s">
        <v>106</v>
      </c>
      <c r="F493" s="155">
        <v>6</v>
      </c>
      <c r="G493" s="156">
        <v>8</v>
      </c>
      <c r="H493" s="155" t="s">
        <v>861</v>
      </c>
      <c r="I493" s="155">
        <v>4</v>
      </c>
      <c r="J493" s="155" t="s">
        <v>350</v>
      </c>
      <c r="K493" s="155" t="s">
        <v>17</v>
      </c>
      <c r="L493" s="155" t="s">
        <v>369</v>
      </c>
    </row>
    <row r="494" spans="1:12" ht="20.25" customHeight="1" x14ac:dyDescent="0.3">
      <c r="A494" s="90" t="s">
        <v>846</v>
      </c>
      <c r="B494" s="84"/>
      <c r="C494" s="7" t="s">
        <v>845</v>
      </c>
      <c r="D494" s="85" t="s">
        <v>183</v>
      </c>
      <c r="E494" s="86" t="s">
        <v>105</v>
      </c>
      <c r="F494" s="155">
        <v>6</v>
      </c>
      <c r="G494" s="156">
        <v>8</v>
      </c>
      <c r="H494" s="155" t="s">
        <v>534</v>
      </c>
      <c r="I494" s="155">
        <v>4</v>
      </c>
      <c r="J494" s="155" t="s">
        <v>533</v>
      </c>
      <c r="K494" s="155" t="s">
        <v>17</v>
      </c>
      <c r="L494" s="155" t="s">
        <v>369</v>
      </c>
    </row>
    <row r="495" spans="1:12" ht="20.25" customHeight="1" x14ac:dyDescent="0.3">
      <c r="A495" s="90" t="s">
        <v>1081</v>
      </c>
      <c r="B495" s="84"/>
      <c r="C495" s="7" t="s">
        <v>1080</v>
      </c>
      <c r="D495" s="85" t="s">
        <v>183</v>
      </c>
      <c r="E495" s="86" t="s">
        <v>106</v>
      </c>
      <c r="F495" s="155">
        <v>6</v>
      </c>
      <c r="G495" s="156">
        <v>8</v>
      </c>
      <c r="H495" s="155" t="s">
        <v>534</v>
      </c>
      <c r="I495" s="155">
        <v>4</v>
      </c>
      <c r="J495" s="155" t="s">
        <v>860</v>
      </c>
      <c r="K495" s="155" t="s">
        <v>17</v>
      </c>
      <c r="L495" s="155" t="s">
        <v>369</v>
      </c>
    </row>
    <row r="496" spans="1:12" ht="20.25" customHeight="1" x14ac:dyDescent="0.3">
      <c r="A496" s="90" t="s">
        <v>1083</v>
      </c>
      <c r="B496" s="84"/>
      <c r="C496" s="7" t="s">
        <v>1082</v>
      </c>
      <c r="D496" s="85" t="s">
        <v>183</v>
      </c>
      <c r="E496" s="86" t="s">
        <v>110</v>
      </c>
      <c r="F496" s="155">
        <v>6</v>
      </c>
      <c r="G496" s="156">
        <v>9</v>
      </c>
      <c r="H496" s="155" t="s">
        <v>533</v>
      </c>
      <c r="I496" s="155">
        <v>5</v>
      </c>
      <c r="J496" s="155" t="s">
        <v>1117</v>
      </c>
      <c r="K496" s="155" t="s">
        <v>17</v>
      </c>
      <c r="L496" s="155" t="s">
        <v>369</v>
      </c>
    </row>
    <row r="497" spans="1:12" ht="20.25" customHeight="1" x14ac:dyDescent="0.3">
      <c r="A497" s="90" t="s">
        <v>1085</v>
      </c>
      <c r="B497" s="84"/>
      <c r="C497" s="7" t="s">
        <v>1084</v>
      </c>
      <c r="D497" s="85" t="s">
        <v>184</v>
      </c>
      <c r="E497" s="86" t="s">
        <v>110</v>
      </c>
      <c r="F497" s="155">
        <v>6</v>
      </c>
      <c r="G497" s="156">
        <v>7</v>
      </c>
      <c r="H497" s="155" t="s">
        <v>851</v>
      </c>
      <c r="I497" s="155">
        <v>4</v>
      </c>
      <c r="J497" s="155" t="s">
        <v>939</v>
      </c>
      <c r="K497" s="155" t="s">
        <v>17</v>
      </c>
      <c r="L497" s="155" t="s">
        <v>679</v>
      </c>
    </row>
    <row r="498" spans="1:12" ht="20.25" customHeight="1" x14ac:dyDescent="0.3">
      <c r="A498" s="90" t="s">
        <v>780</v>
      </c>
      <c r="B498" s="84"/>
      <c r="C498" s="7" t="s">
        <v>857</v>
      </c>
      <c r="D498" s="85" t="s">
        <v>183</v>
      </c>
      <c r="E498" s="86" t="s">
        <v>106</v>
      </c>
      <c r="F498" s="155">
        <v>6</v>
      </c>
      <c r="G498" s="156">
        <v>7</v>
      </c>
      <c r="H498" s="155" t="s">
        <v>851</v>
      </c>
      <c r="I498" s="155">
        <v>4</v>
      </c>
      <c r="J498" s="155" t="s">
        <v>880</v>
      </c>
      <c r="K498" s="155" t="s">
        <v>17</v>
      </c>
      <c r="L498" s="155" t="s">
        <v>679</v>
      </c>
    </row>
    <row r="499" spans="1:12" ht="20.25" customHeight="1" x14ac:dyDescent="0.3">
      <c r="A499" s="90" t="s">
        <v>1087</v>
      </c>
      <c r="B499" s="84"/>
      <c r="C499" s="7" t="s">
        <v>1086</v>
      </c>
      <c r="D499" s="85" t="s">
        <v>183</v>
      </c>
      <c r="E499" s="86" t="s">
        <v>106</v>
      </c>
      <c r="F499" s="155">
        <v>6</v>
      </c>
      <c r="G499" s="156">
        <v>7</v>
      </c>
      <c r="H499" s="155" t="s">
        <v>444</v>
      </c>
      <c r="I499" s="155">
        <v>4</v>
      </c>
      <c r="J499" s="155" t="s">
        <v>841</v>
      </c>
      <c r="K499" s="155" t="s">
        <v>17</v>
      </c>
      <c r="L499" s="155" t="s">
        <v>1111</v>
      </c>
    </row>
    <row r="500" spans="1:12" ht="20.25" customHeight="1" x14ac:dyDescent="0.3">
      <c r="A500" s="90" t="s">
        <v>699</v>
      </c>
      <c r="B500" s="84"/>
      <c r="C500" s="7" t="s">
        <v>698</v>
      </c>
      <c r="D500" s="85" t="s">
        <v>183</v>
      </c>
      <c r="E500" s="86" t="s">
        <v>110</v>
      </c>
      <c r="F500" s="155">
        <v>6</v>
      </c>
      <c r="G500" s="156">
        <v>7</v>
      </c>
      <c r="H500" s="155" t="s">
        <v>527</v>
      </c>
      <c r="I500" s="155">
        <v>4</v>
      </c>
      <c r="J500" s="155" t="s">
        <v>527</v>
      </c>
      <c r="K500" s="155" t="s">
        <v>17</v>
      </c>
      <c r="L500" s="155" t="s">
        <v>679</v>
      </c>
    </row>
    <row r="501" spans="1:12" ht="20.25" customHeight="1" x14ac:dyDescent="0.3">
      <c r="A501" s="90" t="s">
        <v>470</v>
      </c>
      <c r="B501" s="84"/>
      <c r="C501" s="7" t="s">
        <v>469</v>
      </c>
      <c r="D501" s="85" t="s">
        <v>183</v>
      </c>
      <c r="E501" s="86" t="s">
        <v>110</v>
      </c>
      <c r="F501" s="155">
        <v>6</v>
      </c>
      <c r="G501" s="156">
        <v>7</v>
      </c>
      <c r="H501" s="155" t="s">
        <v>527</v>
      </c>
      <c r="I501" s="155">
        <v>4</v>
      </c>
      <c r="J501" s="155" t="s">
        <v>528</v>
      </c>
      <c r="K501" s="155" t="s">
        <v>17</v>
      </c>
      <c r="L501" s="155" t="s">
        <v>679</v>
      </c>
    </row>
    <row r="502" spans="1:12" ht="20.25" customHeight="1" x14ac:dyDescent="0.3">
      <c r="A502" s="90" t="s">
        <v>1085</v>
      </c>
      <c r="B502" s="84"/>
      <c r="C502" s="7" t="s">
        <v>1084</v>
      </c>
      <c r="D502" s="85" t="s">
        <v>184</v>
      </c>
      <c r="E502" s="86" t="s">
        <v>110</v>
      </c>
      <c r="F502" s="155">
        <v>6</v>
      </c>
      <c r="G502" s="156">
        <v>8</v>
      </c>
      <c r="H502" s="155" t="s">
        <v>851</v>
      </c>
      <c r="I502" s="155">
        <v>4</v>
      </c>
      <c r="J502" s="155" t="s">
        <v>939</v>
      </c>
      <c r="K502" s="155" t="s">
        <v>17</v>
      </c>
      <c r="L502" s="155" t="s">
        <v>679</v>
      </c>
    </row>
    <row r="503" spans="1:12" ht="20.25" customHeight="1" x14ac:dyDescent="0.3">
      <c r="A503" s="90" t="s">
        <v>1089</v>
      </c>
      <c r="B503" s="84"/>
      <c r="C503" s="7" t="s">
        <v>1088</v>
      </c>
      <c r="D503" s="85" t="s">
        <v>183</v>
      </c>
      <c r="E503" s="86" t="s">
        <v>110</v>
      </c>
      <c r="F503" s="155">
        <v>6</v>
      </c>
      <c r="G503" s="156">
        <v>8</v>
      </c>
      <c r="H503" s="155" t="s">
        <v>528</v>
      </c>
      <c r="I503" s="155">
        <v>4</v>
      </c>
      <c r="J503" s="155" t="s">
        <v>854</v>
      </c>
      <c r="K503" s="155" t="s">
        <v>17</v>
      </c>
      <c r="L503" s="155" t="s">
        <v>679</v>
      </c>
    </row>
    <row r="504" spans="1:12" ht="20.25" customHeight="1" x14ac:dyDescent="0.3">
      <c r="A504" s="90" t="s">
        <v>1092</v>
      </c>
      <c r="B504" s="84"/>
      <c r="C504" s="7" t="s">
        <v>1091</v>
      </c>
      <c r="D504" s="85" t="s">
        <v>183</v>
      </c>
      <c r="E504" s="86" t="s">
        <v>106</v>
      </c>
      <c r="F504" s="155">
        <v>6</v>
      </c>
      <c r="G504" s="156">
        <v>7</v>
      </c>
      <c r="H504" s="155" t="s">
        <v>842</v>
      </c>
      <c r="I504" s="155">
        <v>4</v>
      </c>
      <c r="J504" s="155" t="s">
        <v>980</v>
      </c>
      <c r="K504" s="155" t="s">
        <v>17</v>
      </c>
      <c r="L504" s="155" t="s">
        <v>361</v>
      </c>
    </row>
    <row r="505" spans="1:12" ht="20.25" customHeight="1" x14ac:dyDescent="0.3">
      <c r="A505" s="90" t="s">
        <v>748</v>
      </c>
      <c r="B505" s="84"/>
      <c r="C505" s="7" t="s">
        <v>747</v>
      </c>
      <c r="D505" s="85" t="s">
        <v>183</v>
      </c>
      <c r="E505" s="86" t="s">
        <v>110</v>
      </c>
      <c r="F505" s="155">
        <v>12</v>
      </c>
      <c r="G505" s="156">
        <v>9</v>
      </c>
      <c r="H505" s="155" t="s">
        <v>842</v>
      </c>
      <c r="I505" s="155">
        <v>5</v>
      </c>
      <c r="J505" s="155" t="s">
        <v>446</v>
      </c>
      <c r="K505" s="155" t="s">
        <v>17</v>
      </c>
      <c r="L505" s="155" t="s">
        <v>361</v>
      </c>
    </row>
    <row r="506" spans="1:12" ht="20.25" customHeight="1" x14ac:dyDescent="0.3">
      <c r="A506" s="90" t="s">
        <v>1094</v>
      </c>
      <c r="B506" s="84"/>
      <c r="C506" s="7" t="s">
        <v>1093</v>
      </c>
      <c r="D506" s="85" t="s">
        <v>183</v>
      </c>
      <c r="E506" s="86" t="s">
        <v>110</v>
      </c>
      <c r="F506" s="155">
        <v>6</v>
      </c>
      <c r="G506" s="156">
        <v>9</v>
      </c>
      <c r="H506" s="155" t="s">
        <v>443</v>
      </c>
      <c r="I506" s="155">
        <v>5</v>
      </c>
      <c r="J506" s="155" t="s">
        <v>839</v>
      </c>
      <c r="K506" s="155" t="s">
        <v>17</v>
      </c>
      <c r="L506" s="155" t="s">
        <v>361</v>
      </c>
    </row>
    <row r="507" spans="1:12" ht="20.25" customHeight="1" x14ac:dyDescent="0.3">
      <c r="A507" s="90" t="s">
        <v>1097</v>
      </c>
      <c r="B507" s="84"/>
      <c r="C507" s="7" t="s">
        <v>1096</v>
      </c>
      <c r="D507" s="85" t="s">
        <v>183</v>
      </c>
      <c r="E507" s="86" t="s">
        <v>106</v>
      </c>
      <c r="F507" s="155">
        <v>6</v>
      </c>
      <c r="G507" s="156">
        <v>7</v>
      </c>
      <c r="H507" s="155">
        <v>1</v>
      </c>
      <c r="I507" s="155">
        <v>4</v>
      </c>
      <c r="J507" s="155">
        <v>1</v>
      </c>
      <c r="K507" s="155" t="s">
        <v>17</v>
      </c>
      <c r="L507" s="155">
        <v>2014</v>
      </c>
    </row>
    <row r="508" spans="1:12" ht="20.25" customHeight="1" x14ac:dyDescent="0.3">
      <c r="A508" s="90" t="s">
        <v>550</v>
      </c>
      <c r="B508" s="84"/>
      <c r="C508" s="7" t="s">
        <v>549</v>
      </c>
      <c r="D508" s="85" t="s">
        <v>183</v>
      </c>
      <c r="E508" s="86" t="s">
        <v>106</v>
      </c>
      <c r="F508" s="155">
        <v>6</v>
      </c>
      <c r="G508" s="156">
        <v>7</v>
      </c>
      <c r="H508" s="155">
        <v>1</v>
      </c>
      <c r="I508" s="155">
        <v>4</v>
      </c>
      <c r="J508" s="155">
        <v>2</v>
      </c>
      <c r="K508" s="155" t="s">
        <v>17</v>
      </c>
      <c r="L508" s="155">
        <v>2014</v>
      </c>
    </row>
    <row r="509" spans="1:12" ht="20.25" customHeight="1" x14ac:dyDescent="0.3">
      <c r="A509" s="90" t="s">
        <v>492</v>
      </c>
      <c r="B509" s="84"/>
      <c r="C509" s="7" t="s">
        <v>491</v>
      </c>
      <c r="D509" s="85" t="s">
        <v>183</v>
      </c>
      <c r="E509" s="86" t="s">
        <v>110</v>
      </c>
      <c r="F509" s="155">
        <v>6</v>
      </c>
      <c r="G509" s="156">
        <v>7</v>
      </c>
      <c r="H509" s="155">
        <v>1</v>
      </c>
      <c r="I509" s="155">
        <v>4</v>
      </c>
      <c r="J509" s="155">
        <v>2</v>
      </c>
      <c r="K509" s="155" t="s">
        <v>17</v>
      </c>
      <c r="L509" s="155">
        <v>2014</v>
      </c>
    </row>
    <row r="510" spans="1:12" ht="20.25" customHeight="1" x14ac:dyDescent="0.3">
      <c r="A510" s="90" t="s">
        <v>1099</v>
      </c>
      <c r="B510" s="84"/>
      <c r="C510" s="7" t="s">
        <v>1098</v>
      </c>
      <c r="D510" s="85" t="s">
        <v>183</v>
      </c>
      <c r="E510" s="86" t="s">
        <v>106</v>
      </c>
      <c r="F510" s="155">
        <v>6</v>
      </c>
      <c r="G510" s="156">
        <v>7</v>
      </c>
      <c r="H510" s="155" t="s">
        <v>199</v>
      </c>
      <c r="I510" s="155">
        <v>4</v>
      </c>
      <c r="J510" s="155" t="s">
        <v>1115</v>
      </c>
      <c r="K510" s="155" t="s">
        <v>17</v>
      </c>
      <c r="L510" s="155">
        <v>2014</v>
      </c>
    </row>
    <row r="511" spans="1:12" ht="20.25" customHeight="1" x14ac:dyDescent="0.3">
      <c r="A511" s="90" t="s">
        <v>1101</v>
      </c>
      <c r="B511" s="84"/>
      <c r="C511" s="7" t="s">
        <v>1100</v>
      </c>
      <c r="D511" s="85" t="s">
        <v>183</v>
      </c>
      <c r="E511" s="86" t="s">
        <v>106</v>
      </c>
      <c r="F511" s="155">
        <v>6</v>
      </c>
      <c r="G511" s="156">
        <v>7</v>
      </c>
      <c r="H511" s="155">
        <v>2</v>
      </c>
      <c r="I511" s="155">
        <v>4</v>
      </c>
      <c r="J511" s="155">
        <v>3</v>
      </c>
      <c r="K511" s="155" t="s">
        <v>17</v>
      </c>
      <c r="L511" s="155">
        <v>2014</v>
      </c>
    </row>
    <row r="512" spans="1:12" ht="20.25" customHeight="1" x14ac:dyDescent="0.3">
      <c r="A512" s="90" t="s">
        <v>541</v>
      </c>
      <c r="B512" s="84"/>
      <c r="C512" s="7" t="s">
        <v>540</v>
      </c>
      <c r="D512" s="85" t="s">
        <v>183</v>
      </c>
      <c r="E512" s="86" t="s">
        <v>106</v>
      </c>
      <c r="F512" s="155">
        <v>6</v>
      </c>
      <c r="G512" s="156">
        <v>7</v>
      </c>
      <c r="H512" s="155">
        <v>2</v>
      </c>
      <c r="I512" s="155">
        <v>4</v>
      </c>
      <c r="J512" s="155">
        <v>1</v>
      </c>
      <c r="K512" s="155" t="s">
        <v>17</v>
      </c>
      <c r="L512" s="155">
        <v>2014</v>
      </c>
    </row>
    <row r="513" spans="1:12" ht="20.25" customHeight="1" x14ac:dyDescent="0.3">
      <c r="A513" s="90" t="s">
        <v>554</v>
      </c>
      <c r="B513" s="84"/>
      <c r="C513" s="7" t="s">
        <v>553</v>
      </c>
      <c r="D513" s="85" t="s">
        <v>183</v>
      </c>
      <c r="E513" s="86" t="s">
        <v>106</v>
      </c>
      <c r="F513" s="155">
        <v>6</v>
      </c>
      <c r="G513" s="156">
        <v>7</v>
      </c>
      <c r="H513" s="155">
        <v>2</v>
      </c>
      <c r="I513" s="155">
        <v>4</v>
      </c>
      <c r="J513" s="155">
        <v>1</v>
      </c>
      <c r="K513" s="155" t="s">
        <v>17</v>
      </c>
      <c r="L513" s="155">
        <v>2014</v>
      </c>
    </row>
    <row r="514" spans="1:12" ht="20.25" customHeight="1" x14ac:dyDescent="0.3">
      <c r="A514" s="90" t="s">
        <v>207</v>
      </c>
      <c r="B514" s="84"/>
      <c r="C514" s="7" t="s">
        <v>1102</v>
      </c>
      <c r="D514" s="85" t="s">
        <v>183</v>
      </c>
      <c r="E514" s="86" t="s">
        <v>105</v>
      </c>
      <c r="F514" s="155">
        <v>4</v>
      </c>
      <c r="G514" s="156">
        <v>7</v>
      </c>
      <c r="H514" s="155">
        <v>2</v>
      </c>
      <c r="I514" s="155">
        <v>4</v>
      </c>
      <c r="J514" s="155">
        <v>2</v>
      </c>
      <c r="K514" s="155" t="s">
        <v>17</v>
      </c>
      <c r="L514" s="155">
        <v>2014</v>
      </c>
    </row>
    <row r="515" spans="1:12" ht="20.25" customHeight="1" x14ac:dyDescent="0.3">
      <c r="A515" s="90" t="s">
        <v>404</v>
      </c>
      <c r="B515" s="84"/>
      <c r="C515" s="7" t="s">
        <v>403</v>
      </c>
      <c r="D515" s="85" t="s">
        <v>183</v>
      </c>
      <c r="E515" s="86" t="s">
        <v>110</v>
      </c>
      <c r="F515" s="155">
        <v>6</v>
      </c>
      <c r="G515" s="156">
        <v>7</v>
      </c>
      <c r="H515" s="155">
        <v>2</v>
      </c>
      <c r="I515" s="155">
        <v>4</v>
      </c>
      <c r="J515" s="155">
        <v>2</v>
      </c>
      <c r="K515" s="155" t="s">
        <v>17</v>
      </c>
      <c r="L515" s="155">
        <v>2014</v>
      </c>
    </row>
    <row r="516" spans="1:12" ht="20.25" customHeight="1" x14ac:dyDescent="0.3">
      <c r="A516" s="90" t="s">
        <v>141</v>
      </c>
      <c r="B516" s="84"/>
      <c r="C516" s="7" t="s">
        <v>140</v>
      </c>
      <c r="D516" s="85" t="s">
        <v>183</v>
      </c>
      <c r="E516" s="86" t="s">
        <v>106</v>
      </c>
      <c r="F516" s="155">
        <v>6</v>
      </c>
      <c r="G516" s="156">
        <v>8</v>
      </c>
      <c r="H516" s="155" t="s">
        <v>199</v>
      </c>
      <c r="I516" s="155">
        <v>4</v>
      </c>
      <c r="J516" s="155" t="s">
        <v>333</v>
      </c>
      <c r="K516" s="155" t="s">
        <v>17</v>
      </c>
      <c r="L516" s="155">
        <v>2014</v>
      </c>
    </row>
    <row r="517" spans="1:12" ht="20.25" customHeight="1" x14ac:dyDescent="0.3">
      <c r="A517" s="90" t="s">
        <v>783</v>
      </c>
      <c r="B517" s="84"/>
      <c r="C517" s="7" t="s">
        <v>782</v>
      </c>
      <c r="D517" s="85" t="s">
        <v>183</v>
      </c>
      <c r="E517" s="86" t="s">
        <v>106</v>
      </c>
      <c r="F517" s="155">
        <v>6</v>
      </c>
      <c r="G517" s="156">
        <v>8</v>
      </c>
      <c r="H517" s="155">
        <v>1</v>
      </c>
      <c r="I517" s="155">
        <v>4</v>
      </c>
      <c r="J517" s="155">
        <v>4</v>
      </c>
      <c r="K517" s="155" t="s">
        <v>17</v>
      </c>
      <c r="L517" s="155">
        <v>2014</v>
      </c>
    </row>
    <row r="518" spans="1:12" ht="20.25" customHeight="1" x14ac:dyDescent="0.3">
      <c r="A518" s="90" t="s">
        <v>1104</v>
      </c>
      <c r="B518" s="84"/>
      <c r="C518" s="7" t="s">
        <v>1103</v>
      </c>
      <c r="D518" s="85" t="s">
        <v>183</v>
      </c>
      <c r="E518" s="86" t="s">
        <v>105</v>
      </c>
      <c r="F518" s="155">
        <v>8</v>
      </c>
      <c r="G518" s="156">
        <v>8</v>
      </c>
      <c r="H518" s="155" t="s">
        <v>199</v>
      </c>
      <c r="I518" s="155">
        <v>4</v>
      </c>
      <c r="J518" s="155" t="s">
        <v>1116</v>
      </c>
      <c r="K518" s="155" t="s">
        <v>17</v>
      </c>
      <c r="L518" s="155">
        <v>2014</v>
      </c>
    </row>
    <row r="519" spans="1:12" ht="20.25" customHeight="1" x14ac:dyDescent="0.3">
      <c r="A519" s="90" t="s">
        <v>271</v>
      </c>
      <c r="B519" s="84"/>
      <c r="C519" s="7" t="s">
        <v>270</v>
      </c>
      <c r="D519" s="85" t="s">
        <v>183</v>
      </c>
      <c r="E519" s="86" t="s">
        <v>105</v>
      </c>
      <c r="F519" s="155">
        <v>6</v>
      </c>
      <c r="G519" s="156">
        <v>8</v>
      </c>
      <c r="H519" s="155">
        <v>2</v>
      </c>
      <c r="I519" s="155">
        <v>4</v>
      </c>
      <c r="J519" s="155">
        <v>2</v>
      </c>
      <c r="K519" s="155" t="s">
        <v>17</v>
      </c>
      <c r="L519" s="155">
        <v>2014</v>
      </c>
    </row>
    <row r="520" spans="1:12" ht="20.25" customHeight="1" x14ac:dyDescent="0.3">
      <c r="A520" s="90" t="s">
        <v>508</v>
      </c>
      <c r="B520" s="84"/>
      <c r="C520" s="7" t="s">
        <v>507</v>
      </c>
      <c r="D520" s="85" t="s">
        <v>183</v>
      </c>
      <c r="E520" s="86" t="s">
        <v>110</v>
      </c>
      <c r="F520" s="155">
        <v>6</v>
      </c>
      <c r="G520" s="156">
        <v>8</v>
      </c>
      <c r="H520" s="155">
        <v>2</v>
      </c>
      <c r="I520" s="155">
        <v>4</v>
      </c>
      <c r="J520" s="155">
        <v>3</v>
      </c>
      <c r="K520" s="155" t="s">
        <v>17</v>
      </c>
      <c r="L520" s="155">
        <v>2014</v>
      </c>
    </row>
    <row r="521" spans="1:12" ht="20.25" customHeight="1" x14ac:dyDescent="0.3">
      <c r="A521" s="90" t="s">
        <v>166</v>
      </c>
      <c r="B521" s="84"/>
      <c r="C521" s="7" t="s">
        <v>1105</v>
      </c>
      <c r="D521" s="85" t="s">
        <v>183</v>
      </c>
      <c r="E521" s="86" t="s">
        <v>106</v>
      </c>
      <c r="F521" s="155">
        <v>6</v>
      </c>
      <c r="G521" s="156">
        <v>8</v>
      </c>
      <c r="H521" s="155">
        <v>2</v>
      </c>
      <c r="I521" s="155">
        <v>4</v>
      </c>
      <c r="J521" s="155">
        <v>3</v>
      </c>
      <c r="K521" s="155" t="s">
        <v>17</v>
      </c>
      <c r="L521" s="155">
        <v>2014</v>
      </c>
    </row>
    <row r="522" spans="1:12" ht="20.25" customHeight="1" x14ac:dyDescent="0.3">
      <c r="A522" s="90" t="s">
        <v>1107</v>
      </c>
      <c r="B522" s="84"/>
      <c r="C522" s="7" t="s">
        <v>1106</v>
      </c>
      <c r="D522" s="85" t="s">
        <v>183</v>
      </c>
      <c r="E522" s="86" t="s">
        <v>106</v>
      </c>
      <c r="F522" s="155">
        <v>6</v>
      </c>
      <c r="G522" s="156">
        <v>8</v>
      </c>
      <c r="H522" s="155">
        <v>2</v>
      </c>
      <c r="I522" s="155">
        <v>4</v>
      </c>
      <c r="J522" s="155">
        <v>4</v>
      </c>
      <c r="K522" s="155" t="s">
        <v>17</v>
      </c>
      <c r="L522" s="155">
        <v>2014</v>
      </c>
    </row>
    <row r="523" spans="1:12" ht="20.25" customHeight="1" x14ac:dyDescent="0.3">
      <c r="A523" s="90" t="s">
        <v>835</v>
      </c>
      <c r="B523" s="84"/>
      <c r="C523" s="7" t="s">
        <v>834</v>
      </c>
      <c r="D523" s="85" t="s">
        <v>183</v>
      </c>
      <c r="E523" s="86" t="s">
        <v>110</v>
      </c>
      <c r="F523" s="155">
        <v>6</v>
      </c>
      <c r="G523" s="156">
        <v>9</v>
      </c>
      <c r="H523" s="155">
        <v>1</v>
      </c>
      <c r="I523" s="155">
        <v>5</v>
      </c>
      <c r="J523" s="155">
        <v>3</v>
      </c>
      <c r="K523" s="155" t="s">
        <v>17</v>
      </c>
      <c r="L523" s="155">
        <v>2014</v>
      </c>
    </row>
    <row r="524" spans="1:12" ht="20.25" customHeight="1" x14ac:dyDescent="0.3">
      <c r="A524" s="90" t="s">
        <v>1109</v>
      </c>
      <c r="B524" s="84"/>
      <c r="C524" s="7" t="s">
        <v>1108</v>
      </c>
      <c r="D524" s="85" t="s">
        <v>183</v>
      </c>
      <c r="E524" s="86" t="s">
        <v>110</v>
      </c>
      <c r="F524" s="155">
        <v>6</v>
      </c>
      <c r="G524" s="156">
        <v>9</v>
      </c>
      <c r="H524" s="155">
        <v>1</v>
      </c>
      <c r="I524" s="155">
        <v>5</v>
      </c>
      <c r="J524" s="155">
        <v>2</v>
      </c>
      <c r="K524" s="155" t="s">
        <v>17</v>
      </c>
      <c r="L524" s="155">
        <v>2014</v>
      </c>
    </row>
    <row r="525" spans="1:12" ht="20.25" customHeight="1" x14ac:dyDescent="0.3">
      <c r="A525" s="90" t="s">
        <v>129</v>
      </c>
      <c r="B525" s="84"/>
      <c r="C525" s="7" t="s">
        <v>128</v>
      </c>
      <c r="D525" s="85" t="s">
        <v>182</v>
      </c>
      <c r="E525" s="86" t="s">
        <v>105</v>
      </c>
      <c r="F525" s="155">
        <v>6</v>
      </c>
      <c r="G525" s="156">
        <v>1</v>
      </c>
      <c r="H525" s="155" t="s">
        <v>917</v>
      </c>
      <c r="I525" s="155">
        <v>1</v>
      </c>
      <c r="J525" s="155" t="s">
        <v>1222</v>
      </c>
      <c r="K525" s="155" t="s">
        <v>17</v>
      </c>
      <c r="L525" s="155" t="s">
        <v>362</v>
      </c>
    </row>
    <row r="526" spans="1:12" ht="20.25" customHeight="1" x14ac:dyDescent="0.3">
      <c r="A526" s="90" t="s">
        <v>1119</v>
      </c>
      <c r="B526" s="84"/>
      <c r="C526" s="7" t="s">
        <v>1118</v>
      </c>
      <c r="D526" s="85" t="s">
        <v>182</v>
      </c>
      <c r="E526" s="86" t="s">
        <v>105</v>
      </c>
      <c r="F526" s="155">
        <v>8</v>
      </c>
      <c r="G526" s="156">
        <v>1</v>
      </c>
      <c r="H526" s="155" t="s">
        <v>199</v>
      </c>
      <c r="I526" s="155">
        <v>1</v>
      </c>
      <c r="J526" s="155" t="s">
        <v>1168</v>
      </c>
      <c r="K526" s="155" t="s">
        <v>17</v>
      </c>
      <c r="L526" s="155">
        <v>2009</v>
      </c>
    </row>
    <row r="527" spans="1:12" ht="20.25" customHeight="1" x14ac:dyDescent="0.3">
      <c r="A527" s="90" t="s">
        <v>1121</v>
      </c>
      <c r="B527" s="84"/>
      <c r="C527" s="7" t="s">
        <v>1120</v>
      </c>
      <c r="D527" s="85" t="s">
        <v>182</v>
      </c>
      <c r="E527" s="86" t="s">
        <v>105</v>
      </c>
      <c r="F527" s="155">
        <v>4</v>
      </c>
      <c r="G527" s="156">
        <v>1</v>
      </c>
      <c r="H527" s="155" t="s">
        <v>199</v>
      </c>
      <c r="I527" s="155">
        <v>1</v>
      </c>
      <c r="J527" s="155" t="s">
        <v>1055</v>
      </c>
      <c r="K527" s="155" t="s">
        <v>17</v>
      </c>
      <c r="L527" s="155">
        <v>2009</v>
      </c>
    </row>
    <row r="528" spans="1:12" ht="20.25" customHeight="1" x14ac:dyDescent="0.3">
      <c r="A528" s="90" t="s">
        <v>1123</v>
      </c>
      <c r="B528" s="84"/>
      <c r="C528" s="7" t="s">
        <v>1122</v>
      </c>
      <c r="D528" s="85" t="s">
        <v>182</v>
      </c>
      <c r="E528" s="86" t="s">
        <v>105</v>
      </c>
      <c r="F528" s="155">
        <v>6</v>
      </c>
      <c r="G528" s="156">
        <v>1</v>
      </c>
      <c r="H528" s="155">
        <v>1</v>
      </c>
      <c r="I528" s="155">
        <v>1</v>
      </c>
      <c r="J528" s="155">
        <v>2</v>
      </c>
      <c r="K528" s="155" t="s">
        <v>17</v>
      </c>
      <c r="L528" s="155">
        <v>2009</v>
      </c>
    </row>
    <row r="529" spans="1:12" ht="20.25" customHeight="1" x14ac:dyDescent="0.3">
      <c r="A529" s="90" t="s">
        <v>1125</v>
      </c>
      <c r="B529" s="84"/>
      <c r="C529" s="7" t="s">
        <v>1124</v>
      </c>
      <c r="D529" s="85" t="s">
        <v>182</v>
      </c>
      <c r="E529" s="86" t="s">
        <v>105</v>
      </c>
      <c r="F529" s="155">
        <v>6</v>
      </c>
      <c r="G529" s="156">
        <v>1</v>
      </c>
      <c r="H529" s="155" t="s">
        <v>871</v>
      </c>
      <c r="I529" s="155">
        <v>1</v>
      </c>
      <c r="J529" s="155" t="s">
        <v>533</v>
      </c>
      <c r="K529" s="155" t="s">
        <v>17</v>
      </c>
      <c r="L529" s="155" t="s">
        <v>1223</v>
      </c>
    </row>
    <row r="530" spans="1:12" ht="20.25" customHeight="1" x14ac:dyDescent="0.3">
      <c r="A530" s="90" t="s">
        <v>282</v>
      </c>
      <c r="B530" s="84"/>
      <c r="C530" s="7" t="s">
        <v>281</v>
      </c>
      <c r="D530" s="85" t="s">
        <v>184</v>
      </c>
      <c r="E530" s="86" t="s">
        <v>105</v>
      </c>
      <c r="F530" s="155">
        <v>2</v>
      </c>
      <c r="G530" s="156">
        <v>2</v>
      </c>
      <c r="H530" s="155" t="s">
        <v>876</v>
      </c>
      <c r="I530" s="155">
        <v>1</v>
      </c>
      <c r="J530" s="155" t="s">
        <v>1224</v>
      </c>
      <c r="K530" s="155" t="s">
        <v>17</v>
      </c>
      <c r="L530" s="155" t="s">
        <v>362</v>
      </c>
    </row>
    <row r="531" spans="1:12" ht="20.25" customHeight="1" x14ac:dyDescent="0.3">
      <c r="A531" s="90" t="s">
        <v>135</v>
      </c>
      <c r="B531" s="84"/>
      <c r="C531" s="7" t="s">
        <v>134</v>
      </c>
      <c r="D531" s="85" t="s">
        <v>182</v>
      </c>
      <c r="E531" s="86" t="s">
        <v>105</v>
      </c>
      <c r="F531" s="155">
        <v>6</v>
      </c>
      <c r="G531" s="156">
        <v>2</v>
      </c>
      <c r="H531" s="155" t="s">
        <v>868</v>
      </c>
      <c r="I531" s="155">
        <v>1</v>
      </c>
      <c r="J531" s="155" t="s">
        <v>883</v>
      </c>
      <c r="K531" s="155" t="s">
        <v>17</v>
      </c>
      <c r="L531" s="155" t="s">
        <v>362</v>
      </c>
    </row>
    <row r="532" spans="1:12" ht="20.25" customHeight="1" x14ac:dyDescent="0.3">
      <c r="A532" s="90" t="s">
        <v>1127</v>
      </c>
      <c r="B532" s="84"/>
      <c r="C532" s="7" t="s">
        <v>1126</v>
      </c>
      <c r="D532" s="85" t="s">
        <v>182</v>
      </c>
      <c r="E532" s="86" t="s">
        <v>105</v>
      </c>
      <c r="F532" s="155">
        <v>6</v>
      </c>
      <c r="G532" s="156">
        <v>2</v>
      </c>
      <c r="H532" s="155" t="s">
        <v>444</v>
      </c>
      <c r="I532" s="155">
        <v>1</v>
      </c>
      <c r="J532" s="155" t="s">
        <v>443</v>
      </c>
      <c r="K532" s="155" t="s">
        <v>17</v>
      </c>
      <c r="L532" s="155" t="s">
        <v>338</v>
      </c>
    </row>
    <row r="533" spans="1:12" ht="20.25" customHeight="1" x14ac:dyDescent="0.3">
      <c r="A533" s="90" t="s">
        <v>1129</v>
      </c>
      <c r="B533" s="84"/>
      <c r="C533" s="7" t="s">
        <v>1128</v>
      </c>
      <c r="D533" s="85" t="s">
        <v>182</v>
      </c>
      <c r="E533" s="86" t="s">
        <v>105</v>
      </c>
      <c r="F533" s="155">
        <v>6</v>
      </c>
      <c r="G533" s="156">
        <v>2</v>
      </c>
      <c r="H533" s="155" t="s">
        <v>842</v>
      </c>
      <c r="I533" s="155">
        <v>1</v>
      </c>
      <c r="J533" s="155" t="s">
        <v>280</v>
      </c>
      <c r="K533" s="155" t="s">
        <v>17</v>
      </c>
      <c r="L533" s="155" t="s">
        <v>338</v>
      </c>
    </row>
    <row r="534" spans="1:12" ht="20.25" customHeight="1" x14ac:dyDescent="0.3">
      <c r="A534" s="90" t="s">
        <v>284</v>
      </c>
      <c r="B534" s="84"/>
      <c r="C534" s="7" t="s">
        <v>283</v>
      </c>
      <c r="D534" s="85" t="s">
        <v>183</v>
      </c>
      <c r="E534" s="86" t="s">
        <v>105</v>
      </c>
      <c r="F534" s="155">
        <v>6</v>
      </c>
      <c r="G534" s="156">
        <v>2</v>
      </c>
      <c r="H534" s="155" t="s">
        <v>876</v>
      </c>
      <c r="I534" s="155">
        <v>1</v>
      </c>
      <c r="J534" s="155" t="s">
        <v>368</v>
      </c>
      <c r="K534" s="155" t="s">
        <v>17</v>
      </c>
      <c r="L534" s="155" t="s">
        <v>362</v>
      </c>
    </row>
    <row r="535" spans="1:12" ht="20.25" customHeight="1" x14ac:dyDescent="0.3">
      <c r="A535" s="90" t="s">
        <v>137</v>
      </c>
      <c r="B535" s="84"/>
      <c r="C535" s="7" t="s">
        <v>136</v>
      </c>
      <c r="D535" s="85" t="s">
        <v>182</v>
      </c>
      <c r="E535" s="86" t="s">
        <v>105</v>
      </c>
      <c r="F535" s="155">
        <v>6</v>
      </c>
      <c r="G535" s="156">
        <v>2</v>
      </c>
      <c r="H535" s="155" t="s">
        <v>873</v>
      </c>
      <c r="I535" s="155">
        <v>1</v>
      </c>
      <c r="J535" s="155" t="s">
        <v>883</v>
      </c>
      <c r="K535" s="155" t="s">
        <v>17</v>
      </c>
      <c r="L535" s="155" t="s">
        <v>362</v>
      </c>
    </row>
    <row r="536" spans="1:12" ht="20.25" customHeight="1" x14ac:dyDescent="0.3">
      <c r="A536" s="90" t="s">
        <v>1131</v>
      </c>
      <c r="B536" s="84"/>
      <c r="C536" s="7" t="s">
        <v>1130</v>
      </c>
      <c r="D536" s="85" t="s">
        <v>182</v>
      </c>
      <c r="E536" s="86" t="s">
        <v>105</v>
      </c>
      <c r="F536" s="155">
        <v>6</v>
      </c>
      <c r="G536" s="156">
        <v>2</v>
      </c>
      <c r="H536" s="155" t="s">
        <v>443</v>
      </c>
      <c r="I536" s="155">
        <v>1</v>
      </c>
      <c r="J536" s="155" t="s">
        <v>443</v>
      </c>
      <c r="K536" s="155" t="s">
        <v>17</v>
      </c>
      <c r="L536" s="155" t="s">
        <v>338</v>
      </c>
    </row>
    <row r="537" spans="1:12" ht="20.25" customHeight="1" x14ac:dyDescent="0.3">
      <c r="A537" s="90" t="s">
        <v>143</v>
      </c>
      <c r="B537" s="84"/>
      <c r="C537" s="7" t="s">
        <v>142</v>
      </c>
      <c r="D537" s="85" t="s">
        <v>182</v>
      </c>
      <c r="E537" s="86" t="s">
        <v>105</v>
      </c>
      <c r="F537" s="155">
        <v>8</v>
      </c>
      <c r="G537" s="156">
        <v>3</v>
      </c>
      <c r="H537" s="155" t="s">
        <v>199</v>
      </c>
      <c r="I537" s="155">
        <v>2</v>
      </c>
      <c r="J537" s="155" t="s">
        <v>1055</v>
      </c>
      <c r="K537" s="155" t="s">
        <v>17</v>
      </c>
      <c r="L537" s="155">
        <v>2009</v>
      </c>
    </row>
    <row r="538" spans="1:12" ht="20.25" customHeight="1" x14ac:dyDescent="0.3">
      <c r="A538" s="90" t="s">
        <v>1133</v>
      </c>
      <c r="B538" s="84"/>
      <c r="C538" s="7" t="s">
        <v>1132</v>
      </c>
      <c r="D538" s="85" t="s">
        <v>182</v>
      </c>
      <c r="E538" s="86" t="s">
        <v>105</v>
      </c>
      <c r="F538" s="155">
        <v>6</v>
      </c>
      <c r="G538" s="156">
        <v>3</v>
      </c>
      <c r="H538" s="155" t="s">
        <v>444</v>
      </c>
      <c r="I538" s="155">
        <v>2</v>
      </c>
      <c r="J538" s="155" t="s">
        <v>443</v>
      </c>
      <c r="K538" s="155" t="s">
        <v>17</v>
      </c>
      <c r="L538" s="155" t="s">
        <v>338</v>
      </c>
    </row>
    <row r="539" spans="1:12" ht="20.25" customHeight="1" x14ac:dyDescent="0.3">
      <c r="A539" s="90" t="s">
        <v>1135</v>
      </c>
      <c r="B539" s="84"/>
      <c r="C539" s="7" t="s">
        <v>1134</v>
      </c>
      <c r="D539" s="85" t="s">
        <v>182</v>
      </c>
      <c r="E539" s="86" t="s">
        <v>105</v>
      </c>
      <c r="F539" s="155">
        <v>6</v>
      </c>
      <c r="G539" s="156">
        <v>3</v>
      </c>
      <c r="H539" s="155" t="s">
        <v>1197</v>
      </c>
      <c r="I539" s="155">
        <v>2</v>
      </c>
      <c r="J539" s="155" t="s">
        <v>534</v>
      </c>
      <c r="K539" s="155" t="s">
        <v>17</v>
      </c>
      <c r="L539" s="155" t="s">
        <v>347</v>
      </c>
    </row>
    <row r="540" spans="1:12" ht="20.25" customHeight="1" x14ac:dyDescent="0.3">
      <c r="A540" s="90" t="s">
        <v>581</v>
      </c>
      <c r="B540" s="84"/>
      <c r="C540" s="7" t="s">
        <v>580</v>
      </c>
      <c r="D540" s="85" t="s">
        <v>183</v>
      </c>
      <c r="E540" s="86" t="s">
        <v>105</v>
      </c>
      <c r="F540" s="155">
        <v>6</v>
      </c>
      <c r="G540" s="156">
        <v>3</v>
      </c>
      <c r="H540" s="155" t="s">
        <v>444</v>
      </c>
      <c r="I540" s="155">
        <v>2</v>
      </c>
      <c r="J540" s="155" t="s">
        <v>841</v>
      </c>
      <c r="K540" s="155" t="s">
        <v>17</v>
      </c>
      <c r="L540" s="155" t="s">
        <v>338</v>
      </c>
    </row>
    <row r="541" spans="1:12" ht="20.25" customHeight="1" x14ac:dyDescent="0.3">
      <c r="A541" s="90" t="s">
        <v>303</v>
      </c>
      <c r="B541" s="84"/>
      <c r="C541" s="7" t="s">
        <v>302</v>
      </c>
      <c r="D541" s="85" t="s">
        <v>183</v>
      </c>
      <c r="E541" s="86" t="s">
        <v>105</v>
      </c>
      <c r="F541" s="155">
        <v>6</v>
      </c>
      <c r="G541" s="156">
        <v>3</v>
      </c>
      <c r="H541" s="155" t="s">
        <v>864</v>
      </c>
      <c r="I541" s="155">
        <v>2</v>
      </c>
      <c r="J541" s="155" t="s">
        <v>909</v>
      </c>
      <c r="K541" s="155" t="s">
        <v>17</v>
      </c>
      <c r="L541" s="155" t="s">
        <v>352</v>
      </c>
    </row>
    <row r="542" spans="1:12" ht="20.25" customHeight="1" x14ac:dyDescent="0.3">
      <c r="A542" s="90" t="s">
        <v>1137</v>
      </c>
      <c r="B542" s="84"/>
      <c r="C542" s="7" t="s">
        <v>1136</v>
      </c>
      <c r="D542" s="85" t="s">
        <v>183</v>
      </c>
      <c r="E542" s="86" t="s">
        <v>106</v>
      </c>
      <c r="F542" s="155">
        <v>4</v>
      </c>
      <c r="G542" s="156">
        <v>3</v>
      </c>
      <c r="H542" s="155">
        <v>1</v>
      </c>
      <c r="I542" s="155">
        <v>2</v>
      </c>
      <c r="J542" s="155">
        <v>3</v>
      </c>
      <c r="K542" s="155" t="s">
        <v>17</v>
      </c>
      <c r="L542" s="155">
        <v>2009</v>
      </c>
    </row>
    <row r="543" spans="1:12" ht="20.25" customHeight="1" x14ac:dyDescent="0.3">
      <c r="A543" s="90" t="s">
        <v>1139</v>
      </c>
      <c r="B543" s="84"/>
      <c r="C543" s="7" t="s">
        <v>1138</v>
      </c>
      <c r="D543" s="85" t="s">
        <v>182</v>
      </c>
      <c r="E543" s="86" t="s">
        <v>105</v>
      </c>
      <c r="F543" s="155">
        <v>6</v>
      </c>
      <c r="G543" s="156">
        <v>3</v>
      </c>
      <c r="H543" s="155" t="s">
        <v>443</v>
      </c>
      <c r="I543" s="155">
        <v>2</v>
      </c>
      <c r="J543" s="155" t="s">
        <v>443</v>
      </c>
      <c r="K543" s="155" t="s">
        <v>17</v>
      </c>
      <c r="L543" s="155" t="s">
        <v>338</v>
      </c>
    </row>
    <row r="544" spans="1:12" ht="20.25" customHeight="1" x14ac:dyDescent="0.3">
      <c r="A544" s="90" t="s">
        <v>48</v>
      </c>
      <c r="B544" s="84"/>
      <c r="C544" s="7" t="s">
        <v>237</v>
      </c>
      <c r="D544" s="85" t="s">
        <v>182</v>
      </c>
      <c r="E544" s="86" t="s">
        <v>105</v>
      </c>
      <c r="F544" s="155">
        <v>6</v>
      </c>
      <c r="G544" s="156">
        <v>3</v>
      </c>
      <c r="H544" s="155" t="s">
        <v>1000</v>
      </c>
      <c r="I544" s="155">
        <v>2</v>
      </c>
      <c r="J544" s="155" t="s">
        <v>1227</v>
      </c>
      <c r="K544" s="155" t="s">
        <v>17</v>
      </c>
      <c r="L544" s="155" t="s">
        <v>1007</v>
      </c>
    </row>
    <row r="545" spans="1:12" ht="20.25" customHeight="1" x14ac:dyDescent="0.3">
      <c r="A545" s="90" t="s">
        <v>777</v>
      </c>
      <c r="B545" s="84"/>
      <c r="C545" s="7" t="s">
        <v>1140</v>
      </c>
      <c r="D545" s="85" t="s">
        <v>182</v>
      </c>
      <c r="E545" s="86" t="s">
        <v>106</v>
      </c>
      <c r="F545" s="155">
        <v>6</v>
      </c>
      <c r="G545" s="156">
        <v>4</v>
      </c>
      <c r="H545" s="155" t="s">
        <v>851</v>
      </c>
      <c r="I545" s="155">
        <v>2</v>
      </c>
      <c r="J545" s="155" t="s">
        <v>851</v>
      </c>
      <c r="K545" s="155" t="s">
        <v>17</v>
      </c>
      <c r="L545" s="155" t="s">
        <v>526</v>
      </c>
    </row>
    <row r="546" spans="1:12" ht="20.25" customHeight="1" x14ac:dyDescent="0.3">
      <c r="A546" s="90" t="s">
        <v>1142</v>
      </c>
      <c r="B546" s="84"/>
      <c r="C546" s="7" t="s">
        <v>1141</v>
      </c>
      <c r="D546" s="85" t="s">
        <v>182</v>
      </c>
      <c r="E546" s="86" t="s">
        <v>105</v>
      </c>
      <c r="F546" s="155">
        <v>6</v>
      </c>
      <c r="G546" s="156">
        <v>4</v>
      </c>
      <c r="H546" s="155" t="s">
        <v>528</v>
      </c>
      <c r="I546" s="155">
        <v>2</v>
      </c>
      <c r="J546" s="155" t="s">
        <v>850</v>
      </c>
      <c r="K546" s="155" t="s">
        <v>17</v>
      </c>
      <c r="L546" s="155" t="s">
        <v>526</v>
      </c>
    </row>
    <row r="547" spans="1:12" ht="20.25" customHeight="1" x14ac:dyDescent="0.3">
      <c r="A547" s="90" t="s">
        <v>1144</v>
      </c>
      <c r="B547" s="84"/>
      <c r="C547" s="7" t="s">
        <v>1143</v>
      </c>
      <c r="D547" s="85" t="s">
        <v>182</v>
      </c>
      <c r="E547" s="86" t="s">
        <v>106</v>
      </c>
      <c r="F547" s="155">
        <v>6</v>
      </c>
      <c r="G547" s="156">
        <v>4</v>
      </c>
      <c r="H547" s="155" t="s">
        <v>528</v>
      </c>
      <c r="I547" s="155">
        <v>2</v>
      </c>
      <c r="J547" s="155" t="s">
        <v>527</v>
      </c>
      <c r="K547" s="155" t="s">
        <v>17</v>
      </c>
      <c r="L547" s="155" t="s">
        <v>526</v>
      </c>
    </row>
    <row r="548" spans="1:12" ht="20.25" customHeight="1" x14ac:dyDescent="0.3">
      <c r="A548" s="90" t="s">
        <v>912</v>
      </c>
      <c r="B548" s="84"/>
      <c r="C548" s="7" t="s">
        <v>911</v>
      </c>
      <c r="D548" s="85" t="s">
        <v>183</v>
      </c>
      <c r="E548" s="86" t="s">
        <v>105</v>
      </c>
      <c r="F548" s="155">
        <v>4</v>
      </c>
      <c r="G548" s="156">
        <v>4</v>
      </c>
      <c r="H548" s="155" t="s">
        <v>868</v>
      </c>
      <c r="I548" s="155">
        <v>2</v>
      </c>
      <c r="J548" s="155" t="s">
        <v>883</v>
      </c>
      <c r="K548" s="155" t="s">
        <v>17</v>
      </c>
      <c r="L548" s="155" t="s">
        <v>362</v>
      </c>
    </row>
    <row r="549" spans="1:12" ht="20.25" customHeight="1" x14ac:dyDescent="0.3">
      <c r="A549" s="90" t="s">
        <v>1146</v>
      </c>
      <c r="B549" s="84"/>
      <c r="C549" s="7" t="s">
        <v>1145</v>
      </c>
      <c r="D549" s="85" t="s">
        <v>182</v>
      </c>
      <c r="E549" s="86" t="s">
        <v>106</v>
      </c>
      <c r="F549" s="155">
        <v>6</v>
      </c>
      <c r="G549" s="156">
        <v>4</v>
      </c>
      <c r="H549" s="155" t="s">
        <v>542</v>
      </c>
      <c r="I549" s="155">
        <v>2</v>
      </c>
      <c r="J549" s="155" t="s">
        <v>1095</v>
      </c>
      <c r="K549" s="155" t="s">
        <v>17</v>
      </c>
      <c r="L549" s="155" t="s">
        <v>352</v>
      </c>
    </row>
    <row r="550" spans="1:12" ht="20.25" customHeight="1" x14ac:dyDescent="0.3">
      <c r="A550" s="90" t="s">
        <v>1148</v>
      </c>
      <c r="B550" s="84"/>
      <c r="C550" s="7" t="s">
        <v>1147</v>
      </c>
      <c r="D550" s="85" t="s">
        <v>182</v>
      </c>
      <c r="E550" s="86" t="s">
        <v>106</v>
      </c>
      <c r="F550" s="155">
        <v>6</v>
      </c>
      <c r="G550" s="156">
        <v>4</v>
      </c>
      <c r="H550" s="155" t="s">
        <v>527</v>
      </c>
      <c r="I550" s="155">
        <v>2</v>
      </c>
      <c r="J550" s="155" t="s">
        <v>850</v>
      </c>
      <c r="K550" s="155" t="s">
        <v>17</v>
      </c>
      <c r="L550" s="155" t="s">
        <v>526</v>
      </c>
    </row>
    <row r="551" spans="1:12" ht="20.25" customHeight="1" x14ac:dyDescent="0.3">
      <c r="A551" s="90" t="s">
        <v>48</v>
      </c>
      <c r="B551" s="84"/>
      <c r="C551" s="7" t="s">
        <v>237</v>
      </c>
      <c r="D551" s="85" t="s">
        <v>183</v>
      </c>
      <c r="E551" s="86" t="s">
        <v>105</v>
      </c>
      <c r="F551" s="155">
        <v>6</v>
      </c>
      <c r="G551" s="156">
        <v>4</v>
      </c>
      <c r="H551" s="155">
        <v>2</v>
      </c>
      <c r="I551" s="155">
        <v>2</v>
      </c>
      <c r="J551" s="155">
        <v>3</v>
      </c>
      <c r="K551" s="155" t="s">
        <v>17</v>
      </c>
      <c r="L551" s="155">
        <v>2009</v>
      </c>
    </row>
    <row r="552" spans="1:12" ht="20.25" customHeight="1" x14ac:dyDescent="0.3">
      <c r="A552" s="90" t="s">
        <v>206</v>
      </c>
      <c r="B552" s="84"/>
      <c r="C552" s="7" t="s">
        <v>1149</v>
      </c>
      <c r="D552" s="85" t="s">
        <v>182</v>
      </c>
      <c r="E552" s="86" t="s">
        <v>106</v>
      </c>
      <c r="F552" s="155">
        <v>6</v>
      </c>
      <c r="G552" s="156">
        <v>5</v>
      </c>
      <c r="H552" s="155" t="s">
        <v>528</v>
      </c>
      <c r="I552" s="155">
        <v>3</v>
      </c>
      <c r="J552" s="155" t="s">
        <v>850</v>
      </c>
      <c r="K552" s="155" t="s">
        <v>17</v>
      </c>
      <c r="L552" s="155" t="s">
        <v>526</v>
      </c>
    </row>
    <row r="553" spans="1:12" ht="20.25" customHeight="1" x14ac:dyDescent="0.3">
      <c r="A553" s="90" t="s">
        <v>1151</v>
      </c>
      <c r="B553" s="84"/>
      <c r="C553" s="7" t="s">
        <v>1150</v>
      </c>
      <c r="D553" s="85" t="s">
        <v>182</v>
      </c>
      <c r="E553" s="86" t="s">
        <v>106</v>
      </c>
      <c r="F553" s="155">
        <v>6</v>
      </c>
      <c r="G553" s="156">
        <v>5</v>
      </c>
      <c r="H553" s="155" t="s">
        <v>868</v>
      </c>
      <c r="I553" s="155">
        <v>3</v>
      </c>
      <c r="J553" s="155" t="s">
        <v>873</v>
      </c>
      <c r="K553" s="155" t="s">
        <v>17</v>
      </c>
      <c r="L553" s="155" t="s">
        <v>362</v>
      </c>
    </row>
    <row r="554" spans="1:12" ht="20.25" customHeight="1" x14ac:dyDescent="0.3">
      <c r="A554" s="90" t="s">
        <v>1153</v>
      </c>
      <c r="B554" s="84"/>
      <c r="C554" s="7" t="s">
        <v>1152</v>
      </c>
      <c r="D554" s="85" t="s">
        <v>182</v>
      </c>
      <c r="E554" s="86" t="s">
        <v>106</v>
      </c>
      <c r="F554" s="155">
        <v>6</v>
      </c>
      <c r="G554" s="156">
        <v>5</v>
      </c>
      <c r="H554" s="155" t="s">
        <v>851</v>
      </c>
      <c r="I554" s="155">
        <v>3</v>
      </c>
      <c r="J554" s="155" t="s">
        <v>1190</v>
      </c>
      <c r="K554" s="155" t="s">
        <v>17</v>
      </c>
      <c r="L554" s="155" t="s">
        <v>526</v>
      </c>
    </row>
    <row r="555" spans="1:12" ht="20.25" customHeight="1" x14ac:dyDescent="0.3">
      <c r="A555" s="90" t="s">
        <v>1155</v>
      </c>
      <c r="B555" s="84"/>
      <c r="C555" s="7" t="s">
        <v>1154</v>
      </c>
      <c r="D555" s="85" t="s">
        <v>183</v>
      </c>
      <c r="E555" s="86" t="s">
        <v>106</v>
      </c>
      <c r="F555" s="155">
        <v>6</v>
      </c>
      <c r="G555" s="156">
        <v>5</v>
      </c>
      <c r="H555" s="155" t="s">
        <v>938</v>
      </c>
      <c r="I555" s="155">
        <v>3</v>
      </c>
      <c r="J555" s="155" t="s">
        <v>1181</v>
      </c>
      <c r="K555" s="155" t="s">
        <v>17</v>
      </c>
      <c r="L555" s="155" t="s">
        <v>338</v>
      </c>
    </row>
    <row r="556" spans="1:12" ht="20.25" customHeight="1" x14ac:dyDescent="0.3">
      <c r="A556" s="90" t="s">
        <v>581</v>
      </c>
      <c r="B556" s="84"/>
      <c r="C556" s="7" t="s">
        <v>580</v>
      </c>
      <c r="D556" s="85" t="s">
        <v>183</v>
      </c>
      <c r="E556" s="86" t="s">
        <v>105</v>
      </c>
      <c r="F556" s="155">
        <v>6</v>
      </c>
      <c r="G556" s="156">
        <v>5</v>
      </c>
      <c r="H556" s="155" t="s">
        <v>444</v>
      </c>
      <c r="I556" s="155">
        <v>3</v>
      </c>
      <c r="J556" s="155" t="s">
        <v>841</v>
      </c>
      <c r="K556" s="155" t="s">
        <v>17</v>
      </c>
      <c r="L556" s="155" t="s">
        <v>338</v>
      </c>
    </row>
    <row r="557" spans="1:12" ht="20.25" customHeight="1" x14ac:dyDescent="0.3">
      <c r="A557" s="90" t="s">
        <v>303</v>
      </c>
      <c r="B557" s="84"/>
      <c r="C557" s="7" t="s">
        <v>302</v>
      </c>
      <c r="D557" s="85" t="s">
        <v>183</v>
      </c>
      <c r="E557" s="86" t="s">
        <v>105</v>
      </c>
      <c r="F557" s="155">
        <v>6</v>
      </c>
      <c r="G557" s="156">
        <v>5</v>
      </c>
      <c r="H557" s="155" t="s">
        <v>851</v>
      </c>
      <c r="I557" s="155">
        <v>3</v>
      </c>
      <c r="J557" s="155" t="s">
        <v>905</v>
      </c>
      <c r="K557" s="155" t="s">
        <v>17</v>
      </c>
      <c r="L557" s="155" t="s">
        <v>526</v>
      </c>
    </row>
    <row r="558" spans="1:12" ht="20.25" customHeight="1" x14ac:dyDescent="0.3">
      <c r="A558" s="90" t="s">
        <v>952</v>
      </c>
      <c r="B558" s="84"/>
      <c r="C558" s="7" t="s">
        <v>951</v>
      </c>
      <c r="D558" s="85" t="s">
        <v>183</v>
      </c>
      <c r="E558" s="86" t="s">
        <v>106</v>
      </c>
      <c r="F558" s="155">
        <v>6</v>
      </c>
      <c r="G558" s="156">
        <v>5</v>
      </c>
      <c r="H558" s="155" t="s">
        <v>543</v>
      </c>
      <c r="I558" s="155">
        <v>3</v>
      </c>
      <c r="J558" s="155" t="s">
        <v>865</v>
      </c>
      <c r="K558" s="155" t="s">
        <v>17</v>
      </c>
      <c r="L558" s="155" t="s">
        <v>352</v>
      </c>
    </row>
    <row r="559" spans="1:12" ht="20.25" customHeight="1" x14ac:dyDescent="0.3">
      <c r="A559" s="90" t="s">
        <v>455</v>
      </c>
      <c r="B559" s="84"/>
      <c r="C559" s="7" t="s">
        <v>454</v>
      </c>
      <c r="D559" s="85" t="s">
        <v>183</v>
      </c>
      <c r="E559" s="86" t="s">
        <v>106</v>
      </c>
      <c r="F559" s="155">
        <v>6</v>
      </c>
      <c r="G559" s="156">
        <v>5</v>
      </c>
      <c r="H559" s="155" t="s">
        <v>861</v>
      </c>
      <c r="I559" s="155">
        <v>3</v>
      </c>
      <c r="J559" s="155" t="s">
        <v>1198</v>
      </c>
      <c r="K559" s="155" t="s">
        <v>17</v>
      </c>
      <c r="L559" s="155" t="s">
        <v>347</v>
      </c>
    </row>
    <row r="560" spans="1:12" ht="20.25" customHeight="1" x14ac:dyDescent="0.3">
      <c r="A560" s="90" t="s">
        <v>458</v>
      </c>
      <c r="B560" s="84"/>
      <c r="C560" s="7" t="s">
        <v>457</v>
      </c>
      <c r="D560" s="85" t="s">
        <v>183</v>
      </c>
      <c r="E560" s="86" t="s">
        <v>106</v>
      </c>
      <c r="F560" s="155">
        <v>6</v>
      </c>
      <c r="G560" s="156">
        <v>5</v>
      </c>
      <c r="H560" s="155" t="s">
        <v>543</v>
      </c>
      <c r="I560" s="155">
        <v>3</v>
      </c>
      <c r="J560" s="155" t="s">
        <v>865</v>
      </c>
      <c r="K560" s="155" t="s">
        <v>17</v>
      </c>
      <c r="L560" s="155" t="s">
        <v>352</v>
      </c>
    </row>
    <row r="561" spans="1:12" ht="20.25" customHeight="1" x14ac:dyDescent="0.3">
      <c r="A561" s="90" t="s">
        <v>1157</v>
      </c>
      <c r="B561" s="84"/>
      <c r="C561" s="7" t="s">
        <v>1156</v>
      </c>
      <c r="D561" s="85" t="s">
        <v>182</v>
      </c>
      <c r="E561" s="86" t="s">
        <v>106</v>
      </c>
      <c r="F561" s="155">
        <v>6</v>
      </c>
      <c r="G561" s="156">
        <v>5</v>
      </c>
      <c r="H561" s="155" t="s">
        <v>1229</v>
      </c>
      <c r="I561" s="155">
        <v>3</v>
      </c>
      <c r="J561" s="155" t="s">
        <v>1229</v>
      </c>
      <c r="K561" s="155" t="s">
        <v>17</v>
      </c>
      <c r="L561" s="155" t="s">
        <v>1228</v>
      </c>
    </row>
    <row r="562" spans="1:12" ht="20.25" customHeight="1" x14ac:dyDescent="0.3">
      <c r="A562" s="90" t="s">
        <v>1159</v>
      </c>
      <c r="B562" s="84"/>
      <c r="C562" s="7" t="s">
        <v>1158</v>
      </c>
      <c r="D562" s="85" t="s">
        <v>182</v>
      </c>
      <c r="E562" s="86" t="s">
        <v>106</v>
      </c>
      <c r="F562" s="155">
        <v>6</v>
      </c>
      <c r="G562" s="156">
        <v>5</v>
      </c>
      <c r="H562" s="155" t="s">
        <v>527</v>
      </c>
      <c r="I562" s="155">
        <v>3</v>
      </c>
      <c r="J562" s="155" t="s">
        <v>854</v>
      </c>
      <c r="K562" s="155" t="s">
        <v>17</v>
      </c>
      <c r="L562" s="155" t="s">
        <v>526</v>
      </c>
    </row>
    <row r="563" spans="1:12" ht="20.25" customHeight="1" x14ac:dyDescent="0.3">
      <c r="A563" s="90" t="s">
        <v>470</v>
      </c>
      <c r="B563" s="84"/>
      <c r="C563" s="7" t="s">
        <v>469</v>
      </c>
      <c r="D563" s="85" t="s">
        <v>183</v>
      </c>
      <c r="E563" s="86" t="s">
        <v>110</v>
      </c>
      <c r="F563" s="155">
        <v>6</v>
      </c>
      <c r="G563" s="156">
        <v>5</v>
      </c>
      <c r="H563" s="155" t="s">
        <v>527</v>
      </c>
      <c r="I563" s="155">
        <v>3</v>
      </c>
      <c r="J563" s="155" t="s">
        <v>528</v>
      </c>
      <c r="K563" s="155" t="s">
        <v>17</v>
      </c>
      <c r="L563" s="155" t="s">
        <v>526</v>
      </c>
    </row>
    <row r="564" spans="1:12" ht="20.25" customHeight="1" x14ac:dyDescent="0.3">
      <c r="A564" s="90" t="s">
        <v>207</v>
      </c>
      <c r="B564" s="84"/>
      <c r="C564" s="7" t="s">
        <v>1102</v>
      </c>
      <c r="D564" s="85" t="s">
        <v>183</v>
      </c>
      <c r="E564" s="86" t="s">
        <v>105</v>
      </c>
      <c r="F564" s="155">
        <v>4</v>
      </c>
      <c r="G564" s="156">
        <v>5</v>
      </c>
      <c r="H564" s="155" t="s">
        <v>542</v>
      </c>
      <c r="I564" s="155">
        <v>3</v>
      </c>
      <c r="J564" s="155" t="s">
        <v>1213</v>
      </c>
      <c r="K564" s="155" t="s">
        <v>17</v>
      </c>
      <c r="L564" s="155" t="s">
        <v>352</v>
      </c>
    </row>
    <row r="565" spans="1:12" ht="20.25" customHeight="1" x14ac:dyDescent="0.3">
      <c r="A565" s="90" t="s">
        <v>1161</v>
      </c>
      <c r="B565" s="84"/>
      <c r="C565" s="7" t="s">
        <v>1160</v>
      </c>
      <c r="D565" s="85" t="s">
        <v>182</v>
      </c>
      <c r="E565" s="86" t="s">
        <v>106</v>
      </c>
      <c r="F565" s="155">
        <v>6</v>
      </c>
      <c r="G565" s="156">
        <v>6</v>
      </c>
      <c r="H565" s="155" t="s">
        <v>868</v>
      </c>
      <c r="I565" s="155">
        <v>3</v>
      </c>
      <c r="J565" s="155" t="s">
        <v>868</v>
      </c>
      <c r="K565" s="155" t="s">
        <v>17</v>
      </c>
      <c r="L565" s="155" t="s">
        <v>362</v>
      </c>
    </row>
    <row r="566" spans="1:12" ht="20.25" customHeight="1" x14ac:dyDescent="0.3">
      <c r="A566" s="90" t="s">
        <v>141</v>
      </c>
      <c r="B566" s="84"/>
      <c r="C566" s="7" t="s">
        <v>140</v>
      </c>
      <c r="D566" s="85" t="s">
        <v>183</v>
      </c>
      <c r="E566" s="86" t="s">
        <v>106</v>
      </c>
      <c r="F566" s="155">
        <v>6</v>
      </c>
      <c r="G566" s="156">
        <v>6</v>
      </c>
      <c r="H566" s="155" t="s">
        <v>864</v>
      </c>
      <c r="I566" s="155">
        <v>3</v>
      </c>
      <c r="J566" s="155" t="s">
        <v>354</v>
      </c>
      <c r="K566" s="155" t="s">
        <v>17</v>
      </c>
      <c r="L566" s="155" t="s">
        <v>352</v>
      </c>
    </row>
    <row r="567" spans="1:12" ht="20.25" customHeight="1" x14ac:dyDescent="0.3">
      <c r="A567" s="90" t="s">
        <v>1163</v>
      </c>
      <c r="B567" s="84"/>
      <c r="C567" s="7" t="s">
        <v>1162</v>
      </c>
      <c r="D567" s="85" t="s">
        <v>183</v>
      </c>
      <c r="E567" s="86" t="s">
        <v>110</v>
      </c>
      <c r="F567" s="155">
        <v>6</v>
      </c>
      <c r="G567" s="156">
        <v>6</v>
      </c>
      <c r="H567" s="155">
        <v>1</v>
      </c>
      <c r="I567" s="155">
        <v>3</v>
      </c>
      <c r="J567" s="155">
        <v>3</v>
      </c>
      <c r="K567" s="155" t="s">
        <v>17</v>
      </c>
      <c r="L567" s="155">
        <v>2009</v>
      </c>
    </row>
    <row r="568" spans="1:12" ht="20.25" customHeight="1" x14ac:dyDescent="0.3">
      <c r="A568" s="90" t="s">
        <v>478</v>
      </c>
      <c r="B568" s="84"/>
      <c r="C568" s="7" t="s">
        <v>477</v>
      </c>
      <c r="D568" s="85" t="s">
        <v>183</v>
      </c>
      <c r="E568" s="86" t="s">
        <v>106</v>
      </c>
      <c r="F568" s="155">
        <v>8</v>
      </c>
      <c r="G568" s="156">
        <v>6</v>
      </c>
      <c r="H568" s="155" t="s">
        <v>861</v>
      </c>
      <c r="I568" s="155">
        <v>3</v>
      </c>
      <c r="J568" s="155" t="s">
        <v>1199</v>
      </c>
      <c r="K568" s="155" t="s">
        <v>17</v>
      </c>
      <c r="L568" s="155" t="s">
        <v>347</v>
      </c>
    </row>
    <row r="569" spans="1:12" ht="20.25" customHeight="1" x14ac:dyDescent="0.3">
      <c r="A569" s="90" t="s">
        <v>783</v>
      </c>
      <c r="B569" s="84"/>
      <c r="C569" s="7" t="s">
        <v>782</v>
      </c>
      <c r="D569" s="85" t="s">
        <v>183</v>
      </c>
      <c r="E569" s="86" t="s">
        <v>106</v>
      </c>
      <c r="F569" s="155">
        <v>6</v>
      </c>
      <c r="G569" s="156">
        <v>6</v>
      </c>
      <c r="H569" s="155" t="s">
        <v>543</v>
      </c>
      <c r="I569" s="155">
        <v>3</v>
      </c>
      <c r="J569" s="155" t="s">
        <v>1003</v>
      </c>
      <c r="K569" s="155" t="s">
        <v>17</v>
      </c>
      <c r="L569" s="155" t="s">
        <v>352</v>
      </c>
    </row>
    <row r="570" spans="1:12" ht="20.25" customHeight="1" x14ac:dyDescent="0.3">
      <c r="A570" s="90" t="s">
        <v>1104</v>
      </c>
      <c r="B570" s="84"/>
      <c r="C570" s="7" t="s">
        <v>1164</v>
      </c>
      <c r="D570" s="85" t="s">
        <v>183</v>
      </c>
      <c r="E570" s="86" t="s">
        <v>105</v>
      </c>
      <c r="F570" s="155">
        <v>6</v>
      </c>
      <c r="G570" s="156">
        <v>6</v>
      </c>
      <c r="H570" s="155">
        <v>1</v>
      </c>
      <c r="I570" s="155">
        <v>3</v>
      </c>
      <c r="J570" s="155">
        <v>3</v>
      </c>
      <c r="K570" s="155" t="s">
        <v>17</v>
      </c>
      <c r="L570" s="155">
        <v>2009</v>
      </c>
    </row>
    <row r="571" spans="1:12" ht="20.25" customHeight="1" x14ac:dyDescent="0.3">
      <c r="A571" s="90" t="s">
        <v>1107</v>
      </c>
      <c r="B571" s="84"/>
      <c r="C571" s="7" t="s">
        <v>1165</v>
      </c>
      <c r="D571" s="85" t="s">
        <v>183</v>
      </c>
      <c r="E571" s="86" t="s">
        <v>106</v>
      </c>
      <c r="F571" s="155">
        <v>6</v>
      </c>
      <c r="G571" s="156">
        <v>6</v>
      </c>
      <c r="H571" s="155" t="s">
        <v>542</v>
      </c>
      <c r="I571" s="155">
        <v>3</v>
      </c>
      <c r="J571" s="155" t="s">
        <v>1214</v>
      </c>
      <c r="K571" s="155" t="s">
        <v>17</v>
      </c>
      <c r="L571" s="155" t="s">
        <v>352</v>
      </c>
    </row>
    <row r="572" spans="1:12" ht="20.25" customHeight="1" x14ac:dyDescent="0.3">
      <c r="A572" s="90" t="s">
        <v>1167</v>
      </c>
      <c r="B572" s="84"/>
      <c r="C572" s="7" t="s">
        <v>1166</v>
      </c>
      <c r="D572" s="85" t="s">
        <v>183</v>
      </c>
      <c r="E572" s="86" t="s">
        <v>105</v>
      </c>
      <c r="F572" s="155">
        <v>6</v>
      </c>
      <c r="G572" s="156">
        <v>6</v>
      </c>
      <c r="H572" s="155" t="s">
        <v>542</v>
      </c>
      <c r="I572" s="155">
        <v>3</v>
      </c>
      <c r="J572" s="155" t="s">
        <v>543</v>
      </c>
      <c r="K572" s="155" t="s">
        <v>17</v>
      </c>
      <c r="L572" s="155" t="s">
        <v>352</v>
      </c>
    </row>
    <row r="573" spans="1:12" ht="20.25" customHeight="1" x14ac:dyDescent="0.3">
      <c r="A573" s="90" t="s">
        <v>492</v>
      </c>
      <c r="B573" s="84"/>
      <c r="C573" s="7" t="s">
        <v>491</v>
      </c>
      <c r="D573" s="85" t="s">
        <v>183</v>
      </c>
      <c r="E573" s="86" t="s">
        <v>110</v>
      </c>
      <c r="F573" s="155">
        <v>6</v>
      </c>
      <c r="G573" s="156">
        <v>6</v>
      </c>
      <c r="H573" s="155" t="s">
        <v>542</v>
      </c>
      <c r="I573" s="155">
        <v>3</v>
      </c>
      <c r="J573" s="155" t="s">
        <v>542</v>
      </c>
      <c r="K573" s="155" t="s">
        <v>17</v>
      </c>
      <c r="L573" s="155" t="s">
        <v>352</v>
      </c>
    </row>
    <row r="574" spans="1:12" ht="20.25" customHeight="1" x14ac:dyDescent="0.3">
      <c r="A574" s="90" t="s">
        <v>508</v>
      </c>
      <c r="B574" s="84"/>
      <c r="C574" s="7" t="s">
        <v>507</v>
      </c>
      <c r="D574" s="85" t="s">
        <v>183</v>
      </c>
      <c r="E574" s="86" t="s">
        <v>110</v>
      </c>
      <c r="F574" s="155">
        <v>6</v>
      </c>
      <c r="G574" s="156">
        <v>6</v>
      </c>
      <c r="H574" s="155" t="s">
        <v>542</v>
      </c>
      <c r="I574" s="155">
        <v>3</v>
      </c>
      <c r="J574" s="155" t="s">
        <v>865</v>
      </c>
      <c r="K574" s="155" t="s">
        <v>17</v>
      </c>
      <c r="L574" s="155" t="s">
        <v>352</v>
      </c>
    </row>
    <row r="575" spans="1:12" ht="20.25" customHeight="1" x14ac:dyDescent="0.3">
      <c r="A575" s="90" t="s">
        <v>510</v>
      </c>
      <c r="B575" s="84"/>
      <c r="C575" s="7" t="s">
        <v>509</v>
      </c>
      <c r="D575" s="85" t="s">
        <v>183</v>
      </c>
      <c r="E575" s="86" t="s">
        <v>110</v>
      </c>
      <c r="F575" s="155">
        <v>6</v>
      </c>
      <c r="G575" s="156">
        <v>6</v>
      </c>
      <c r="H575" s="155" t="s">
        <v>533</v>
      </c>
      <c r="I575" s="155">
        <v>3</v>
      </c>
      <c r="J575" s="155" t="s">
        <v>533</v>
      </c>
      <c r="K575" s="155" t="s">
        <v>17</v>
      </c>
      <c r="L575" s="155" t="s">
        <v>347</v>
      </c>
    </row>
    <row r="576" spans="1:12" ht="20.25" customHeight="1" x14ac:dyDescent="0.3">
      <c r="A576" s="90" t="s">
        <v>166</v>
      </c>
      <c r="B576" s="84"/>
      <c r="C576" s="7" t="s">
        <v>1105</v>
      </c>
      <c r="D576" s="85" t="s">
        <v>183</v>
      </c>
      <c r="E576" s="86" t="s">
        <v>106</v>
      </c>
      <c r="F576" s="155">
        <v>6</v>
      </c>
      <c r="G576" s="156">
        <v>6</v>
      </c>
      <c r="H576" s="155" t="s">
        <v>542</v>
      </c>
      <c r="I576" s="155">
        <v>3</v>
      </c>
      <c r="J576" s="155" t="s">
        <v>865</v>
      </c>
      <c r="K576" s="155" t="s">
        <v>17</v>
      </c>
      <c r="L576" s="155" t="s">
        <v>352</v>
      </c>
    </row>
    <row r="577" spans="1:12" ht="20.25" customHeight="1" x14ac:dyDescent="0.3">
      <c r="A577" s="90" t="s">
        <v>1119</v>
      </c>
      <c r="B577" s="84"/>
      <c r="C577" s="7" t="s">
        <v>1169</v>
      </c>
      <c r="D577" s="85" t="s">
        <v>182</v>
      </c>
      <c r="E577" s="86" t="s">
        <v>105</v>
      </c>
      <c r="F577" s="155">
        <v>6</v>
      </c>
      <c r="G577" s="156">
        <v>1</v>
      </c>
      <c r="H577" s="155" t="s">
        <v>864</v>
      </c>
      <c r="I577" s="155">
        <v>1</v>
      </c>
      <c r="J577" s="155" t="s">
        <v>909</v>
      </c>
      <c r="K577" s="155" t="s">
        <v>17</v>
      </c>
      <c r="L577" s="155" t="s">
        <v>367</v>
      </c>
    </row>
    <row r="578" spans="1:12" ht="20.25" customHeight="1" x14ac:dyDescent="0.3">
      <c r="A578" s="90" t="s">
        <v>1171</v>
      </c>
      <c r="B578" s="84"/>
      <c r="C578" s="7" t="s">
        <v>1170</v>
      </c>
      <c r="D578" s="85" t="s">
        <v>182</v>
      </c>
      <c r="E578" s="86" t="s">
        <v>105</v>
      </c>
      <c r="F578" s="155">
        <v>6</v>
      </c>
      <c r="G578" s="156">
        <v>1</v>
      </c>
      <c r="H578" s="155" t="s">
        <v>851</v>
      </c>
      <c r="I578" s="155">
        <v>1</v>
      </c>
      <c r="J578" s="155" t="s">
        <v>1056</v>
      </c>
      <c r="K578" s="155" t="s">
        <v>17</v>
      </c>
      <c r="L578" s="155" t="s">
        <v>538</v>
      </c>
    </row>
    <row r="579" spans="1:12" ht="20.25" customHeight="1" x14ac:dyDescent="0.3">
      <c r="A579" s="90" t="s">
        <v>1173</v>
      </c>
      <c r="B579" s="84"/>
      <c r="C579" s="7" t="s">
        <v>1172</v>
      </c>
      <c r="D579" s="85" t="s">
        <v>182</v>
      </c>
      <c r="E579" s="86" t="s">
        <v>105</v>
      </c>
      <c r="F579" s="155">
        <v>6</v>
      </c>
      <c r="G579" s="156">
        <v>1</v>
      </c>
      <c r="H579" s="155" t="s">
        <v>842</v>
      </c>
      <c r="I579" s="155">
        <v>1</v>
      </c>
      <c r="J579" s="155" t="s">
        <v>1189</v>
      </c>
      <c r="K579" s="155" t="s">
        <v>17</v>
      </c>
      <c r="L579" s="155" t="s">
        <v>532</v>
      </c>
    </row>
    <row r="580" spans="1:12" ht="20.25" customHeight="1" x14ac:dyDescent="0.3">
      <c r="A580" s="90" t="s">
        <v>1175</v>
      </c>
      <c r="B580" s="84"/>
      <c r="C580" s="7" t="s">
        <v>1174</v>
      </c>
      <c r="D580" s="85" t="s">
        <v>182</v>
      </c>
      <c r="E580" s="86" t="s">
        <v>105</v>
      </c>
      <c r="F580" s="155">
        <v>6</v>
      </c>
      <c r="G580" s="156">
        <v>1</v>
      </c>
      <c r="H580" s="155" t="s">
        <v>864</v>
      </c>
      <c r="I580" s="155">
        <v>1</v>
      </c>
      <c r="J580" s="155" t="s">
        <v>864</v>
      </c>
      <c r="K580" s="155" t="s">
        <v>17</v>
      </c>
      <c r="L580" s="155" t="s">
        <v>367</v>
      </c>
    </row>
    <row r="581" spans="1:12" ht="20.25" customHeight="1" x14ac:dyDescent="0.3">
      <c r="A581" s="90" t="s">
        <v>143</v>
      </c>
      <c r="B581" s="84"/>
      <c r="C581" s="7" t="s">
        <v>1176</v>
      </c>
      <c r="D581" s="85" t="s">
        <v>182</v>
      </c>
      <c r="E581" s="86" t="s">
        <v>105</v>
      </c>
      <c r="F581" s="155">
        <v>6</v>
      </c>
      <c r="G581" s="156">
        <v>3</v>
      </c>
      <c r="H581" s="155" t="s">
        <v>1225</v>
      </c>
      <c r="I581" s="155">
        <v>2</v>
      </c>
      <c r="J581" s="155" t="s">
        <v>1226</v>
      </c>
      <c r="K581" s="155" t="s">
        <v>17</v>
      </c>
      <c r="L581" s="155" t="s">
        <v>367</v>
      </c>
    </row>
    <row r="582" spans="1:12" ht="20.25" customHeight="1" x14ac:dyDescent="0.3">
      <c r="A582" s="90" t="s">
        <v>1137</v>
      </c>
      <c r="B582" s="84"/>
      <c r="C582" s="7" t="s">
        <v>1177</v>
      </c>
      <c r="D582" s="85" t="s">
        <v>183</v>
      </c>
      <c r="E582" s="86" t="s">
        <v>106</v>
      </c>
      <c r="F582" s="155">
        <v>6</v>
      </c>
      <c r="G582" s="156">
        <v>3</v>
      </c>
      <c r="H582" s="155">
        <v>1</v>
      </c>
      <c r="I582" s="155">
        <v>2</v>
      </c>
      <c r="J582" s="155">
        <v>3</v>
      </c>
      <c r="K582" s="155" t="s">
        <v>17</v>
      </c>
      <c r="L582" s="155">
        <v>2010</v>
      </c>
    </row>
    <row r="583" spans="1:12" ht="20.25" customHeight="1" x14ac:dyDescent="0.3">
      <c r="A583" s="90" t="s">
        <v>1179</v>
      </c>
      <c r="B583" s="84"/>
      <c r="C583" s="7" t="s">
        <v>1178</v>
      </c>
      <c r="D583" s="85" t="s">
        <v>183</v>
      </c>
      <c r="E583" s="86" t="s">
        <v>106</v>
      </c>
      <c r="F583" s="155">
        <v>6</v>
      </c>
      <c r="G583" s="156">
        <v>6</v>
      </c>
      <c r="H583" s="155" t="s">
        <v>528</v>
      </c>
      <c r="I583" s="155">
        <v>3</v>
      </c>
      <c r="J583" s="155" t="s">
        <v>854</v>
      </c>
      <c r="K583" s="155" t="s">
        <v>17</v>
      </c>
      <c r="L583" s="155" t="s">
        <v>538</v>
      </c>
    </row>
    <row r="584" spans="1:12" ht="20.25" customHeight="1" x14ac:dyDescent="0.3">
      <c r="A584" s="90" t="s">
        <v>1104</v>
      </c>
      <c r="B584" s="84"/>
      <c r="C584" s="7" t="s">
        <v>1103</v>
      </c>
      <c r="D584" s="85" t="s">
        <v>183</v>
      </c>
      <c r="E584" s="86" t="s">
        <v>105</v>
      </c>
      <c r="F584" s="155">
        <v>8</v>
      </c>
      <c r="G584" s="156">
        <v>6</v>
      </c>
      <c r="H584" s="155" t="s">
        <v>1215</v>
      </c>
      <c r="I584" s="155">
        <v>3</v>
      </c>
      <c r="J584" s="155" t="s">
        <v>1216</v>
      </c>
      <c r="K584" s="155" t="s">
        <v>17</v>
      </c>
      <c r="L584" s="155" t="s">
        <v>355</v>
      </c>
    </row>
    <row r="585" spans="1:12" ht="20.25" customHeight="1" x14ac:dyDescent="0.3">
      <c r="A585" s="90" t="s">
        <v>1183</v>
      </c>
      <c r="B585" s="84"/>
      <c r="C585" s="7" t="s">
        <v>1182</v>
      </c>
      <c r="D585" s="85" t="s">
        <v>182</v>
      </c>
      <c r="E585" s="86" t="s">
        <v>105</v>
      </c>
      <c r="F585" s="155">
        <v>6</v>
      </c>
      <c r="G585" s="156">
        <v>2</v>
      </c>
      <c r="H585" s="155" t="s">
        <v>861</v>
      </c>
      <c r="I585" s="155">
        <v>1</v>
      </c>
      <c r="J585" s="155" t="s">
        <v>348</v>
      </c>
      <c r="K585" s="155" t="s">
        <v>17</v>
      </c>
      <c r="L585" s="155" t="s">
        <v>369</v>
      </c>
    </row>
    <row r="586" spans="1:12" ht="20.25" customHeight="1" x14ac:dyDescent="0.3">
      <c r="A586" s="90" t="s">
        <v>1125</v>
      </c>
      <c r="B586" s="84"/>
      <c r="C586" s="7" t="s">
        <v>1124</v>
      </c>
      <c r="D586" s="85" t="s">
        <v>182</v>
      </c>
      <c r="E586" s="86" t="s">
        <v>105</v>
      </c>
      <c r="F586" s="155">
        <v>6</v>
      </c>
      <c r="G586" s="156">
        <v>2</v>
      </c>
      <c r="H586" s="155" t="s">
        <v>444</v>
      </c>
      <c r="I586" s="155">
        <v>1</v>
      </c>
      <c r="J586" s="155" t="s">
        <v>443</v>
      </c>
      <c r="K586" s="155" t="s">
        <v>17</v>
      </c>
      <c r="L586" s="155" t="s">
        <v>537</v>
      </c>
    </row>
    <row r="587" spans="1:12" ht="20.25" customHeight="1" x14ac:dyDescent="0.3">
      <c r="A587" s="90" t="s">
        <v>1127</v>
      </c>
      <c r="B587" s="84"/>
      <c r="C587" s="7" t="s">
        <v>1184</v>
      </c>
      <c r="D587" s="85" t="s">
        <v>182</v>
      </c>
      <c r="E587" s="86" t="s">
        <v>105</v>
      </c>
      <c r="F587" s="155">
        <v>6</v>
      </c>
      <c r="G587" s="156">
        <v>2</v>
      </c>
      <c r="H587" s="155" t="s">
        <v>533</v>
      </c>
      <c r="I587" s="155">
        <v>1</v>
      </c>
      <c r="J587" s="155" t="s">
        <v>533</v>
      </c>
      <c r="K587" s="155" t="s">
        <v>17</v>
      </c>
      <c r="L587" s="155" t="s">
        <v>369</v>
      </c>
    </row>
    <row r="588" spans="1:12" ht="20.25" customHeight="1" x14ac:dyDescent="0.3">
      <c r="A588" s="90" t="s">
        <v>155</v>
      </c>
      <c r="B588" s="84"/>
      <c r="C588" s="7" t="s">
        <v>1185</v>
      </c>
      <c r="D588" s="85" t="s">
        <v>182</v>
      </c>
      <c r="E588" s="86" t="s">
        <v>105</v>
      </c>
      <c r="F588" s="155">
        <v>8</v>
      </c>
      <c r="G588" s="156">
        <v>3</v>
      </c>
      <c r="H588" s="155" t="s">
        <v>842</v>
      </c>
      <c r="I588" s="155">
        <v>2</v>
      </c>
      <c r="J588" s="155" t="s">
        <v>842</v>
      </c>
      <c r="K588" s="155" t="s">
        <v>17</v>
      </c>
      <c r="L588" s="155" t="s">
        <v>537</v>
      </c>
    </row>
    <row r="589" spans="1:12" ht="20.25" customHeight="1" x14ac:dyDescent="0.3">
      <c r="A589" s="90" t="s">
        <v>1131</v>
      </c>
      <c r="B589" s="84"/>
      <c r="C589" s="7" t="s">
        <v>1186</v>
      </c>
      <c r="D589" s="85" t="s">
        <v>182</v>
      </c>
      <c r="E589" s="86" t="s">
        <v>105</v>
      </c>
      <c r="F589" s="155">
        <v>4</v>
      </c>
      <c r="G589" s="156">
        <v>3</v>
      </c>
      <c r="H589" s="155" t="s">
        <v>444</v>
      </c>
      <c r="I589" s="155">
        <v>2</v>
      </c>
      <c r="J589" s="155" t="s">
        <v>443</v>
      </c>
      <c r="K589" s="155" t="s">
        <v>17</v>
      </c>
      <c r="L589" s="155" t="s">
        <v>537</v>
      </c>
    </row>
    <row r="590" spans="1:12" ht="20.25" customHeight="1" x14ac:dyDescent="0.3">
      <c r="A590" s="90" t="s">
        <v>299</v>
      </c>
      <c r="B590" s="84"/>
      <c r="C590" s="7" t="s">
        <v>298</v>
      </c>
      <c r="D590" s="85" t="s">
        <v>183</v>
      </c>
      <c r="E590" s="86" t="s">
        <v>105</v>
      </c>
      <c r="F590" s="155">
        <v>6</v>
      </c>
      <c r="G590" s="156">
        <v>3</v>
      </c>
      <c r="H590" s="155" t="s">
        <v>851</v>
      </c>
      <c r="I590" s="155">
        <v>2</v>
      </c>
      <c r="J590" s="155" t="s">
        <v>905</v>
      </c>
      <c r="K590" s="155" t="s">
        <v>17</v>
      </c>
      <c r="L590" s="155" t="s">
        <v>356</v>
      </c>
    </row>
    <row r="591" spans="1:12" ht="20.25" customHeight="1" x14ac:dyDescent="0.3">
      <c r="A591" s="90" t="s">
        <v>1188</v>
      </c>
      <c r="B591" s="84"/>
      <c r="C591" s="7" t="s">
        <v>1187</v>
      </c>
      <c r="D591" s="85" t="s">
        <v>182</v>
      </c>
      <c r="E591" s="86" t="s">
        <v>106</v>
      </c>
      <c r="F591" s="155">
        <v>6</v>
      </c>
      <c r="G591" s="156">
        <v>3</v>
      </c>
      <c r="H591" s="155" t="s">
        <v>443</v>
      </c>
      <c r="I591" s="155">
        <v>2</v>
      </c>
      <c r="J591" s="155" t="s">
        <v>841</v>
      </c>
      <c r="K591" s="155" t="s">
        <v>17</v>
      </c>
      <c r="L591" s="155" t="s">
        <v>537</v>
      </c>
    </row>
    <row r="592" spans="1:12" ht="20.25" customHeight="1" x14ac:dyDescent="0.3">
      <c r="A592" s="90" t="s">
        <v>1101</v>
      </c>
      <c r="B592" s="84"/>
      <c r="C592" s="7" t="s">
        <v>1100</v>
      </c>
      <c r="D592" s="85" t="s">
        <v>183</v>
      </c>
      <c r="E592" s="86" t="s">
        <v>106</v>
      </c>
      <c r="F592" s="155">
        <v>6</v>
      </c>
      <c r="G592" s="156">
        <v>5</v>
      </c>
      <c r="H592" s="155" t="s">
        <v>1211</v>
      </c>
      <c r="I592" s="155">
        <v>3</v>
      </c>
      <c r="J592" s="155" t="s">
        <v>1212</v>
      </c>
      <c r="K592" s="155" t="s">
        <v>17</v>
      </c>
      <c r="L592" s="155" t="s">
        <v>356</v>
      </c>
    </row>
    <row r="593" spans="1:12" ht="20.25" customHeight="1" x14ac:dyDescent="0.3">
      <c r="A593" s="90" t="s">
        <v>299</v>
      </c>
      <c r="B593" s="84"/>
      <c r="C593" s="7" t="s">
        <v>298</v>
      </c>
      <c r="D593" s="85" t="s">
        <v>183</v>
      </c>
      <c r="E593" s="86" t="s">
        <v>105</v>
      </c>
      <c r="F593" s="155">
        <v>6</v>
      </c>
      <c r="G593" s="156">
        <v>5</v>
      </c>
      <c r="H593" s="155" t="s">
        <v>199</v>
      </c>
      <c r="I593" s="155">
        <v>3</v>
      </c>
      <c r="J593" s="155" t="s">
        <v>1168</v>
      </c>
      <c r="K593" s="155" t="s">
        <v>17</v>
      </c>
      <c r="L593" s="155">
        <v>2011</v>
      </c>
    </row>
    <row r="594" spans="1:12" ht="20.25" customHeight="1" x14ac:dyDescent="0.3">
      <c r="A594" s="90" t="s">
        <v>271</v>
      </c>
      <c r="B594" s="84"/>
      <c r="C594" s="7" t="s">
        <v>270</v>
      </c>
      <c r="D594" s="85" t="s">
        <v>183</v>
      </c>
      <c r="E594" s="86" t="s">
        <v>105</v>
      </c>
      <c r="F594" s="155">
        <v>6</v>
      </c>
      <c r="G594" s="156">
        <v>6</v>
      </c>
      <c r="H594" s="155" t="s">
        <v>527</v>
      </c>
      <c r="I594" s="155">
        <v>3</v>
      </c>
      <c r="J594" s="155" t="s">
        <v>527</v>
      </c>
      <c r="K594" s="155" t="s">
        <v>17</v>
      </c>
      <c r="L594" s="155" t="s">
        <v>356</v>
      </c>
    </row>
    <row r="595" spans="1:12" ht="20.25" customHeight="1" x14ac:dyDescent="0.3">
      <c r="A595" s="90" t="s">
        <v>301</v>
      </c>
      <c r="B595" s="84"/>
      <c r="C595" s="7" t="s">
        <v>300</v>
      </c>
      <c r="D595" s="85" t="s">
        <v>183</v>
      </c>
      <c r="E595" s="86" t="s">
        <v>105</v>
      </c>
      <c r="F595" s="155">
        <v>6</v>
      </c>
      <c r="G595" s="156">
        <v>3</v>
      </c>
      <c r="H595" s="155" t="s">
        <v>842</v>
      </c>
      <c r="I595" s="155">
        <v>2</v>
      </c>
      <c r="J595" s="155" t="s">
        <v>904</v>
      </c>
      <c r="K595" s="155" t="s">
        <v>17</v>
      </c>
      <c r="L595" s="155" t="s">
        <v>546</v>
      </c>
    </row>
    <row r="596" spans="1:12" ht="20.25" customHeight="1" x14ac:dyDescent="0.3">
      <c r="A596" s="90" t="s">
        <v>1193</v>
      </c>
      <c r="B596" s="84"/>
      <c r="C596" s="7" t="s">
        <v>1192</v>
      </c>
      <c r="D596" s="85" t="s">
        <v>182</v>
      </c>
      <c r="E596" s="86" t="s">
        <v>106</v>
      </c>
      <c r="F596" s="155">
        <v>6</v>
      </c>
      <c r="G596" s="156">
        <v>4</v>
      </c>
      <c r="H596" s="155" t="s">
        <v>444</v>
      </c>
      <c r="I596" s="155">
        <v>2</v>
      </c>
      <c r="J596" s="155" t="s">
        <v>443</v>
      </c>
      <c r="K596" s="155" t="s">
        <v>17</v>
      </c>
      <c r="L596" s="155" t="s">
        <v>546</v>
      </c>
    </row>
    <row r="597" spans="1:12" ht="20.25" customHeight="1" x14ac:dyDescent="0.3">
      <c r="A597" s="90" t="s">
        <v>230</v>
      </c>
      <c r="B597" s="84"/>
      <c r="C597" s="7" t="s">
        <v>1194</v>
      </c>
      <c r="D597" s="85" t="s">
        <v>182</v>
      </c>
      <c r="E597" s="86" t="s">
        <v>105</v>
      </c>
      <c r="F597" s="155">
        <v>6</v>
      </c>
      <c r="G597" s="156">
        <v>4</v>
      </c>
      <c r="H597" s="155" t="s">
        <v>528</v>
      </c>
      <c r="I597" s="155">
        <v>2</v>
      </c>
      <c r="J597" s="155" t="s">
        <v>850</v>
      </c>
      <c r="K597" s="155" t="s">
        <v>17</v>
      </c>
      <c r="L597" s="155" t="s">
        <v>679</v>
      </c>
    </row>
    <row r="598" spans="1:12" ht="20.25" customHeight="1" x14ac:dyDescent="0.3">
      <c r="A598" s="90" t="s">
        <v>1129</v>
      </c>
      <c r="B598" s="84"/>
      <c r="C598" s="7" t="s">
        <v>1128</v>
      </c>
      <c r="D598" s="85" t="s">
        <v>182</v>
      </c>
      <c r="E598" s="86" t="s">
        <v>105</v>
      </c>
      <c r="F598" s="155">
        <v>6</v>
      </c>
      <c r="G598" s="156">
        <v>4</v>
      </c>
      <c r="H598" s="155" t="s">
        <v>1211</v>
      </c>
      <c r="I598" s="155">
        <v>2</v>
      </c>
      <c r="J598" s="155" t="s">
        <v>1210</v>
      </c>
      <c r="K598" s="155" t="s">
        <v>17</v>
      </c>
      <c r="L598" s="155" t="s">
        <v>679</v>
      </c>
    </row>
    <row r="599" spans="1:12" ht="20.25" customHeight="1" x14ac:dyDescent="0.3">
      <c r="A599" s="90" t="s">
        <v>1196</v>
      </c>
      <c r="B599" s="84"/>
      <c r="C599" s="7" t="s">
        <v>1195</v>
      </c>
      <c r="D599" s="85" t="s">
        <v>182</v>
      </c>
      <c r="E599" s="86" t="s">
        <v>106</v>
      </c>
      <c r="F599" s="155">
        <v>6</v>
      </c>
      <c r="G599" s="156">
        <v>4</v>
      </c>
      <c r="H599" s="155" t="s">
        <v>443</v>
      </c>
      <c r="I599" s="155">
        <v>2</v>
      </c>
      <c r="J599" s="155" t="s">
        <v>839</v>
      </c>
      <c r="K599" s="155" t="s">
        <v>17</v>
      </c>
      <c r="L599" s="155" t="s">
        <v>546</v>
      </c>
    </row>
    <row r="600" spans="1:12" ht="20.25" customHeight="1" x14ac:dyDescent="0.3">
      <c r="A600" s="90" t="s">
        <v>1097</v>
      </c>
      <c r="B600" s="84"/>
      <c r="C600" s="7" t="s">
        <v>1096</v>
      </c>
      <c r="D600" s="85" t="s">
        <v>182</v>
      </c>
      <c r="E600" s="86" t="s">
        <v>106</v>
      </c>
      <c r="F600" s="155">
        <v>6</v>
      </c>
      <c r="G600" s="156">
        <v>5</v>
      </c>
      <c r="H600" s="155" t="s">
        <v>444</v>
      </c>
      <c r="I600" s="155">
        <v>3</v>
      </c>
      <c r="J600" s="155" t="s">
        <v>444</v>
      </c>
      <c r="K600" s="155" t="s">
        <v>17</v>
      </c>
      <c r="L600" s="155" t="s">
        <v>546</v>
      </c>
    </row>
    <row r="601" spans="1:12" ht="20.25" customHeight="1" x14ac:dyDescent="0.3">
      <c r="A601" s="90" t="s">
        <v>48</v>
      </c>
      <c r="B601" s="84"/>
      <c r="C601" s="7" t="s">
        <v>237</v>
      </c>
      <c r="D601" s="85" t="s">
        <v>182</v>
      </c>
      <c r="E601" s="86" t="s">
        <v>105</v>
      </c>
      <c r="F601" s="155">
        <v>6</v>
      </c>
      <c r="G601" s="156">
        <v>5</v>
      </c>
      <c r="H601" s="155" t="s">
        <v>444</v>
      </c>
      <c r="I601" s="155">
        <v>3</v>
      </c>
      <c r="J601" s="155" t="s">
        <v>839</v>
      </c>
      <c r="K601" s="155" t="s">
        <v>17</v>
      </c>
      <c r="L601" s="155" t="s">
        <v>546</v>
      </c>
    </row>
    <row r="602" spans="1:12" ht="20.25" customHeight="1" x14ac:dyDescent="0.3">
      <c r="A602" s="90" t="s">
        <v>1179</v>
      </c>
      <c r="B602" s="84"/>
      <c r="C602" s="7" t="s">
        <v>1178</v>
      </c>
      <c r="D602" s="85" t="s">
        <v>182</v>
      </c>
      <c r="E602" s="86" t="s">
        <v>106</v>
      </c>
      <c r="F602" s="155">
        <v>6</v>
      </c>
      <c r="G602" s="156">
        <v>5</v>
      </c>
      <c r="H602" s="155" t="s">
        <v>443</v>
      </c>
      <c r="I602" s="155">
        <v>3</v>
      </c>
      <c r="J602" s="155" t="s">
        <v>841</v>
      </c>
      <c r="K602" s="155" t="s">
        <v>17</v>
      </c>
      <c r="L602" s="155" t="s">
        <v>546</v>
      </c>
    </row>
    <row r="603" spans="1:12" ht="20.25" customHeight="1" x14ac:dyDescent="0.3">
      <c r="A603" s="90" t="s">
        <v>47</v>
      </c>
      <c r="B603" s="84"/>
      <c r="C603" s="7" t="s">
        <v>164</v>
      </c>
      <c r="D603" s="85" t="s">
        <v>182</v>
      </c>
      <c r="E603" s="86" t="s">
        <v>106</v>
      </c>
      <c r="F603" s="155">
        <v>6</v>
      </c>
      <c r="G603" s="156">
        <v>5</v>
      </c>
      <c r="H603" s="155" t="s">
        <v>527</v>
      </c>
      <c r="I603" s="155">
        <v>3</v>
      </c>
      <c r="J603" s="155" t="s">
        <v>850</v>
      </c>
      <c r="K603" s="155" t="s">
        <v>17</v>
      </c>
      <c r="L603" s="155" t="s">
        <v>679</v>
      </c>
    </row>
    <row r="604" spans="1:12" ht="20.25" customHeight="1" x14ac:dyDescent="0.3">
      <c r="A604" s="90" t="s">
        <v>1201</v>
      </c>
      <c r="B604" s="84"/>
      <c r="C604" s="7" t="s">
        <v>1200</v>
      </c>
      <c r="D604" s="85" t="s">
        <v>182</v>
      </c>
      <c r="E604" s="86" t="s">
        <v>105</v>
      </c>
      <c r="F604" s="155">
        <v>6</v>
      </c>
      <c r="G604" s="156">
        <v>1</v>
      </c>
      <c r="H604" s="155" t="s">
        <v>443</v>
      </c>
      <c r="I604" s="155">
        <v>1</v>
      </c>
      <c r="J604" s="155" t="s">
        <v>444</v>
      </c>
      <c r="K604" s="155" t="s">
        <v>17</v>
      </c>
      <c r="L604" s="155" t="s">
        <v>361</v>
      </c>
    </row>
    <row r="605" spans="1:12" ht="20.25" customHeight="1" x14ac:dyDescent="0.3">
      <c r="A605" s="90" t="s">
        <v>155</v>
      </c>
      <c r="B605" s="84"/>
      <c r="C605" s="7" t="s">
        <v>1202</v>
      </c>
      <c r="D605" s="85" t="s">
        <v>182</v>
      </c>
      <c r="E605" s="86" t="s">
        <v>105</v>
      </c>
      <c r="F605" s="155">
        <v>6</v>
      </c>
      <c r="G605" s="156">
        <v>2</v>
      </c>
      <c r="H605" s="155" t="s">
        <v>444</v>
      </c>
      <c r="I605" s="155">
        <v>1</v>
      </c>
      <c r="J605" s="155" t="s">
        <v>443</v>
      </c>
      <c r="K605" s="155" t="s">
        <v>17</v>
      </c>
      <c r="L605" s="155" t="s">
        <v>361</v>
      </c>
    </row>
    <row r="606" spans="1:12" ht="20.25" customHeight="1" x14ac:dyDescent="0.3">
      <c r="A606" s="90" t="s">
        <v>1188</v>
      </c>
      <c r="B606" s="84"/>
      <c r="C606" s="7" t="s">
        <v>1203</v>
      </c>
      <c r="D606" s="85" t="s">
        <v>182</v>
      </c>
      <c r="E606" s="86" t="s">
        <v>106</v>
      </c>
      <c r="F606" s="155">
        <v>6</v>
      </c>
      <c r="G606" s="156">
        <v>3</v>
      </c>
      <c r="H606" s="155" t="s">
        <v>444</v>
      </c>
      <c r="I606" s="155">
        <v>2</v>
      </c>
      <c r="J606" s="155" t="s">
        <v>444</v>
      </c>
      <c r="K606" s="155" t="s">
        <v>17</v>
      </c>
      <c r="L606" s="155" t="s">
        <v>361</v>
      </c>
    </row>
    <row r="607" spans="1:12" ht="20.25" customHeight="1" x14ac:dyDescent="0.3">
      <c r="A607" s="90" t="s">
        <v>1205</v>
      </c>
      <c r="B607" s="84"/>
      <c r="C607" s="7" t="s">
        <v>1204</v>
      </c>
      <c r="D607" s="85" t="s">
        <v>182</v>
      </c>
      <c r="E607" s="86" t="s">
        <v>105</v>
      </c>
      <c r="F607" s="155">
        <v>6</v>
      </c>
      <c r="G607" s="156">
        <v>3</v>
      </c>
      <c r="H607" s="155" t="s">
        <v>443</v>
      </c>
      <c r="I607" s="155">
        <v>2</v>
      </c>
      <c r="J607" s="155" t="s">
        <v>443</v>
      </c>
      <c r="K607" s="155" t="s">
        <v>17</v>
      </c>
      <c r="L607" s="155" t="s">
        <v>361</v>
      </c>
    </row>
    <row r="608" spans="1:12" ht="20.25" customHeight="1" x14ac:dyDescent="0.3">
      <c r="A608" s="90" t="s">
        <v>1196</v>
      </c>
      <c r="B608" s="84"/>
      <c r="C608" s="7" t="s">
        <v>1195</v>
      </c>
      <c r="D608" s="85" t="s">
        <v>182</v>
      </c>
      <c r="E608" s="86" t="s">
        <v>106</v>
      </c>
      <c r="F608" s="155">
        <v>6</v>
      </c>
      <c r="G608" s="156">
        <v>3</v>
      </c>
      <c r="H608" s="155" t="s">
        <v>443</v>
      </c>
      <c r="I608" s="155">
        <v>2</v>
      </c>
      <c r="J608" s="155" t="s">
        <v>841</v>
      </c>
      <c r="K608" s="155" t="s">
        <v>17</v>
      </c>
      <c r="L608" s="155" t="s">
        <v>361</v>
      </c>
    </row>
    <row r="609" spans="1:12" ht="20.25" customHeight="1" x14ac:dyDescent="0.3">
      <c r="A609" s="90" t="s">
        <v>541</v>
      </c>
      <c r="B609" s="84"/>
      <c r="C609" s="7" t="s">
        <v>540</v>
      </c>
      <c r="D609" s="85" t="s">
        <v>183</v>
      </c>
      <c r="E609" s="86" t="s">
        <v>106</v>
      </c>
      <c r="F609" s="155">
        <v>6</v>
      </c>
      <c r="G609" s="156">
        <v>5</v>
      </c>
      <c r="H609" s="155" t="s">
        <v>199</v>
      </c>
      <c r="I609" s="155">
        <v>3</v>
      </c>
      <c r="J609" s="155" t="s">
        <v>903</v>
      </c>
      <c r="K609" s="155" t="s">
        <v>17</v>
      </c>
      <c r="L609" s="155">
        <v>2013</v>
      </c>
    </row>
    <row r="610" spans="1:12" ht="20.25" customHeight="1" x14ac:dyDescent="0.3">
      <c r="A610" s="90" t="s">
        <v>1157</v>
      </c>
      <c r="B610" s="84"/>
      <c r="C610" s="7" t="s">
        <v>1156</v>
      </c>
      <c r="D610" s="85" t="s">
        <v>182</v>
      </c>
      <c r="E610" s="86" t="s">
        <v>106</v>
      </c>
      <c r="F610" s="155">
        <v>6</v>
      </c>
      <c r="G610" s="156">
        <v>6</v>
      </c>
      <c r="H610" s="155" t="s">
        <v>444</v>
      </c>
      <c r="I610" s="155">
        <v>3</v>
      </c>
      <c r="J610" s="155" t="s">
        <v>841</v>
      </c>
      <c r="K610" s="155" t="s">
        <v>17</v>
      </c>
      <c r="L610" s="155" t="s">
        <v>361</v>
      </c>
    </row>
    <row r="611" spans="1:12" ht="20.25" customHeight="1" x14ac:dyDescent="0.3">
      <c r="A611" s="90" t="s">
        <v>1207</v>
      </c>
      <c r="B611" s="84"/>
      <c r="C611" s="7" t="s">
        <v>1206</v>
      </c>
      <c r="D611" s="85" t="s">
        <v>1230</v>
      </c>
      <c r="E611" s="86" t="s">
        <v>105</v>
      </c>
      <c r="F611" s="155">
        <v>2</v>
      </c>
      <c r="G611" s="156">
        <v>6</v>
      </c>
      <c r="H611" s="155" t="s">
        <v>842</v>
      </c>
      <c r="I611" s="155">
        <v>3</v>
      </c>
      <c r="J611" s="155" t="s">
        <v>339</v>
      </c>
      <c r="K611" s="155" t="s">
        <v>17</v>
      </c>
      <c r="L611" s="155" t="s">
        <v>361</v>
      </c>
    </row>
    <row r="612" spans="1:12" ht="20.25" customHeight="1" x14ac:dyDescent="0.3">
      <c r="A612" s="90" t="s">
        <v>1209</v>
      </c>
      <c r="B612" s="84"/>
      <c r="C612" s="7" t="s">
        <v>1208</v>
      </c>
      <c r="D612" s="85" t="s">
        <v>1230</v>
      </c>
      <c r="E612" s="86" t="s">
        <v>106</v>
      </c>
      <c r="F612" s="155">
        <v>16</v>
      </c>
      <c r="G612" s="156">
        <v>6</v>
      </c>
      <c r="H612" s="155" t="s">
        <v>1050</v>
      </c>
      <c r="I612" s="155">
        <v>3</v>
      </c>
      <c r="J612" s="155" t="s">
        <v>1231</v>
      </c>
      <c r="K612" s="155" t="s">
        <v>17</v>
      </c>
      <c r="L612" s="155" t="s">
        <v>361</v>
      </c>
    </row>
    <row r="613" spans="1:12" ht="20.25" customHeight="1" x14ac:dyDescent="0.3">
      <c r="A613" s="90" t="s">
        <v>1179</v>
      </c>
      <c r="B613" s="84"/>
      <c r="C613" s="7" t="s">
        <v>1178</v>
      </c>
      <c r="D613" s="85" t="s">
        <v>182</v>
      </c>
      <c r="E613" s="86" t="s">
        <v>106</v>
      </c>
      <c r="F613" s="155">
        <v>6</v>
      </c>
      <c r="G613" s="156">
        <v>4</v>
      </c>
      <c r="H613" s="155">
        <v>1</v>
      </c>
      <c r="I613" s="155">
        <v>2</v>
      </c>
      <c r="J613" s="155">
        <v>1</v>
      </c>
      <c r="K613" s="155" t="s">
        <v>17</v>
      </c>
      <c r="L613" s="155">
        <v>2014</v>
      </c>
    </row>
    <row r="614" spans="1:12" ht="20.25" customHeight="1" x14ac:dyDescent="0.3">
      <c r="A614" s="90" t="s">
        <v>1218</v>
      </c>
      <c r="B614" s="84"/>
      <c r="C614" s="7" t="s">
        <v>1217</v>
      </c>
      <c r="D614" s="85" t="s">
        <v>182</v>
      </c>
      <c r="E614" s="86" t="s">
        <v>106</v>
      </c>
      <c r="F614" s="155">
        <v>6</v>
      </c>
      <c r="G614" s="156">
        <v>4</v>
      </c>
      <c r="H614" s="155" t="s">
        <v>199</v>
      </c>
      <c r="I614" s="155">
        <v>2</v>
      </c>
      <c r="J614" s="155" t="s">
        <v>333</v>
      </c>
      <c r="K614" s="155" t="s">
        <v>17</v>
      </c>
      <c r="L614" s="155">
        <v>2014</v>
      </c>
    </row>
    <row r="615" spans="1:12" ht="20.25" customHeight="1" x14ac:dyDescent="0.3">
      <c r="A615" s="90" t="s">
        <v>556</v>
      </c>
      <c r="B615" s="84"/>
      <c r="C615" s="7" t="s">
        <v>555</v>
      </c>
      <c r="D615" s="85" t="s">
        <v>182</v>
      </c>
      <c r="E615" s="86" t="s">
        <v>106</v>
      </c>
      <c r="F615" s="155">
        <v>6</v>
      </c>
      <c r="G615" s="156">
        <v>4</v>
      </c>
      <c r="H615" s="155">
        <v>2</v>
      </c>
      <c r="I615" s="155">
        <v>2</v>
      </c>
      <c r="J615" s="155">
        <v>3</v>
      </c>
      <c r="K615" s="155" t="s">
        <v>17</v>
      </c>
      <c r="L615" s="155">
        <v>2014</v>
      </c>
    </row>
    <row r="616" spans="1:12" ht="20.25" customHeight="1" x14ac:dyDescent="0.3">
      <c r="A616" s="90" t="s">
        <v>288</v>
      </c>
      <c r="B616" s="84"/>
      <c r="C616" s="7" t="s">
        <v>287</v>
      </c>
      <c r="D616" s="85" t="s">
        <v>183</v>
      </c>
      <c r="E616" s="86" t="s">
        <v>106</v>
      </c>
      <c r="F616" s="155">
        <v>6</v>
      </c>
      <c r="G616" s="156">
        <v>4</v>
      </c>
      <c r="H616" s="155">
        <v>2</v>
      </c>
      <c r="I616" s="155">
        <v>2</v>
      </c>
      <c r="J616" s="155"/>
      <c r="K616" s="155" t="s">
        <v>17</v>
      </c>
      <c r="L616" s="155">
        <v>2014</v>
      </c>
    </row>
    <row r="617" spans="1:12" ht="20.25" customHeight="1" x14ac:dyDescent="0.3">
      <c r="A617" s="90" t="s">
        <v>1146</v>
      </c>
      <c r="B617" s="84"/>
      <c r="C617" s="7" t="s">
        <v>1219</v>
      </c>
      <c r="D617" s="85" t="s">
        <v>182</v>
      </c>
      <c r="E617" s="86" t="s">
        <v>106</v>
      </c>
      <c r="F617" s="155">
        <v>6</v>
      </c>
      <c r="G617" s="156">
        <v>5</v>
      </c>
      <c r="H617" s="155">
        <v>1</v>
      </c>
      <c r="I617" s="155">
        <v>3</v>
      </c>
      <c r="J617" s="155">
        <v>3</v>
      </c>
      <c r="K617" s="155" t="s">
        <v>17</v>
      </c>
      <c r="L617" s="155">
        <v>2014</v>
      </c>
    </row>
    <row r="618" spans="1:12" ht="20.25" customHeight="1" x14ac:dyDescent="0.3">
      <c r="A618" s="90" t="s">
        <v>1221</v>
      </c>
      <c r="B618" s="84"/>
      <c r="C618" s="7" t="s">
        <v>1220</v>
      </c>
      <c r="D618" s="85" t="s">
        <v>182</v>
      </c>
      <c r="E618" s="86" t="s">
        <v>106</v>
      </c>
      <c r="F618" s="155">
        <v>6</v>
      </c>
      <c r="G618" s="156">
        <v>5</v>
      </c>
      <c r="H618" s="155">
        <v>2</v>
      </c>
      <c r="I618" s="155">
        <v>3</v>
      </c>
      <c r="J618" s="155">
        <v>1</v>
      </c>
      <c r="K618" s="155" t="s">
        <v>17</v>
      </c>
      <c r="L618" s="155">
        <v>2014</v>
      </c>
    </row>
    <row r="619" spans="1:12" ht="20.25" customHeight="1" x14ac:dyDescent="0.3">
      <c r="A619" s="90" t="s">
        <v>458</v>
      </c>
      <c r="B619" s="84"/>
      <c r="C619" s="7" t="s">
        <v>457</v>
      </c>
      <c r="D619" s="85" t="s">
        <v>83</v>
      </c>
      <c r="E619" s="86" t="s">
        <v>106</v>
      </c>
      <c r="F619" s="155">
        <v>6</v>
      </c>
      <c r="G619" s="156">
        <v>7</v>
      </c>
      <c r="H619" s="155" t="s">
        <v>534</v>
      </c>
      <c r="I619" s="155">
        <v>4</v>
      </c>
      <c r="J619" s="155" t="s">
        <v>863</v>
      </c>
      <c r="K619" s="155" t="s">
        <v>82</v>
      </c>
      <c r="L619" s="155" t="s">
        <v>355</v>
      </c>
    </row>
    <row r="620" spans="1:12" ht="20.25" customHeight="1" x14ac:dyDescent="0.3">
      <c r="A620" s="90" t="s">
        <v>525</v>
      </c>
      <c r="B620" s="84"/>
      <c r="C620" s="7" t="s">
        <v>524</v>
      </c>
      <c r="D620" s="85" t="s">
        <v>83</v>
      </c>
      <c r="E620" s="86" t="s">
        <v>110</v>
      </c>
      <c r="F620" s="155">
        <v>6</v>
      </c>
      <c r="G620" s="156">
        <v>7</v>
      </c>
      <c r="H620" s="155" t="s">
        <v>542</v>
      </c>
      <c r="I620" s="155">
        <v>4</v>
      </c>
      <c r="J620" s="155" t="s">
        <v>865</v>
      </c>
      <c r="K620" s="155" t="s">
        <v>82</v>
      </c>
      <c r="L620" s="155" t="s">
        <v>367</v>
      </c>
    </row>
    <row r="621" spans="1:12" ht="20.25" customHeight="1" x14ac:dyDescent="0.3">
      <c r="A621" s="90" t="s">
        <v>1011</v>
      </c>
      <c r="B621" s="84"/>
      <c r="C621" s="7" t="s">
        <v>1010</v>
      </c>
      <c r="D621" s="85" t="s">
        <v>1248</v>
      </c>
      <c r="E621" s="86" t="s">
        <v>106</v>
      </c>
      <c r="F621" s="155">
        <v>6</v>
      </c>
      <c r="G621" s="156">
        <v>7</v>
      </c>
      <c r="H621" s="155" t="s">
        <v>1027</v>
      </c>
      <c r="I621" s="155">
        <v>4</v>
      </c>
      <c r="J621" s="155" t="s">
        <v>1028</v>
      </c>
      <c r="K621" s="155" t="s">
        <v>82</v>
      </c>
      <c r="L621" s="155" t="s">
        <v>367</v>
      </c>
    </row>
    <row r="622" spans="1:12" ht="20.25" customHeight="1" x14ac:dyDescent="0.3">
      <c r="A622" s="90" t="s">
        <v>1233</v>
      </c>
      <c r="B622" s="84"/>
      <c r="C622" s="7" t="s">
        <v>1232</v>
      </c>
      <c r="D622" s="85" t="s">
        <v>1248</v>
      </c>
      <c r="E622" s="86" t="s">
        <v>110</v>
      </c>
      <c r="F622" s="155">
        <v>6</v>
      </c>
      <c r="G622" s="156">
        <v>8</v>
      </c>
      <c r="H622" s="155" t="s">
        <v>1249</v>
      </c>
      <c r="I622" s="155">
        <v>4</v>
      </c>
      <c r="J622" s="155" t="s">
        <v>1250</v>
      </c>
      <c r="K622" s="155" t="s">
        <v>82</v>
      </c>
      <c r="L622" s="155" t="s">
        <v>369</v>
      </c>
    </row>
    <row r="623" spans="1:12" ht="20.25" customHeight="1" x14ac:dyDescent="0.3">
      <c r="A623" s="90" t="s">
        <v>1235</v>
      </c>
      <c r="B623" s="84"/>
      <c r="C623" s="7" t="s">
        <v>1234</v>
      </c>
      <c r="D623" s="85" t="s">
        <v>83</v>
      </c>
      <c r="E623" s="86" t="s">
        <v>110</v>
      </c>
      <c r="F623" s="155">
        <v>6</v>
      </c>
      <c r="G623" s="156">
        <v>8</v>
      </c>
      <c r="H623" s="155" t="s">
        <v>534</v>
      </c>
      <c r="I623" s="155">
        <v>4</v>
      </c>
      <c r="J623" s="155" t="s">
        <v>863</v>
      </c>
      <c r="K623" s="155" t="s">
        <v>82</v>
      </c>
      <c r="L623" s="155" t="s">
        <v>369</v>
      </c>
    </row>
    <row r="624" spans="1:12" ht="20.25" customHeight="1" x14ac:dyDescent="0.3">
      <c r="A624" s="90" t="s">
        <v>486</v>
      </c>
      <c r="B624" s="84"/>
      <c r="C624" s="7" t="s">
        <v>485</v>
      </c>
      <c r="D624" s="85" t="s">
        <v>83</v>
      </c>
      <c r="E624" s="86" t="s">
        <v>110</v>
      </c>
      <c r="F624" s="155">
        <v>6</v>
      </c>
      <c r="G624" s="156">
        <v>8</v>
      </c>
      <c r="H624" s="155" t="s">
        <v>534</v>
      </c>
      <c r="I624" s="155">
        <v>4</v>
      </c>
      <c r="J624" s="155" t="s">
        <v>534</v>
      </c>
      <c r="K624" s="155" t="s">
        <v>82</v>
      </c>
      <c r="L624" s="155" t="s">
        <v>369</v>
      </c>
    </row>
    <row r="625" spans="1:12" ht="20.25" customHeight="1" x14ac:dyDescent="0.3">
      <c r="A625" s="90" t="s">
        <v>521</v>
      </c>
      <c r="B625" s="84"/>
      <c r="C625" s="7" t="s">
        <v>520</v>
      </c>
      <c r="D625" s="85" t="s">
        <v>83</v>
      </c>
      <c r="E625" s="86" t="s">
        <v>110</v>
      </c>
      <c r="F625" s="155">
        <v>6</v>
      </c>
      <c r="G625" s="156">
        <v>8</v>
      </c>
      <c r="H625" s="155" t="s">
        <v>533</v>
      </c>
      <c r="I625" s="155">
        <v>4</v>
      </c>
      <c r="J625" s="155" t="s">
        <v>534</v>
      </c>
      <c r="K625" s="155" t="s">
        <v>82</v>
      </c>
      <c r="L625" s="155" t="s">
        <v>369</v>
      </c>
    </row>
    <row r="626" spans="1:12" ht="20.25" customHeight="1" x14ac:dyDescent="0.3">
      <c r="A626" s="90" t="s">
        <v>1237</v>
      </c>
      <c r="B626" s="84"/>
      <c r="C626" s="7" t="s">
        <v>1236</v>
      </c>
      <c r="D626" s="85" t="s">
        <v>83</v>
      </c>
      <c r="E626" s="86" t="s">
        <v>110</v>
      </c>
      <c r="F626" s="155">
        <v>6</v>
      </c>
      <c r="G626" s="156">
        <v>8</v>
      </c>
      <c r="H626" s="155" t="s">
        <v>533</v>
      </c>
      <c r="I626" s="155">
        <v>4</v>
      </c>
      <c r="J626" s="155" t="s">
        <v>533</v>
      </c>
      <c r="K626" s="155" t="s">
        <v>82</v>
      </c>
      <c r="L626" s="155" t="s">
        <v>369</v>
      </c>
    </row>
    <row r="627" spans="1:12" ht="20.25" customHeight="1" x14ac:dyDescent="0.3">
      <c r="A627" s="90" t="s">
        <v>1239</v>
      </c>
      <c r="B627" s="84"/>
      <c r="C627" s="7" t="s">
        <v>1238</v>
      </c>
      <c r="D627" s="85" t="s">
        <v>1248</v>
      </c>
      <c r="E627" s="86" t="s">
        <v>110</v>
      </c>
      <c r="F627" s="155">
        <v>12</v>
      </c>
      <c r="G627" s="156">
        <v>9</v>
      </c>
      <c r="H627" s="155" t="s">
        <v>1249</v>
      </c>
      <c r="I627" s="155">
        <v>5</v>
      </c>
      <c r="J627" s="155" t="s">
        <v>1251</v>
      </c>
      <c r="K627" s="155" t="s">
        <v>82</v>
      </c>
      <c r="L627" s="155" t="s">
        <v>369</v>
      </c>
    </row>
    <row r="628" spans="1:12" ht="20.25" customHeight="1" x14ac:dyDescent="0.3">
      <c r="A628" s="90" t="s">
        <v>1241</v>
      </c>
      <c r="B628" s="84"/>
      <c r="C628" s="7" t="s">
        <v>1240</v>
      </c>
      <c r="D628" s="85" t="s">
        <v>83</v>
      </c>
      <c r="E628" s="86" t="s">
        <v>110</v>
      </c>
      <c r="F628" s="155">
        <v>6</v>
      </c>
      <c r="G628" s="156">
        <v>9</v>
      </c>
      <c r="H628" s="155" t="s">
        <v>534</v>
      </c>
      <c r="I628" s="155">
        <v>5</v>
      </c>
      <c r="J628" s="155" t="s">
        <v>534</v>
      </c>
      <c r="K628" s="155" t="s">
        <v>82</v>
      </c>
      <c r="L628" s="155" t="s">
        <v>369</v>
      </c>
    </row>
    <row r="629" spans="1:12" ht="20.25" customHeight="1" x14ac:dyDescent="0.3">
      <c r="A629" s="90" t="s">
        <v>1243</v>
      </c>
      <c r="B629" s="84"/>
      <c r="C629" s="7" t="s">
        <v>1242</v>
      </c>
      <c r="D629" s="85" t="s">
        <v>83</v>
      </c>
      <c r="E629" s="86" t="s">
        <v>110</v>
      </c>
      <c r="F629" s="155">
        <v>6</v>
      </c>
      <c r="G629" s="156">
        <v>9</v>
      </c>
      <c r="H629" s="155" t="s">
        <v>861</v>
      </c>
      <c r="I629" s="155">
        <v>5</v>
      </c>
      <c r="J629" s="155" t="s">
        <v>351</v>
      </c>
      <c r="K629" s="155" t="s">
        <v>82</v>
      </c>
      <c r="L629" s="155" t="s">
        <v>369</v>
      </c>
    </row>
    <row r="630" spans="1:12" ht="20.25" customHeight="1" x14ac:dyDescent="0.3">
      <c r="A630" s="90" t="s">
        <v>1245</v>
      </c>
      <c r="B630" s="84"/>
      <c r="C630" s="7" t="s">
        <v>1244</v>
      </c>
      <c r="D630" s="85" t="s">
        <v>83</v>
      </c>
      <c r="E630" s="86" t="s">
        <v>110</v>
      </c>
      <c r="F630" s="155">
        <v>6</v>
      </c>
      <c r="G630" s="156">
        <v>9</v>
      </c>
      <c r="H630" s="155">
        <v>2</v>
      </c>
      <c r="I630" s="155">
        <v>5</v>
      </c>
      <c r="J630" s="155">
        <v>1</v>
      </c>
      <c r="K630" s="155" t="s">
        <v>82</v>
      </c>
      <c r="L630" s="155">
        <v>2011</v>
      </c>
    </row>
    <row r="631" spans="1:12" ht="20.25" customHeight="1" x14ac:dyDescent="0.3">
      <c r="A631" s="90" t="s">
        <v>552</v>
      </c>
      <c r="B631" s="84"/>
      <c r="C631" s="7" t="s">
        <v>551</v>
      </c>
      <c r="D631" s="85" t="s">
        <v>83</v>
      </c>
      <c r="E631" s="86" t="s">
        <v>110</v>
      </c>
      <c r="F631" s="155">
        <v>6</v>
      </c>
      <c r="G631" s="156">
        <v>9</v>
      </c>
      <c r="H631" s="155" t="s">
        <v>533</v>
      </c>
      <c r="I631" s="155">
        <v>5</v>
      </c>
      <c r="J631" s="155" t="s">
        <v>533</v>
      </c>
      <c r="K631" s="155" t="s">
        <v>82</v>
      </c>
      <c r="L631" s="155" t="s">
        <v>369</v>
      </c>
    </row>
    <row r="632" spans="1:12" ht="20.25" customHeight="1" x14ac:dyDescent="0.3">
      <c r="A632" s="90" t="s">
        <v>1247</v>
      </c>
      <c r="B632" s="84"/>
      <c r="C632" s="7" t="s">
        <v>1246</v>
      </c>
      <c r="D632" s="85" t="s">
        <v>83</v>
      </c>
      <c r="E632" s="86" t="s">
        <v>110</v>
      </c>
      <c r="F632" s="155">
        <v>6</v>
      </c>
      <c r="G632" s="156">
        <v>9</v>
      </c>
      <c r="H632" s="155" t="s">
        <v>527</v>
      </c>
      <c r="I632" s="155">
        <v>5</v>
      </c>
      <c r="J632" s="155" t="s">
        <v>528</v>
      </c>
      <c r="K632" s="155" t="s">
        <v>82</v>
      </c>
      <c r="L632" s="155" t="s">
        <v>679</v>
      </c>
    </row>
    <row r="633" spans="1:12" ht="20.25" customHeight="1" x14ac:dyDescent="0.3">
      <c r="A633" s="90" t="s">
        <v>1063</v>
      </c>
      <c r="B633" s="84"/>
      <c r="C633" s="7" t="s">
        <v>1062</v>
      </c>
      <c r="D633" s="85" t="s">
        <v>84</v>
      </c>
      <c r="E633" s="86" t="s">
        <v>110</v>
      </c>
      <c r="F633" s="155">
        <v>6</v>
      </c>
      <c r="G633" s="156">
        <v>7</v>
      </c>
      <c r="H633" s="155" t="s">
        <v>543</v>
      </c>
      <c r="I633" s="155">
        <v>4</v>
      </c>
      <c r="J633" s="155" t="s">
        <v>865</v>
      </c>
      <c r="K633" s="155" t="s">
        <v>82</v>
      </c>
      <c r="L633" s="155" t="s">
        <v>367</v>
      </c>
    </row>
    <row r="634" spans="1:12" ht="20.25" customHeight="1" x14ac:dyDescent="0.3">
      <c r="A634" s="90" t="s">
        <v>75</v>
      </c>
      <c r="B634" s="84"/>
      <c r="C634" s="7" t="s">
        <v>953</v>
      </c>
      <c r="D634" s="85" t="s">
        <v>84</v>
      </c>
      <c r="E634" s="86" t="s">
        <v>110</v>
      </c>
      <c r="F634" s="155">
        <v>6</v>
      </c>
      <c r="G634" s="156">
        <v>7</v>
      </c>
      <c r="H634" s="155" t="s">
        <v>543</v>
      </c>
      <c r="I634" s="155">
        <v>4</v>
      </c>
      <c r="J634" s="155" t="s">
        <v>543</v>
      </c>
      <c r="K634" s="155" t="s">
        <v>82</v>
      </c>
      <c r="L634" s="155" t="s">
        <v>367</v>
      </c>
    </row>
    <row r="635" spans="1:12" ht="20.25" customHeight="1" x14ac:dyDescent="0.3">
      <c r="A635" s="90" t="s">
        <v>468</v>
      </c>
      <c r="B635" s="84"/>
      <c r="C635" s="7" t="s">
        <v>467</v>
      </c>
      <c r="D635" s="85" t="s">
        <v>84</v>
      </c>
      <c r="E635" s="86" t="s">
        <v>110</v>
      </c>
      <c r="F635" s="155">
        <v>6</v>
      </c>
      <c r="G635" s="156">
        <v>7</v>
      </c>
      <c r="H635" s="155" t="s">
        <v>533</v>
      </c>
      <c r="I635" s="155">
        <v>4</v>
      </c>
      <c r="J635" s="155" t="s">
        <v>863</v>
      </c>
      <c r="K635" s="155" t="s">
        <v>82</v>
      </c>
      <c r="L635" s="155" t="s">
        <v>1257</v>
      </c>
    </row>
    <row r="636" spans="1:12" ht="20.25" customHeight="1" x14ac:dyDescent="0.3">
      <c r="A636" s="90" t="s">
        <v>1179</v>
      </c>
      <c r="B636" s="84"/>
      <c r="C636" s="7" t="s">
        <v>1178</v>
      </c>
      <c r="D636" s="85" t="s">
        <v>84</v>
      </c>
      <c r="E636" s="86" t="s">
        <v>106</v>
      </c>
      <c r="F636" s="155">
        <v>6</v>
      </c>
      <c r="G636" s="156">
        <v>8</v>
      </c>
      <c r="H636" s="155" t="s">
        <v>444</v>
      </c>
      <c r="I636" s="155">
        <v>4</v>
      </c>
      <c r="J636" s="155" t="s">
        <v>841</v>
      </c>
      <c r="K636" s="155" t="s">
        <v>82</v>
      </c>
      <c r="L636" s="155" t="s">
        <v>537</v>
      </c>
    </row>
    <row r="637" spans="1:12" ht="20.25" customHeight="1" x14ac:dyDescent="0.3">
      <c r="A637" s="90" t="s">
        <v>476</v>
      </c>
      <c r="B637" s="84"/>
      <c r="C637" s="7" t="s">
        <v>475</v>
      </c>
      <c r="D637" s="85" t="s">
        <v>84</v>
      </c>
      <c r="E637" s="86" t="s">
        <v>110</v>
      </c>
      <c r="F637" s="155">
        <v>6</v>
      </c>
      <c r="G637" s="156">
        <v>8</v>
      </c>
      <c r="H637" s="155" t="s">
        <v>534</v>
      </c>
      <c r="I637" s="155">
        <v>4</v>
      </c>
      <c r="J637" s="155" t="s">
        <v>863</v>
      </c>
      <c r="K637" s="155" t="s">
        <v>82</v>
      </c>
      <c r="L637" s="155" t="s">
        <v>369</v>
      </c>
    </row>
    <row r="638" spans="1:12" ht="20.25" customHeight="1" x14ac:dyDescent="0.3">
      <c r="A638" s="90" t="s">
        <v>488</v>
      </c>
      <c r="B638" s="84"/>
      <c r="C638" s="7" t="s">
        <v>487</v>
      </c>
      <c r="D638" s="85" t="s">
        <v>84</v>
      </c>
      <c r="E638" s="86" t="s">
        <v>110</v>
      </c>
      <c r="F638" s="155">
        <v>6</v>
      </c>
      <c r="G638" s="156">
        <v>8</v>
      </c>
      <c r="H638" s="155" t="s">
        <v>533</v>
      </c>
      <c r="I638" s="155">
        <v>4</v>
      </c>
      <c r="J638" s="155" t="s">
        <v>863</v>
      </c>
      <c r="K638" s="155" t="s">
        <v>82</v>
      </c>
      <c r="L638" s="155" t="s">
        <v>369</v>
      </c>
    </row>
    <row r="639" spans="1:12" ht="20.25" customHeight="1" x14ac:dyDescent="0.3">
      <c r="A639" s="90" t="s">
        <v>1179</v>
      </c>
      <c r="B639" s="84"/>
      <c r="C639" s="7" t="s">
        <v>1178</v>
      </c>
      <c r="D639" s="85" t="s">
        <v>84</v>
      </c>
      <c r="E639" s="86" t="s">
        <v>106</v>
      </c>
      <c r="F639" s="155">
        <v>6</v>
      </c>
      <c r="G639" s="156">
        <v>7</v>
      </c>
      <c r="H639" s="155">
        <v>2</v>
      </c>
      <c r="I639" s="155">
        <v>4</v>
      </c>
      <c r="J639" s="155">
        <v>3</v>
      </c>
      <c r="K639" s="155" t="s">
        <v>82</v>
      </c>
      <c r="L639" s="155">
        <v>2014</v>
      </c>
    </row>
    <row r="640" spans="1:12" ht="20.25" customHeight="1" x14ac:dyDescent="0.3">
      <c r="A640" s="90" t="s">
        <v>1109</v>
      </c>
      <c r="B640" s="84"/>
      <c r="C640" s="7" t="s">
        <v>1108</v>
      </c>
      <c r="D640" s="85" t="s">
        <v>84</v>
      </c>
      <c r="E640" s="86" t="s">
        <v>110</v>
      </c>
      <c r="F640" s="155">
        <v>6</v>
      </c>
      <c r="G640" s="156">
        <v>9</v>
      </c>
      <c r="H640" s="155">
        <v>1</v>
      </c>
      <c r="I640" s="155">
        <v>5</v>
      </c>
      <c r="J640" s="155">
        <v>2</v>
      </c>
      <c r="K640" s="155" t="s">
        <v>82</v>
      </c>
      <c r="L640" s="155">
        <v>2014</v>
      </c>
    </row>
    <row r="641" spans="1:12" ht="20.25" customHeight="1" x14ac:dyDescent="0.3">
      <c r="A641" s="90" t="s">
        <v>751</v>
      </c>
      <c r="B641" s="84"/>
      <c r="C641" s="7" t="s">
        <v>750</v>
      </c>
      <c r="D641" s="85" t="s">
        <v>85</v>
      </c>
      <c r="E641" s="86" t="s">
        <v>110</v>
      </c>
      <c r="F641" s="155">
        <v>12</v>
      </c>
      <c r="G641" s="156">
        <v>7</v>
      </c>
      <c r="H641" s="155" t="s">
        <v>851</v>
      </c>
      <c r="I641" s="155">
        <v>4</v>
      </c>
      <c r="J641" s="155" t="s">
        <v>346</v>
      </c>
      <c r="K641" s="155" t="s">
        <v>82</v>
      </c>
      <c r="L641" s="155" t="s">
        <v>538</v>
      </c>
    </row>
    <row r="642" spans="1:12" ht="20.25" customHeight="1" x14ac:dyDescent="0.3">
      <c r="A642" s="90" t="s">
        <v>783</v>
      </c>
      <c r="B642" s="84"/>
      <c r="C642" s="7" t="s">
        <v>782</v>
      </c>
      <c r="D642" s="85" t="s">
        <v>85</v>
      </c>
      <c r="E642" s="86" t="s">
        <v>106</v>
      </c>
      <c r="F642" s="155">
        <v>6</v>
      </c>
      <c r="G642" s="156">
        <v>7</v>
      </c>
      <c r="H642" s="155" t="s">
        <v>534</v>
      </c>
      <c r="I642" s="155">
        <v>4</v>
      </c>
      <c r="J642" s="155" t="s">
        <v>533</v>
      </c>
      <c r="K642" s="155" t="s">
        <v>82</v>
      </c>
      <c r="L642" s="155" t="s">
        <v>1257</v>
      </c>
    </row>
    <row r="643" spans="1:12" ht="20.25" customHeight="1" x14ac:dyDescent="0.3">
      <c r="A643" s="90" t="s">
        <v>757</v>
      </c>
      <c r="B643" s="84"/>
      <c r="C643" s="7" t="s">
        <v>756</v>
      </c>
      <c r="D643" s="85" t="s">
        <v>85</v>
      </c>
      <c r="E643" s="86" t="s">
        <v>110</v>
      </c>
      <c r="F643" s="155">
        <v>6</v>
      </c>
      <c r="G643" s="156">
        <v>8</v>
      </c>
      <c r="H643" s="155" t="s">
        <v>861</v>
      </c>
      <c r="I643" s="155">
        <v>4</v>
      </c>
      <c r="J643" s="155" t="s">
        <v>350</v>
      </c>
      <c r="K643" s="155" t="s">
        <v>82</v>
      </c>
      <c r="L643" s="155" t="s">
        <v>369</v>
      </c>
    </row>
    <row r="644" spans="1:12" ht="20.25" customHeight="1" x14ac:dyDescent="0.3">
      <c r="A644" s="90" t="s">
        <v>170</v>
      </c>
      <c r="B644" s="84"/>
      <c r="C644" s="7" t="s">
        <v>169</v>
      </c>
      <c r="D644" s="85" t="s">
        <v>85</v>
      </c>
      <c r="E644" s="86" t="s">
        <v>110</v>
      </c>
      <c r="F644" s="155">
        <v>6</v>
      </c>
      <c r="G644" s="156">
        <v>8</v>
      </c>
      <c r="H644" s="155" t="s">
        <v>861</v>
      </c>
      <c r="I644" s="155">
        <v>4</v>
      </c>
      <c r="J644" s="155" t="s">
        <v>1252</v>
      </c>
      <c r="K644" s="155" t="s">
        <v>82</v>
      </c>
      <c r="L644" s="155" t="s">
        <v>369</v>
      </c>
    </row>
    <row r="645" spans="1:12" ht="20.25" customHeight="1" x14ac:dyDescent="0.3">
      <c r="A645" s="90" t="s">
        <v>712</v>
      </c>
      <c r="B645" s="84"/>
      <c r="C645" s="7" t="s">
        <v>711</v>
      </c>
      <c r="D645" s="85" t="s">
        <v>85</v>
      </c>
      <c r="E645" s="86" t="s">
        <v>110</v>
      </c>
      <c r="F645" s="155">
        <v>12</v>
      </c>
      <c r="G645" s="156">
        <v>9</v>
      </c>
      <c r="H645" s="155" t="s">
        <v>861</v>
      </c>
      <c r="I645" s="155">
        <v>5</v>
      </c>
      <c r="J645" s="155" t="s">
        <v>940</v>
      </c>
      <c r="K645" s="155" t="s">
        <v>82</v>
      </c>
      <c r="L645" s="155" t="s">
        <v>369</v>
      </c>
    </row>
    <row r="646" spans="1:12" ht="20.25" customHeight="1" x14ac:dyDescent="0.3">
      <c r="A646" s="90" t="s">
        <v>753</v>
      </c>
      <c r="B646" s="84"/>
      <c r="C646" s="7" t="s">
        <v>752</v>
      </c>
      <c r="D646" s="85" t="s">
        <v>85</v>
      </c>
      <c r="E646" s="86" t="s">
        <v>110</v>
      </c>
      <c r="F646" s="155">
        <v>6</v>
      </c>
      <c r="G646" s="156">
        <v>9</v>
      </c>
      <c r="H646" s="155" t="s">
        <v>534</v>
      </c>
      <c r="I646" s="155">
        <v>5</v>
      </c>
      <c r="J646" s="155" t="s">
        <v>1090</v>
      </c>
      <c r="K646" s="155" t="s">
        <v>82</v>
      </c>
      <c r="L646" s="155" t="s">
        <v>369</v>
      </c>
    </row>
    <row r="647" spans="1:12" ht="20.25" customHeight="1" x14ac:dyDescent="0.3">
      <c r="A647" s="90" t="s">
        <v>755</v>
      </c>
      <c r="B647" s="84"/>
      <c r="C647" s="7" t="s">
        <v>754</v>
      </c>
      <c r="D647" s="85" t="s">
        <v>85</v>
      </c>
      <c r="E647" s="86" t="s">
        <v>110</v>
      </c>
      <c r="F647" s="155">
        <v>6</v>
      </c>
      <c r="G647" s="156">
        <v>9</v>
      </c>
      <c r="H647" s="155" t="s">
        <v>527</v>
      </c>
      <c r="I647" s="155">
        <v>5</v>
      </c>
      <c r="J647" s="155" t="s">
        <v>850</v>
      </c>
      <c r="K647" s="155" t="s">
        <v>82</v>
      </c>
      <c r="L647" s="155" t="s">
        <v>356</v>
      </c>
    </row>
    <row r="648" spans="1:12" ht="20.25" customHeight="1" x14ac:dyDescent="0.3">
      <c r="A648" s="90" t="s">
        <v>759</v>
      </c>
      <c r="B648" s="84"/>
      <c r="C648" s="7" t="s">
        <v>758</v>
      </c>
      <c r="D648" s="85" t="s">
        <v>85</v>
      </c>
      <c r="E648" s="86" t="s">
        <v>110</v>
      </c>
      <c r="F648" s="155">
        <v>6</v>
      </c>
      <c r="G648" s="156">
        <v>7</v>
      </c>
      <c r="H648" s="155" t="s">
        <v>444</v>
      </c>
      <c r="I648" s="155">
        <v>4</v>
      </c>
      <c r="J648" s="155" t="s">
        <v>443</v>
      </c>
      <c r="K648" s="155" t="s">
        <v>82</v>
      </c>
      <c r="L648" s="155" t="s">
        <v>361</v>
      </c>
    </row>
    <row r="649" spans="1:12" ht="20.25" customHeight="1" x14ac:dyDescent="0.3">
      <c r="A649" s="90" t="s">
        <v>695</v>
      </c>
      <c r="B649" s="84"/>
      <c r="C649" s="7" t="s">
        <v>694</v>
      </c>
      <c r="D649" s="85" t="s">
        <v>85</v>
      </c>
      <c r="E649" s="86" t="s">
        <v>110</v>
      </c>
      <c r="F649" s="155">
        <v>6</v>
      </c>
      <c r="G649" s="156">
        <v>7</v>
      </c>
      <c r="H649" s="155">
        <v>1</v>
      </c>
      <c r="I649" s="155">
        <v>4</v>
      </c>
      <c r="J649" s="155">
        <v>4</v>
      </c>
      <c r="K649" s="155" t="s">
        <v>82</v>
      </c>
      <c r="L649" s="155">
        <v>2014</v>
      </c>
    </row>
    <row r="650" spans="1:12" ht="20.25" customHeight="1" x14ac:dyDescent="0.3">
      <c r="A650" s="90" t="s">
        <v>697</v>
      </c>
      <c r="B650" s="84"/>
      <c r="C650" s="7" t="s">
        <v>696</v>
      </c>
      <c r="D650" s="85" t="s">
        <v>85</v>
      </c>
      <c r="E650" s="86" t="s">
        <v>110</v>
      </c>
      <c r="F650" s="155">
        <v>6</v>
      </c>
      <c r="G650" s="156">
        <v>7</v>
      </c>
      <c r="H650" s="155">
        <v>2</v>
      </c>
      <c r="I650" s="155">
        <v>4</v>
      </c>
      <c r="J650" s="155">
        <v>4</v>
      </c>
      <c r="K650" s="155" t="s">
        <v>82</v>
      </c>
      <c r="L650" s="155" t="s">
        <v>661</v>
      </c>
    </row>
    <row r="651" spans="1:12" ht="20.25" customHeight="1" x14ac:dyDescent="0.3">
      <c r="A651" s="90" t="s">
        <v>699</v>
      </c>
      <c r="B651" s="84"/>
      <c r="C651" s="7" t="s">
        <v>698</v>
      </c>
      <c r="D651" s="85" t="s">
        <v>85</v>
      </c>
      <c r="E651" s="86" t="s">
        <v>110</v>
      </c>
      <c r="F651" s="155">
        <v>6</v>
      </c>
      <c r="G651" s="156">
        <v>7</v>
      </c>
      <c r="H651" s="155">
        <v>2</v>
      </c>
      <c r="I651" s="155">
        <v>4</v>
      </c>
      <c r="J651" s="155">
        <v>2</v>
      </c>
      <c r="K651" s="155" t="s">
        <v>82</v>
      </c>
      <c r="L651" s="155" t="s">
        <v>1262</v>
      </c>
    </row>
    <row r="652" spans="1:12" ht="20.25" customHeight="1" x14ac:dyDescent="0.3">
      <c r="A652" s="90" t="s">
        <v>761</v>
      </c>
      <c r="B652" s="84"/>
      <c r="C652" s="7" t="s">
        <v>760</v>
      </c>
      <c r="D652" s="85" t="s">
        <v>85</v>
      </c>
      <c r="E652" s="86" t="s">
        <v>110</v>
      </c>
      <c r="F652" s="155">
        <v>12</v>
      </c>
      <c r="G652" s="156">
        <v>9</v>
      </c>
      <c r="H652" s="155" t="s">
        <v>199</v>
      </c>
      <c r="I652" s="155">
        <v>5</v>
      </c>
      <c r="J652" s="155" t="s">
        <v>200</v>
      </c>
      <c r="K652" s="155" t="s">
        <v>82</v>
      </c>
      <c r="L652" s="155">
        <v>2014</v>
      </c>
    </row>
    <row r="653" spans="1:12" ht="20.25" customHeight="1" x14ac:dyDescent="0.3">
      <c r="A653" s="90" t="s">
        <v>716</v>
      </c>
      <c r="B653" s="84"/>
      <c r="C653" s="7" t="s">
        <v>715</v>
      </c>
      <c r="D653" s="85" t="s">
        <v>85</v>
      </c>
      <c r="E653" s="86" t="s">
        <v>110</v>
      </c>
      <c r="F653" s="155">
        <v>6</v>
      </c>
      <c r="G653" s="156">
        <v>9</v>
      </c>
      <c r="H653" s="155">
        <v>1</v>
      </c>
      <c r="I653" s="155">
        <v>5</v>
      </c>
      <c r="J653" s="155">
        <v>4</v>
      </c>
      <c r="K653" s="155" t="s">
        <v>82</v>
      </c>
      <c r="L653" s="155" t="s">
        <v>661</v>
      </c>
    </row>
    <row r="654" spans="1:12" ht="20.25" customHeight="1" x14ac:dyDescent="0.3">
      <c r="A654" s="90" t="s">
        <v>706</v>
      </c>
      <c r="B654" s="84"/>
      <c r="C654" s="7" t="s">
        <v>705</v>
      </c>
      <c r="D654" s="85" t="s">
        <v>85</v>
      </c>
      <c r="E654" s="86" t="s">
        <v>110</v>
      </c>
      <c r="F654" s="155">
        <v>6</v>
      </c>
      <c r="G654" s="156">
        <v>9</v>
      </c>
      <c r="H654" s="155">
        <v>2</v>
      </c>
      <c r="I654" s="155">
        <v>5</v>
      </c>
      <c r="J654" s="155">
        <v>2</v>
      </c>
      <c r="K654" s="155" t="s">
        <v>82</v>
      </c>
      <c r="L654" s="155" t="s">
        <v>661</v>
      </c>
    </row>
    <row r="655" spans="1:12" ht="20.25" customHeight="1" x14ac:dyDescent="0.3">
      <c r="A655" s="90" t="s">
        <v>1254</v>
      </c>
      <c r="B655" s="84"/>
      <c r="C655" s="7" t="s">
        <v>1253</v>
      </c>
      <c r="D655" s="85" t="s">
        <v>182</v>
      </c>
      <c r="E655" s="86" t="s">
        <v>110</v>
      </c>
      <c r="F655" s="155">
        <v>6</v>
      </c>
      <c r="G655" s="156">
        <v>7</v>
      </c>
      <c r="H655" s="155" t="s">
        <v>199</v>
      </c>
      <c r="I655" s="155">
        <v>4</v>
      </c>
      <c r="J655" s="155" t="s">
        <v>332</v>
      </c>
      <c r="K655" s="155" t="s">
        <v>82</v>
      </c>
      <c r="L655" s="155">
        <v>2010</v>
      </c>
    </row>
    <row r="656" spans="1:12" ht="20.25" customHeight="1" x14ac:dyDescent="0.3">
      <c r="A656" s="90" t="s">
        <v>1256</v>
      </c>
      <c r="B656" s="84"/>
      <c r="C656" s="7" t="s">
        <v>1255</v>
      </c>
      <c r="D656" s="85" t="s">
        <v>182</v>
      </c>
      <c r="E656" s="86" t="s">
        <v>106</v>
      </c>
      <c r="F656" s="155">
        <v>6</v>
      </c>
      <c r="G656" s="156">
        <v>7</v>
      </c>
      <c r="H656" s="155" t="s">
        <v>543</v>
      </c>
      <c r="I656" s="155">
        <v>4</v>
      </c>
      <c r="J656" s="155" t="s">
        <v>1003</v>
      </c>
      <c r="K656" s="155" t="s">
        <v>82</v>
      </c>
      <c r="L656" s="155" t="s">
        <v>367</v>
      </c>
    </row>
    <row r="657" spans="1:12" ht="20.25" customHeight="1" x14ac:dyDescent="0.3">
      <c r="A657" s="90" t="s">
        <v>1059</v>
      </c>
      <c r="B657" s="84"/>
      <c r="C657" s="7" t="s">
        <v>1058</v>
      </c>
      <c r="D657" s="85" t="s">
        <v>183</v>
      </c>
      <c r="E657" s="86" t="s">
        <v>106</v>
      </c>
      <c r="F657" s="155">
        <v>6</v>
      </c>
      <c r="G657" s="156">
        <v>7</v>
      </c>
      <c r="H657" s="155" t="s">
        <v>528</v>
      </c>
      <c r="I657" s="155">
        <v>4</v>
      </c>
      <c r="J657" s="155" t="s">
        <v>527</v>
      </c>
      <c r="K657" s="155" t="s">
        <v>82</v>
      </c>
      <c r="L657" s="155" t="s">
        <v>538</v>
      </c>
    </row>
    <row r="658" spans="1:12" ht="20.25" customHeight="1" x14ac:dyDescent="0.3">
      <c r="A658" s="90" t="s">
        <v>1074</v>
      </c>
      <c r="B658" s="84"/>
      <c r="C658" s="7" t="s">
        <v>1073</v>
      </c>
      <c r="D658" s="85" t="s">
        <v>183</v>
      </c>
      <c r="E658" s="86" t="s">
        <v>106</v>
      </c>
      <c r="F658" s="155">
        <v>6</v>
      </c>
      <c r="G658" s="156">
        <v>7</v>
      </c>
      <c r="H658" s="155" t="s">
        <v>861</v>
      </c>
      <c r="I658" s="155">
        <v>4</v>
      </c>
      <c r="J658" s="155" t="s">
        <v>981</v>
      </c>
      <c r="K658" s="155" t="s">
        <v>82</v>
      </c>
      <c r="L658" s="155" t="s">
        <v>1110</v>
      </c>
    </row>
    <row r="659" spans="1:12" ht="20.25" customHeight="1" x14ac:dyDescent="0.3">
      <c r="A659" s="90" t="s">
        <v>163</v>
      </c>
      <c r="B659" s="84"/>
      <c r="C659" s="7" t="s">
        <v>162</v>
      </c>
      <c r="D659" s="85" t="s">
        <v>183</v>
      </c>
      <c r="E659" s="86" t="s">
        <v>106</v>
      </c>
      <c r="F659" s="155">
        <v>6</v>
      </c>
      <c r="G659" s="156">
        <v>7</v>
      </c>
      <c r="H659" s="155" t="s">
        <v>543</v>
      </c>
      <c r="I659" s="155">
        <v>4</v>
      </c>
      <c r="J659" s="155" t="s">
        <v>543</v>
      </c>
      <c r="K659" s="155" t="s">
        <v>82</v>
      </c>
      <c r="L659" s="155" t="s">
        <v>367</v>
      </c>
    </row>
    <row r="660" spans="1:12" ht="20.25" customHeight="1" x14ac:dyDescent="0.3">
      <c r="A660" s="90" t="s">
        <v>780</v>
      </c>
      <c r="B660" s="84"/>
      <c r="C660" s="7" t="s">
        <v>779</v>
      </c>
      <c r="D660" s="85" t="s">
        <v>183</v>
      </c>
      <c r="E660" s="86" t="s">
        <v>106</v>
      </c>
      <c r="F660" s="155">
        <v>6</v>
      </c>
      <c r="G660" s="156">
        <v>7</v>
      </c>
      <c r="H660" s="155" t="s">
        <v>842</v>
      </c>
      <c r="I660" s="155">
        <v>4</v>
      </c>
      <c r="J660" s="155" t="s">
        <v>446</v>
      </c>
      <c r="K660" s="155" t="s">
        <v>82</v>
      </c>
      <c r="L660" s="155" t="s">
        <v>532</v>
      </c>
    </row>
    <row r="661" spans="1:12" ht="20.25" customHeight="1" x14ac:dyDescent="0.3">
      <c r="A661" s="90" t="s">
        <v>451</v>
      </c>
      <c r="B661" s="84"/>
      <c r="C661" s="7" t="s">
        <v>450</v>
      </c>
      <c r="D661" s="85" t="s">
        <v>183</v>
      </c>
      <c r="E661" s="86" t="s">
        <v>110</v>
      </c>
      <c r="F661" s="155">
        <v>6</v>
      </c>
      <c r="G661" s="156">
        <v>7</v>
      </c>
      <c r="H661" s="155" t="s">
        <v>543</v>
      </c>
      <c r="I661" s="155">
        <v>4</v>
      </c>
      <c r="J661" s="155" t="s">
        <v>865</v>
      </c>
      <c r="K661" s="155" t="s">
        <v>82</v>
      </c>
      <c r="L661" s="155" t="s">
        <v>367</v>
      </c>
    </row>
    <row r="662" spans="1:12" ht="20.25" customHeight="1" x14ac:dyDescent="0.3">
      <c r="A662" s="90" t="s">
        <v>517</v>
      </c>
      <c r="B662" s="84"/>
      <c r="C662" s="7" t="s">
        <v>516</v>
      </c>
      <c r="D662" s="85" t="s">
        <v>183</v>
      </c>
      <c r="E662" s="86" t="s">
        <v>110</v>
      </c>
      <c r="F662" s="155">
        <v>6</v>
      </c>
      <c r="G662" s="156">
        <v>7</v>
      </c>
      <c r="H662" s="155" t="s">
        <v>543</v>
      </c>
      <c r="I662" s="155">
        <v>4</v>
      </c>
      <c r="J662" s="155" t="s">
        <v>865</v>
      </c>
      <c r="K662" s="155" t="s">
        <v>82</v>
      </c>
      <c r="L662" s="155" t="s">
        <v>367</v>
      </c>
    </row>
    <row r="663" spans="1:12" ht="20.25" customHeight="1" x14ac:dyDescent="0.3">
      <c r="A663" s="90" t="s">
        <v>1061</v>
      </c>
      <c r="B663" s="84"/>
      <c r="C663" s="7" t="s">
        <v>1060</v>
      </c>
      <c r="D663" s="85" t="s">
        <v>183</v>
      </c>
      <c r="E663" s="86" t="s">
        <v>110</v>
      </c>
      <c r="F663" s="155">
        <v>6</v>
      </c>
      <c r="G663" s="156">
        <v>7</v>
      </c>
      <c r="H663" s="155" t="s">
        <v>1263</v>
      </c>
      <c r="I663" s="155">
        <v>4</v>
      </c>
      <c r="J663" s="155" t="s">
        <v>982</v>
      </c>
      <c r="K663" s="155" t="s">
        <v>82</v>
      </c>
      <c r="L663" s="155" t="s">
        <v>367</v>
      </c>
    </row>
    <row r="664" spans="1:12" ht="20.25" customHeight="1" x14ac:dyDescent="0.3">
      <c r="A664" s="90" t="s">
        <v>1013</v>
      </c>
      <c r="B664" s="84"/>
      <c r="C664" s="7" t="s">
        <v>1012</v>
      </c>
      <c r="D664" s="85" t="s">
        <v>183</v>
      </c>
      <c r="E664" s="86" t="s">
        <v>106</v>
      </c>
      <c r="F664" s="155">
        <v>6</v>
      </c>
      <c r="G664" s="156">
        <v>7</v>
      </c>
      <c r="H664" s="155" t="s">
        <v>543</v>
      </c>
      <c r="I664" s="155">
        <v>4</v>
      </c>
      <c r="J664" s="155" t="s">
        <v>542</v>
      </c>
      <c r="K664" s="155" t="s">
        <v>82</v>
      </c>
      <c r="L664" s="155" t="s">
        <v>367</v>
      </c>
    </row>
    <row r="665" spans="1:12" ht="20.25" customHeight="1" x14ac:dyDescent="0.3">
      <c r="A665" s="90" t="s">
        <v>1009</v>
      </c>
      <c r="B665" s="84"/>
      <c r="C665" s="7" t="s">
        <v>1008</v>
      </c>
      <c r="D665" s="85" t="s">
        <v>183</v>
      </c>
      <c r="E665" s="86" t="s">
        <v>110</v>
      </c>
      <c r="F665" s="155">
        <v>6</v>
      </c>
      <c r="G665" s="156">
        <v>7</v>
      </c>
      <c r="H665" s="155" t="s">
        <v>543</v>
      </c>
      <c r="I665" s="155">
        <v>4</v>
      </c>
      <c r="J665" s="155" t="s">
        <v>1003</v>
      </c>
      <c r="K665" s="155" t="s">
        <v>82</v>
      </c>
      <c r="L665" s="155" t="s">
        <v>367</v>
      </c>
    </row>
    <row r="666" spans="1:12" ht="20.25" customHeight="1" x14ac:dyDescent="0.3">
      <c r="A666" s="90" t="s">
        <v>1065</v>
      </c>
      <c r="B666" s="84"/>
      <c r="C666" s="7" t="s">
        <v>1064</v>
      </c>
      <c r="D666" s="85" t="s">
        <v>182</v>
      </c>
      <c r="E666" s="86" t="s">
        <v>106</v>
      </c>
      <c r="F666" s="155">
        <v>6</v>
      </c>
      <c r="G666" s="156">
        <v>7</v>
      </c>
      <c r="H666" s="155" t="s">
        <v>542</v>
      </c>
      <c r="I666" s="155">
        <v>4</v>
      </c>
      <c r="J666" s="155" t="s">
        <v>1003</v>
      </c>
      <c r="K666" s="155" t="s">
        <v>82</v>
      </c>
      <c r="L666" s="155" t="s">
        <v>367</v>
      </c>
    </row>
    <row r="667" spans="1:12" ht="20.25" customHeight="1" x14ac:dyDescent="0.3">
      <c r="A667" s="90" t="s">
        <v>1069</v>
      </c>
      <c r="B667" s="84"/>
      <c r="C667" s="7" t="s">
        <v>1068</v>
      </c>
      <c r="D667" s="85" t="s">
        <v>183</v>
      </c>
      <c r="E667" s="86" t="s">
        <v>105</v>
      </c>
      <c r="F667" s="155">
        <v>6</v>
      </c>
      <c r="G667" s="156">
        <v>7</v>
      </c>
      <c r="H667" s="155">
        <v>2</v>
      </c>
      <c r="I667" s="155">
        <v>4</v>
      </c>
      <c r="J667" s="155">
        <v>3</v>
      </c>
      <c r="K667" s="155" t="s">
        <v>82</v>
      </c>
      <c r="L667" s="155">
        <v>2010</v>
      </c>
    </row>
    <row r="668" spans="1:12" ht="20.25" customHeight="1" x14ac:dyDescent="0.3">
      <c r="A668" s="90" t="s">
        <v>955</v>
      </c>
      <c r="B668" s="84"/>
      <c r="C668" s="7" t="s">
        <v>954</v>
      </c>
      <c r="D668" s="85" t="s">
        <v>183</v>
      </c>
      <c r="E668" s="86" t="s">
        <v>110</v>
      </c>
      <c r="F668" s="155">
        <v>6</v>
      </c>
      <c r="G668" s="156">
        <v>7</v>
      </c>
      <c r="H668" s="155">
        <v>2</v>
      </c>
      <c r="I668" s="155">
        <v>4</v>
      </c>
      <c r="J668" s="155">
        <v>4</v>
      </c>
      <c r="K668" s="155" t="s">
        <v>82</v>
      </c>
      <c r="L668" s="155">
        <v>2010</v>
      </c>
    </row>
    <row r="669" spans="1:12" ht="20.25" customHeight="1" x14ac:dyDescent="0.3">
      <c r="A669" s="90" t="s">
        <v>166</v>
      </c>
      <c r="B669" s="84"/>
      <c r="C669" s="7" t="s">
        <v>165</v>
      </c>
      <c r="D669" s="85" t="s">
        <v>183</v>
      </c>
      <c r="E669" s="86" t="s">
        <v>106</v>
      </c>
      <c r="F669" s="155">
        <v>6</v>
      </c>
      <c r="G669" s="156">
        <v>7</v>
      </c>
      <c r="H669" s="155" t="s">
        <v>542</v>
      </c>
      <c r="I669" s="155">
        <v>4</v>
      </c>
      <c r="J669" s="155" t="s">
        <v>1264</v>
      </c>
      <c r="K669" s="155" t="s">
        <v>82</v>
      </c>
      <c r="L669" s="155" t="s">
        <v>367</v>
      </c>
    </row>
    <row r="670" spans="1:12" ht="20.25" customHeight="1" x14ac:dyDescent="0.3">
      <c r="A670" s="90" t="s">
        <v>1259</v>
      </c>
      <c r="B670" s="84"/>
      <c r="C670" s="7" t="s">
        <v>1258</v>
      </c>
      <c r="D670" s="85" t="s">
        <v>182</v>
      </c>
      <c r="E670" s="86" t="s">
        <v>110</v>
      </c>
      <c r="F670" s="155">
        <v>6</v>
      </c>
      <c r="G670" s="156">
        <v>7</v>
      </c>
      <c r="H670" s="155" t="s">
        <v>534</v>
      </c>
      <c r="I670" s="155">
        <v>4</v>
      </c>
      <c r="J670" s="155" t="s">
        <v>534</v>
      </c>
      <c r="K670" s="155" t="s">
        <v>82</v>
      </c>
      <c r="L670" s="155" t="s">
        <v>369</v>
      </c>
    </row>
    <row r="671" spans="1:12" ht="20.25" customHeight="1" x14ac:dyDescent="0.3">
      <c r="A671" s="90" t="s">
        <v>523</v>
      </c>
      <c r="B671" s="84"/>
      <c r="C671" s="7" t="s">
        <v>522</v>
      </c>
      <c r="D671" s="85" t="s">
        <v>183</v>
      </c>
      <c r="E671" s="86" t="s">
        <v>110</v>
      </c>
      <c r="F671" s="155">
        <v>6</v>
      </c>
      <c r="G671" s="156">
        <v>7</v>
      </c>
      <c r="H671" s="155" t="s">
        <v>534</v>
      </c>
      <c r="I671" s="155">
        <v>4</v>
      </c>
      <c r="J671" s="155" t="s">
        <v>534</v>
      </c>
      <c r="K671" s="155" t="s">
        <v>82</v>
      </c>
      <c r="L671" s="155" t="s">
        <v>369</v>
      </c>
    </row>
    <row r="672" spans="1:12" ht="20.25" customHeight="1" x14ac:dyDescent="0.3">
      <c r="A672" s="90" t="s">
        <v>560</v>
      </c>
      <c r="B672" s="84"/>
      <c r="C672" s="7" t="s">
        <v>559</v>
      </c>
      <c r="D672" s="85" t="s">
        <v>183</v>
      </c>
      <c r="E672" s="86" t="s">
        <v>110</v>
      </c>
      <c r="F672" s="155">
        <v>6</v>
      </c>
      <c r="G672" s="156">
        <v>7</v>
      </c>
      <c r="H672" s="155" t="s">
        <v>534</v>
      </c>
      <c r="I672" s="155">
        <v>4</v>
      </c>
      <c r="J672" s="155" t="s">
        <v>860</v>
      </c>
      <c r="K672" s="155" t="s">
        <v>82</v>
      </c>
      <c r="L672" s="155" t="s">
        <v>369</v>
      </c>
    </row>
    <row r="673" spans="1:12" ht="20.25" customHeight="1" x14ac:dyDescent="0.3">
      <c r="A673" s="90" t="s">
        <v>740</v>
      </c>
      <c r="B673" s="84"/>
      <c r="C673" s="7" t="s">
        <v>739</v>
      </c>
      <c r="D673" s="85" t="s">
        <v>183</v>
      </c>
      <c r="E673" s="86" t="s">
        <v>110</v>
      </c>
      <c r="F673" s="155">
        <v>6</v>
      </c>
      <c r="G673" s="156">
        <v>7</v>
      </c>
      <c r="H673" s="155" t="s">
        <v>534</v>
      </c>
      <c r="I673" s="155">
        <v>4</v>
      </c>
      <c r="J673" s="155" t="s">
        <v>533</v>
      </c>
      <c r="K673" s="155" t="s">
        <v>82</v>
      </c>
      <c r="L673" s="155" t="s">
        <v>369</v>
      </c>
    </row>
    <row r="674" spans="1:12" ht="20.25" customHeight="1" x14ac:dyDescent="0.3">
      <c r="A674" s="90" t="s">
        <v>801</v>
      </c>
      <c r="B674" s="84"/>
      <c r="C674" s="7" t="s">
        <v>800</v>
      </c>
      <c r="D674" s="85" t="s">
        <v>183</v>
      </c>
      <c r="E674" s="86" t="s">
        <v>110</v>
      </c>
      <c r="F674" s="155">
        <v>6</v>
      </c>
      <c r="G674" s="156">
        <v>7</v>
      </c>
      <c r="H674" s="155">
        <v>2</v>
      </c>
      <c r="I674" s="155">
        <v>4</v>
      </c>
      <c r="J674" s="155">
        <v>2</v>
      </c>
      <c r="K674" s="155" t="s">
        <v>82</v>
      </c>
      <c r="L674" s="155">
        <v>2011</v>
      </c>
    </row>
    <row r="675" spans="1:12" ht="20.25" customHeight="1" x14ac:dyDescent="0.3">
      <c r="A675" s="90" t="s">
        <v>1067</v>
      </c>
      <c r="B675" s="84"/>
      <c r="C675" s="7" t="s">
        <v>1066</v>
      </c>
      <c r="D675" s="85" t="s">
        <v>183</v>
      </c>
      <c r="E675" s="86" t="s">
        <v>106</v>
      </c>
      <c r="F675" s="155">
        <v>6</v>
      </c>
      <c r="G675" s="156">
        <v>7</v>
      </c>
      <c r="H675" s="155" t="s">
        <v>533</v>
      </c>
      <c r="I675" s="155">
        <v>4</v>
      </c>
      <c r="J675" s="155" t="s">
        <v>533</v>
      </c>
      <c r="K675" s="155" t="s">
        <v>82</v>
      </c>
      <c r="L675" s="155" t="s">
        <v>369</v>
      </c>
    </row>
    <row r="676" spans="1:12" ht="20.25" customHeight="1" x14ac:dyDescent="0.3">
      <c r="A676" s="90" t="s">
        <v>1069</v>
      </c>
      <c r="B676" s="84"/>
      <c r="C676" s="7" t="s">
        <v>1077</v>
      </c>
      <c r="D676" s="85" t="s">
        <v>183</v>
      </c>
      <c r="E676" s="86" t="s">
        <v>105</v>
      </c>
      <c r="F676" s="155">
        <v>6</v>
      </c>
      <c r="G676" s="156">
        <v>7</v>
      </c>
      <c r="H676" s="155" t="s">
        <v>533</v>
      </c>
      <c r="I676" s="155">
        <v>4</v>
      </c>
      <c r="J676" s="155" t="s">
        <v>863</v>
      </c>
      <c r="K676" s="155" t="s">
        <v>82</v>
      </c>
      <c r="L676" s="155" t="s">
        <v>369</v>
      </c>
    </row>
    <row r="677" spans="1:12" ht="20.25" customHeight="1" x14ac:dyDescent="0.3">
      <c r="A677" s="90" t="s">
        <v>593</v>
      </c>
      <c r="B677" s="84"/>
      <c r="C677" s="7" t="s">
        <v>592</v>
      </c>
      <c r="D677" s="85" t="s">
        <v>183</v>
      </c>
      <c r="E677" s="86" t="s">
        <v>110</v>
      </c>
      <c r="F677" s="155">
        <v>6</v>
      </c>
      <c r="G677" s="156">
        <v>7</v>
      </c>
      <c r="H677" s="155" t="s">
        <v>533</v>
      </c>
      <c r="I677" s="155">
        <v>4</v>
      </c>
      <c r="J677" s="155" t="s">
        <v>860</v>
      </c>
      <c r="K677" s="155" t="s">
        <v>82</v>
      </c>
      <c r="L677" s="155" t="s">
        <v>369</v>
      </c>
    </row>
    <row r="678" spans="1:12" ht="20.25" customHeight="1" x14ac:dyDescent="0.3">
      <c r="A678" s="90" t="s">
        <v>466</v>
      </c>
      <c r="B678" s="84"/>
      <c r="C678" s="7" t="s">
        <v>465</v>
      </c>
      <c r="D678" s="85" t="s">
        <v>183</v>
      </c>
      <c r="E678" s="86" t="s">
        <v>110</v>
      </c>
      <c r="F678" s="155">
        <v>6</v>
      </c>
      <c r="G678" s="156">
        <v>7</v>
      </c>
      <c r="H678" s="155" t="s">
        <v>533</v>
      </c>
      <c r="I678" s="155">
        <v>4</v>
      </c>
      <c r="J678" s="155" t="s">
        <v>534</v>
      </c>
      <c r="K678" s="155" t="s">
        <v>82</v>
      </c>
      <c r="L678" s="155" t="s">
        <v>369</v>
      </c>
    </row>
    <row r="679" spans="1:12" ht="20.25" customHeight="1" x14ac:dyDescent="0.3">
      <c r="A679" s="90" t="s">
        <v>506</v>
      </c>
      <c r="B679" s="84"/>
      <c r="C679" s="7" t="s">
        <v>505</v>
      </c>
      <c r="D679" s="85" t="s">
        <v>183</v>
      </c>
      <c r="E679" s="86" t="s">
        <v>110</v>
      </c>
      <c r="F679" s="155">
        <v>12</v>
      </c>
      <c r="G679" s="156">
        <v>7</v>
      </c>
      <c r="H679" s="155" t="s">
        <v>527</v>
      </c>
      <c r="I679" s="155">
        <v>4</v>
      </c>
      <c r="J679" s="155" t="s">
        <v>528</v>
      </c>
      <c r="K679" s="155" t="s">
        <v>82</v>
      </c>
      <c r="L679" s="155" t="s">
        <v>356</v>
      </c>
    </row>
    <row r="680" spans="1:12" ht="20.25" customHeight="1" x14ac:dyDescent="0.3">
      <c r="A680" s="90" t="s">
        <v>742</v>
      </c>
      <c r="B680" s="84"/>
      <c r="C680" s="7" t="s">
        <v>741</v>
      </c>
      <c r="D680" s="85" t="s">
        <v>183</v>
      </c>
      <c r="E680" s="86" t="s">
        <v>110</v>
      </c>
      <c r="F680" s="155">
        <v>6</v>
      </c>
      <c r="G680" s="156">
        <v>7</v>
      </c>
      <c r="H680" s="155" t="s">
        <v>533</v>
      </c>
      <c r="I680" s="155">
        <v>4</v>
      </c>
      <c r="J680" s="155" t="s">
        <v>860</v>
      </c>
      <c r="K680" s="155" t="s">
        <v>82</v>
      </c>
      <c r="L680" s="155" t="s">
        <v>369</v>
      </c>
    </row>
    <row r="681" spans="1:12" ht="20.25" customHeight="1" x14ac:dyDescent="0.3">
      <c r="A681" s="90" t="s">
        <v>1079</v>
      </c>
      <c r="B681" s="84"/>
      <c r="C681" s="7" t="s">
        <v>1078</v>
      </c>
      <c r="D681" s="85" t="s">
        <v>183</v>
      </c>
      <c r="E681" s="86" t="s">
        <v>110</v>
      </c>
      <c r="F681" s="155">
        <v>6</v>
      </c>
      <c r="G681" s="156">
        <v>8</v>
      </c>
      <c r="H681" s="155">
        <v>1</v>
      </c>
      <c r="I681" s="155">
        <v>4</v>
      </c>
      <c r="J681" s="155">
        <v>1</v>
      </c>
      <c r="K681" s="155" t="s">
        <v>82</v>
      </c>
      <c r="L681" s="155">
        <v>2011</v>
      </c>
    </row>
    <row r="682" spans="1:12" ht="20.25" customHeight="1" x14ac:dyDescent="0.3">
      <c r="A682" s="90" t="s">
        <v>726</v>
      </c>
      <c r="B682" s="84"/>
      <c r="C682" s="7" t="s">
        <v>725</v>
      </c>
      <c r="D682" s="85" t="s">
        <v>183</v>
      </c>
      <c r="E682" s="86" t="s">
        <v>110</v>
      </c>
      <c r="F682" s="155">
        <v>6</v>
      </c>
      <c r="G682" s="156">
        <v>8</v>
      </c>
      <c r="H682" s="155" t="s">
        <v>534</v>
      </c>
      <c r="I682" s="155">
        <v>4</v>
      </c>
      <c r="J682" s="155" t="s">
        <v>533</v>
      </c>
      <c r="K682" s="155" t="s">
        <v>82</v>
      </c>
      <c r="L682" s="155" t="s">
        <v>369</v>
      </c>
    </row>
    <row r="683" spans="1:12" ht="20.25" customHeight="1" x14ac:dyDescent="0.3">
      <c r="A683" s="90" t="s">
        <v>744</v>
      </c>
      <c r="B683" s="84"/>
      <c r="C683" s="7" t="s">
        <v>743</v>
      </c>
      <c r="D683" s="85" t="s">
        <v>183</v>
      </c>
      <c r="E683" s="86" t="s">
        <v>110</v>
      </c>
      <c r="F683" s="155">
        <v>6</v>
      </c>
      <c r="G683" s="156">
        <v>8</v>
      </c>
      <c r="H683" s="155" t="s">
        <v>534</v>
      </c>
      <c r="I683" s="155">
        <v>4</v>
      </c>
      <c r="J683" s="155" t="s">
        <v>1265</v>
      </c>
      <c r="K683" s="155" t="s">
        <v>82</v>
      </c>
      <c r="L683" s="155" t="s">
        <v>369</v>
      </c>
    </row>
    <row r="684" spans="1:12" ht="20.25" customHeight="1" x14ac:dyDescent="0.3">
      <c r="A684" s="90" t="s">
        <v>204</v>
      </c>
      <c r="B684" s="84"/>
      <c r="C684" s="7" t="s">
        <v>203</v>
      </c>
      <c r="D684" s="85" t="s">
        <v>183</v>
      </c>
      <c r="E684" s="86" t="s">
        <v>110</v>
      </c>
      <c r="F684" s="155">
        <v>6</v>
      </c>
      <c r="G684" s="156">
        <v>8</v>
      </c>
      <c r="H684" s="155" t="s">
        <v>533</v>
      </c>
      <c r="I684" s="155">
        <v>4</v>
      </c>
      <c r="J684" s="155" t="s">
        <v>860</v>
      </c>
      <c r="K684" s="155" t="s">
        <v>82</v>
      </c>
      <c r="L684" s="155" t="s">
        <v>369</v>
      </c>
    </row>
    <row r="685" spans="1:12" ht="20.25" customHeight="1" x14ac:dyDescent="0.3">
      <c r="A685" s="90" t="s">
        <v>492</v>
      </c>
      <c r="B685" s="84"/>
      <c r="C685" s="7" t="s">
        <v>491</v>
      </c>
      <c r="D685" s="85" t="s">
        <v>183</v>
      </c>
      <c r="E685" s="86" t="s">
        <v>110</v>
      </c>
      <c r="F685" s="155">
        <v>6</v>
      </c>
      <c r="G685" s="156">
        <v>8</v>
      </c>
      <c r="H685" s="155">
        <v>2</v>
      </c>
      <c r="I685" s="155">
        <v>4</v>
      </c>
      <c r="J685" s="155">
        <v>2</v>
      </c>
      <c r="K685" s="155" t="s">
        <v>82</v>
      </c>
      <c r="L685" s="155">
        <v>2011</v>
      </c>
    </row>
    <row r="686" spans="1:12" ht="20.25" customHeight="1" x14ac:dyDescent="0.3">
      <c r="A686" s="90" t="s">
        <v>746</v>
      </c>
      <c r="B686" s="84"/>
      <c r="C686" s="7" t="s">
        <v>745</v>
      </c>
      <c r="D686" s="85" t="s">
        <v>183</v>
      </c>
      <c r="E686" s="86" t="s">
        <v>110</v>
      </c>
      <c r="F686" s="155">
        <v>6</v>
      </c>
      <c r="G686" s="156">
        <v>8</v>
      </c>
      <c r="H686" s="155" t="s">
        <v>533</v>
      </c>
      <c r="I686" s="155">
        <v>4</v>
      </c>
      <c r="J686" s="155" t="s">
        <v>860</v>
      </c>
      <c r="K686" s="155" t="s">
        <v>82</v>
      </c>
      <c r="L686" s="155" t="s">
        <v>369</v>
      </c>
    </row>
    <row r="687" spans="1:12" ht="20.25" customHeight="1" x14ac:dyDescent="0.3">
      <c r="A687" s="90" t="s">
        <v>703</v>
      </c>
      <c r="B687" s="84"/>
      <c r="C687" s="7" t="s">
        <v>702</v>
      </c>
      <c r="D687" s="85" t="s">
        <v>183</v>
      </c>
      <c r="E687" s="86" t="s">
        <v>110</v>
      </c>
      <c r="F687" s="155">
        <v>12</v>
      </c>
      <c r="G687" s="156">
        <v>9</v>
      </c>
      <c r="H687" s="155" t="s">
        <v>861</v>
      </c>
      <c r="I687" s="155">
        <v>5</v>
      </c>
      <c r="J687" s="155" t="s">
        <v>1266</v>
      </c>
      <c r="K687" s="155" t="s">
        <v>82</v>
      </c>
      <c r="L687" s="155" t="s">
        <v>369</v>
      </c>
    </row>
    <row r="688" spans="1:12" ht="20.25" customHeight="1" x14ac:dyDescent="0.3">
      <c r="A688" s="90" t="s">
        <v>724</v>
      </c>
      <c r="B688" s="84"/>
      <c r="C688" s="7" t="s">
        <v>723</v>
      </c>
      <c r="D688" s="85" t="s">
        <v>183</v>
      </c>
      <c r="E688" s="86" t="s">
        <v>110</v>
      </c>
      <c r="F688" s="155">
        <v>6</v>
      </c>
      <c r="G688" s="156">
        <v>9</v>
      </c>
      <c r="H688" s="155" t="s">
        <v>534</v>
      </c>
      <c r="I688" s="155">
        <v>5</v>
      </c>
      <c r="J688" s="155" t="s">
        <v>533</v>
      </c>
      <c r="K688" s="155" t="s">
        <v>82</v>
      </c>
      <c r="L688" s="155" t="s">
        <v>369</v>
      </c>
    </row>
    <row r="689" spans="1:12" ht="20.25" customHeight="1" x14ac:dyDescent="0.3">
      <c r="A689" s="90" t="s">
        <v>1261</v>
      </c>
      <c r="B689" s="84"/>
      <c r="C689" s="7" t="s">
        <v>1260</v>
      </c>
      <c r="D689" s="85" t="s">
        <v>183</v>
      </c>
      <c r="E689" s="86" t="s">
        <v>106</v>
      </c>
      <c r="F689" s="155">
        <v>6</v>
      </c>
      <c r="G689" s="156">
        <v>9</v>
      </c>
      <c r="H689" s="155" t="s">
        <v>534</v>
      </c>
      <c r="I689" s="155">
        <v>5</v>
      </c>
      <c r="J689" s="155" t="s">
        <v>533</v>
      </c>
      <c r="K689" s="155" t="s">
        <v>82</v>
      </c>
      <c r="L689" s="155" t="s">
        <v>369</v>
      </c>
    </row>
    <row r="690" spans="1:12" ht="20.25" customHeight="1" x14ac:dyDescent="0.3">
      <c r="A690" s="90" t="s">
        <v>833</v>
      </c>
      <c r="B690" s="84"/>
      <c r="C690" s="7" t="s">
        <v>832</v>
      </c>
      <c r="D690" s="85" t="s">
        <v>183</v>
      </c>
      <c r="E690" s="86" t="s">
        <v>110</v>
      </c>
      <c r="F690" s="155">
        <v>6</v>
      </c>
      <c r="G690" s="156">
        <v>9</v>
      </c>
      <c r="H690" s="155" t="s">
        <v>533</v>
      </c>
      <c r="I690" s="155">
        <v>5</v>
      </c>
      <c r="J690" s="155" t="s">
        <v>1265</v>
      </c>
      <c r="K690" s="155" t="s">
        <v>82</v>
      </c>
      <c r="L690" s="155" t="s">
        <v>369</v>
      </c>
    </row>
    <row r="691" spans="1:12" ht="20.25" customHeight="1" x14ac:dyDescent="0.3">
      <c r="A691" s="90" t="s">
        <v>734</v>
      </c>
      <c r="B691" s="84"/>
      <c r="C691" s="7" t="s">
        <v>733</v>
      </c>
      <c r="D691" s="85" t="s">
        <v>183</v>
      </c>
      <c r="E691" s="86" t="s">
        <v>110</v>
      </c>
      <c r="F691" s="155">
        <v>6</v>
      </c>
      <c r="G691" s="156">
        <v>9</v>
      </c>
      <c r="H691" s="155" t="s">
        <v>533</v>
      </c>
      <c r="I691" s="155">
        <v>5</v>
      </c>
      <c r="J691" s="155" t="s">
        <v>860</v>
      </c>
      <c r="K691" s="155" t="s">
        <v>82</v>
      </c>
      <c r="L691" s="155" t="s">
        <v>369</v>
      </c>
    </row>
    <row r="692" spans="1:12" ht="20.25" customHeight="1" x14ac:dyDescent="0.3">
      <c r="A692" s="90" t="s">
        <v>1085</v>
      </c>
      <c r="B692" s="84"/>
      <c r="C692" s="7" t="s">
        <v>1084</v>
      </c>
      <c r="D692" s="85" t="s">
        <v>184</v>
      </c>
      <c r="E692" s="86" t="s">
        <v>110</v>
      </c>
      <c r="F692" s="155">
        <v>6</v>
      </c>
      <c r="G692" s="156">
        <v>7</v>
      </c>
      <c r="H692" s="155" t="s">
        <v>851</v>
      </c>
      <c r="I692" s="155">
        <v>4</v>
      </c>
      <c r="J692" s="155" t="s">
        <v>939</v>
      </c>
      <c r="K692" s="155" t="s">
        <v>82</v>
      </c>
      <c r="L692" s="155" t="s">
        <v>679</v>
      </c>
    </row>
    <row r="693" spans="1:12" ht="20.25" customHeight="1" x14ac:dyDescent="0.3">
      <c r="A693" s="90" t="s">
        <v>780</v>
      </c>
      <c r="B693" s="84"/>
      <c r="C693" s="7" t="s">
        <v>857</v>
      </c>
      <c r="D693" s="85" t="s">
        <v>183</v>
      </c>
      <c r="E693" s="86" t="s">
        <v>106</v>
      </c>
      <c r="F693" s="155">
        <v>6</v>
      </c>
      <c r="G693" s="156">
        <v>7</v>
      </c>
      <c r="H693" s="155" t="s">
        <v>851</v>
      </c>
      <c r="I693" s="155">
        <v>4</v>
      </c>
      <c r="J693" s="155" t="s">
        <v>880</v>
      </c>
      <c r="K693" s="155" t="s">
        <v>82</v>
      </c>
      <c r="L693" s="155" t="s">
        <v>679</v>
      </c>
    </row>
    <row r="694" spans="1:12" ht="20.25" customHeight="1" x14ac:dyDescent="0.3">
      <c r="A694" s="90" t="s">
        <v>1085</v>
      </c>
      <c r="B694" s="84"/>
      <c r="C694" s="7" t="s">
        <v>1084</v>
      </c>
      <c r="D694" s="85" t="s">
        <v>184</v>
      </c>
      <c r="E694" s="86" t="s">
        <v>110</v>
      </c>
      <c r="F694" s="155">
        <v>6</v>
      </c>
      <c r="G694" s="156">
        <v>8</v>
      </c>
      <c r="H694" s="155" t="s">
        <v>851</v>
      </c>
      <c r="I694" s="155">
        <v>4</v>
      </c>
      <c r="J694" s="155" t="s">
        <v>939</v>
      </c>
      <c r="K694" s="155" t="s">
        <v>82</v>
      </c>
      <c r="L694" s="155" t="s">
        <v>679</v>
      </c>
    </row>
    <row r="695" spans="1:12" ht="20.25" customHeight="1" x14ac:dyDescent="0.3">
      <c r="A695" s="90" t="s">
        <v>1089</v>
      </c>
      <c r="B695" s="84"/>
      <c r="C695" s="7" t="s">
        <v>1088</v>
      </c>
      <c r="D695" s="85" t="s">
        <v>183</v>
      </c>
      <c r="E695" s="86" t="s">
        <v>110</v>
      </c>
      <c r="F695" s="155">
        <v>6</v>
      </c>
      <c r="G695" s="156">
        <v>8</v>
      </c>
      <c r="H695" s="155" t="s">
        <v>528</v>
      </c>
      <c r="I695" s="155">
        <v>4</v>
      </c>
      <c r="J695" s="155" t="s">
        <v>854</v>
      </c>
      <c r="K695" s="155" t="s">
        <v>82</v>
      </c>
      <c r="L695" s="155" t="s">
        <v>679</v>
      </c>
    </row>
    <row r="696" spans="1:12" ht="20.25" customHeight="1" x14ac:dyDescent="0.3">
      <c r="A696" s="90" t="s">
        <v>482</v>
      </c>
      <c r="B696" s="84"/>
      <c r="C696" s="7" t="s">
        <v>481</v>
      </c>
      <c r="D696" s="85" t="s">
        <v>183</v>
      </c>
      <c r="E696" s="86" t="s">
        <v>110</v>
      </c>
      <c r="F696" s="155">
        <v>6</v>
      </c>
      <c r="G696" s="156">
        <v>8</v>
      </c>
      <c r="H696" s="155" t="s">
        <v>528</v>
      </c>
      <c r="I696" s="155">
        <v>4</v>
      </c>
      <c r="J696" s="155" t="s">
        <v>528</v>
      </c>
      <c r="K696" s="155" t="s">
        <v>82</v>
      </c>
      <c r="L696" s="155" t="s">
        <v>679</v>
      </c>
    </row>
    <row r="697" spans="1:12" ht="20.25" customHeight="1" x14ac:dyDescent="0.3">
      <c r="A697" s="90" t="s">
        <v>508</v>
      </c>
      <c r="B697" s="84"/>
      <c r="C697" s="7" t="s">
        <v>507</v>
      </c>
      <c r="D697" s="85" t="s">
        <v>183</v>
      </c>
      <c r="E697" s="86" t="s">
        <v>110</v>
      </c>
      <c r="F697" s="155">
        <v>6</v>
      </c>
      <c r="G697" s="156">
        <v>8</v>
      </c>
      <c r="H697" s="155" t="s">
        <v>527</v>
      </c>
      <c r="I697" s="155">
        <v>4</v>
      </c>
      <c r="J697" s="155" t="s">
        <v>854</v>
      </c>
      <c r="K697" s="155" t="s">
        <v>82</v>
      </c>
      <c r="L697" s="155" t="s">
        <v>679</v>
      </c>
    </row>
    <row r="698" spans="1:12" ht="20.25" customHeight="1" x14ac:dyDescent="0.3">
      <c r="A698" s="90" t="s">
        <v>510</v>
      </c>
      <c r="B698" s="84"/>
      <c r="C698" s="7" t="s">
        <v>509</v>
      </c>
      <c r="D698" s="85" t="s">
        <v>183</v>
      </c>
      <c r="E698" s="86" t="s">
        <v>110</v>
      </c>
      <c r="F698" s="155">
        <v>6</v>
      </c>
      <c r="G698" s="156">
        <v>8</v>
      </c>
      <c r="H698" s="155">
        <v>2</v>
      </c>
      <c r="I698" s="155">
        <v>4</v>
      </c>
      <c r="J698" s="155">
        <v>2</v>
      </c>
      <c r="K698" s="155" t="s">
        <v>82</v>
      </c>
      <c r="L698" s="155">
        <v>2012</v>
      </c>
    </row>
    <row r="699" spans="1:12" ht="20.25" customHeight="1" x14ac:dyDescent="0.3">
      <c r="A699" s="90" t="s">
        <v>1045</v>
      </c>
      <c r="B699" s="84"/>
      <c r="C699" s="7" t="s">
        <v>1044</v>
      </c>
      <c r="D699" s="85" t="s">
        <v>183</v>
      </c>
      <c r="E699" s="86" t="s">
        <v>110</v>
      </c>
      <c r="F699" s="155">
        <v>6</v>
      </c>
      <c r="G699" s="156">
        <v>8</v>
      </c>
      <c r="H699" s="155" t="s">
        <v>444</v>
      </c>
      <c r="I699" s="155">
        <v>4</v>
      </c>
      <c r="J699" s="155" t="s">
        <v>444</v>
      </c>
      <c r="K699" s="155" t="s">
        <v>82</v>
      </c>
      <c r="L699" s="155" t="s">
        <v>361</v>
      </c>
    </row>
    <row r="700" spans="1:12" ht="20.25" customHeight="1" x14ac:dyDescent="0.3">
      <c r="A700" s="90" t="s">
        <v>382</v>
      </c>
      <c r="B700" s="84"/>
      <c r="C700" s="7" t="s">
        <v>381</v>
      </c>
      <c r="D700" s="85" t="s">
        <v>183</v>
      </c>
      <c r="E700" s="86" t="s">
        <v>110</v>
      </c>
      <c r="F700" s="155">
        <v>6</v>
      </c>
      <c r="G700" s="156">
        <v>8</v>
      </c>
      <c r="H700" s="155" t="s">
        <v>444</v>
      </c>
      <c r="I700" s="155">
        <v>4</v>
      </c>
      <c r="J700" s="155" t="s">
        <v>443</v>
      </c>
      <c r="K700" s="155" t="s">
        <v>82</v>
      </c>
      <c r="L700" s="155" t="s">
        <v>361</v>
      </c>
    </row>
    <row r="701" spans="1:12" ht="20.25" customHeight="1" x14ac:dyDescent="0.3">
      <c r="A701" s="90" t="s">
        <v>510</v>
      </c>
      <c r="B701" s="84"/>
      <c r="C701" s="7" t="s">
        <v>509</v>
      </c>
      <c r="D701" s="85" t="s">
        <v>183</v>
      </c>
      <c r="E701" s="86" t="s">
        <v>110</v>
      </c>
      <c r="F701" s="155">
        <v>6</v>
      </c>
      <c r="G701" s="156">
        <v>9</v>
      </c>
      <c r="H701" s="155" t="s">
        <v>444</v>
      </c>
      <c r="I701" s="155">
        <v>5</v>
      </c>
      <c r="J701" s="155" t="s">
        <v>443</v>
      </c>
      <c r="K701" s="155" t="s">
        <v>82</v>
      </c>
      <c r="L701" s="155" t="s">
        <v>361</v>
      </c>
    </row>
    <row r="702" spans="1:12" ht="20.25" customHeight="1" x14ac:dyDescent="0.3">
      <c r="A702" s="90" t="s">
        <v>550</v>
      </c>
      <c r="B702" s="84"/>
      <c r="C702" s="7" t="s">
        <v>549</v>
      </c>
      <c r="D702" s="85" t="s">
        <v>183</v>
      </c>
      <c r="E702" s="86" t="s">
        <v>106</v>
      </c>
      <c r="F702" s="155">
        <v>6</v>
      </c>
      <c r="G702" s="156">
        <v>7</v>
      </c>
      <c r="H702" s="155">
        <v>1</v>
      </c>
      <c r="I702" s="155">
        <v>4</v>
      </c>
      <c r="J702" s="155">
        <v>2</v>
      </c>
      <c r="K702" s="155" t="s">
        <v>82</v>
      </c>
      <c r="L702" s="155">
        <v>2014</v>
      </c>
    </row>
    <row r="703" spans="1:12" ht="20.25" customHeight="1" x14ac:dyDescent="0.3">
      <c r="A703" s="90" t="s">
        <v>492</v>
      </c>
      <c r="B703" s="84"/>
      <c r="C703" s="7" t="s">
        <v>491</v>
      </c>
      <c r="D703" s="85" t="s">
        <v>183</v>
      </c>
      <c r="E703" s="86" t="s">
        <v>110</v>
      </c>
      <c r="F703" s="155">
        <v>6</v>
      </c>
      <c r="G703" s="156">
        <v>7</v>
      </c>
      <c r="H703" s="155">
        <v>1</v>
      </c>
      <c r="I703" s="155">
        <v>4</v>
      </c>
      <c r="J703" s="155">
        <v>2</v>
      </c>
      <c r="K703" s="155" t="s">
        <v>82</v>
      </c>
      <c r="L703" s="155">
        <v>2014</v>
      </c>
    </row>
    <row r="704" spans="1:12" ht="20.25" customHeight="1" x14ac:dyDescent="0.3">
      <c r="A704" s="90" t="s">
        <v>1099</v>
      </c>
      <c r="B704" s="84"/>
      <c r="C704" s="7" t="s">
        <v>1098</v>
      </c>
      <c r="D704" s="85" t="s">
        <v>183</v>
      </c>
      <c r="E704" s="86" t="s">
        <v>106</v>
      </c>
      <c r="F704" s="155">
        <v>6</v>
      </c>
      <c r="G704" s="156">
        <v>7</v>
      </c>
      <c r="H704" s="155" t="s">
        <v>199</v>
      </c>
      <c r="I704" s="155">
        <v>4</v>
      </c>
      <c r="J704" s="155" t="s">
        <v>1115</v>
      </c>
      <c r="K704" s="155" t="s">
        <v>82</v>
      </c>
      <c r="L704" s="155">
        <v>2014</v>
      </c>
    </row>
    <row r="705" spans="1:12" ht="20.25" customHeight="1" x14ac:dyDescent="0.3">
      <c r="A705" s="90" t="s">
        <v>554</v>
      </c>
      <c r="B705" s="84"/>
      <c r="C705" s="7" t="s">
        <v>553</v>
      </c>
      <c r="D705" s="85" t="s">
        <v>183</v>
      </c>
      <c r="E705" s="86" t="s">
        <v>106</v>
      </c>
      <c r="F705" s="155">
        <v>6</v>
      </c>
      <c r="G705" s="156">
        <v>7</v>
      </c>
      <c r="H705" s="155">
        <v>2</v>
      </c>
      <c r="I705" s="155">
        <v>4</v>
      </c>
      <c r="J705" s="155">
        <v>1</v>
      </c>
      <c r="K705" s="155" t="s">
        <v>82</v>
      </c>
      <c r="L705" s="155">
        <v>2014</v>
      </c>
    </row>
    <row r="706" spans="1:12" ht="20.25" customHeight="1" x14ac:dyDescent="0.3">
      <c r="A706" s="90" t="s">
        <v>129</v>
      </c>
      <c r="B706" s="84"/>
      <c r="C706" s="7" t="s">
        <v>128</v>
      </c>
      <c r="D706" s="85" t="s">
        <v>182</v>
      </c>
      <c r="E706" s="86" t="s">
        <v>105</v>
      </c>
      <c r="F706" s="155">
        <v>6</v>
      </c>
      <c r="G706" s="156">
        <v>1</v>
      </c>
      <c r="H706" s="155" t="s">
        <v>917</v>
      </c>
      <c r="I706" s="155">
        <v>1</v>
      </c>
      <c r="J706" s="155" t="s">
        <v>1222</v>
      </c>
      <c r="K706" s="155" t="s">
        <v>82</v>
      </c>
      <c r="L706" s="155" t="s">
        <v>362</v>
      </c>
    </row>
    <row r="707" spans="1:12" ht="20.25" customHeight="1" x14ac:dyDescent="0.3">
      <c r="A707" s="90" t="s">
        <v>1119</v>
      </c>
      <c r="B707" s="84"/>
      <c r="C707" s="7" t="s">
        <v>1118</v>
      </c>
      <c r="D707" s="85" t="s">
        <v>182</v>
      </c>
      <c r="E707" s="86" t="s">
        <v>105</v>
      </c>
      <c r="F707" s="155">
        <v>8</v>
      </c>
      <c r="G707" s="156">
        <v>1</v>
      </c>
      <c r="H707" s="155" t="s">
        <v>199</v>
      </c>
      <c r="I707" s="155">
        <v>1</v>
      </c>
      <c r="J707" s="155" t="s">
        <v>1168</v>
      </c>
      <c r="K707" s="155" t="s">
        <v>82</v>
      </c>
      <c r="L707" s="155">
        <v>2009</v>
      </c>
    </row>
    <row r="708" spans="1:12" ht="20.25" customHeight="1" x14ac:dyDescent="0.3">
      <c r="A708" s="90" t="s">
        <v>1121</v>
      </c>
      <c r="B708" s="84"/>
      <c r="C708" s="7" t="s">
        <v>1120</v>
      </c>
      <c r="D708" s="85" t="s">
        <v>182</v>
      </c>
      <c r="E708" s="86" t="s">
        <v>105</v>
      </c>
      <c r="F708" s="155">
        <v>4</v>
      </c>
      <c r="G708" s="156">
        <v>1</v>
      </c>
      <c r="H708" s="155" t="s">
        <v>199</v>
      </c>
      <c r="I708" s="155">
        <v>1</v>
      </c>
      <c r="J708" s="155" t="s">
        <v>1055</v>
      </c>
      <c r="K708" s="155" t="s">
        <v>82</v>
      </c>
      <c r="L708" s="155">
        <v>2009</v>
      </c>
    </row>
    <row r="709" spans="1:12" ht="20.25" customHeight="1" x14ac:dyDescent="0.3">
      <c r="A709" s="90" t="s">
        <v>1268</v>
      </c>
      <c r="B709" s="84"/>
      <c r="C709" s="7" t="s">
        <v>1267</v>
      </c>
      <c r="D709" s="85" t="s">
        <v>182</v>
      </c>
      <c r="E709" s="86" t="s">
        <v>105</v>
      </c>
      <c r="F709" s="155">
        <v>6</v>
      </c>
      <c r="G709" s="156">
        <v>1</v>
      </c>
      <c r="H709" s="155" t="s">
        <v>199</v>
      </c>
      <c r="I709" s="155">
        <v>1</v>
      </c>
      <c r="J709" s="155" t="s">
        <v>1180</v>
      </c>
      <c r="K709" s="155" t="s">
        <v>82</v>
      </c>
      <c r="L709" s="155">
        <v>2009</v>
      </c>
    </row>
    <row r="710" spans="1:12" ht="20.25" customHeight="1" x14ac:dyDescent="0.3">
      <c r="A710" s="90" t="s">
        <v>1270</v>
      </c>
      <c r="B710" s="84"/>
      <c r="C710" s="7" t="s">
        <v>1269</v>
      </c>
      <c r="D710" s="85" t="s">
        <v>182</v>
      </c>
      <c r="E710" s="86" t="s">
        <v>105</v>
      </c>
      <c r="F710" s="155">
        <v>6</v>
      </c>
      <c r="G710" s="156">
        <v>1</v>
      </c>
      <c r="H710" s="155" t="s">
        <v>851</v>
      </c>
      <c r="I710" s="155">
        <v>1</v>
      </c>
      <c r="J710" s="155" t="s">
        <v>851</v>
      </c>
      <c r="K710" s="155" t="s">
        <v>82</v>
      </c>
      <c r="L710" s="155" t="s">
        <v>526</v>
      </c>
    </row>
    <row r="711" spans="1:12" ht="20.25" customHeight="1" x14ac:dyDescent="0.3">
      <c r="A711" s="90" t="s">
        <v>282</v>
      </c>
      <c r="B711" s="84"/>
      <c r="C711" s="7" t="s">
        <v>281</v>
      </c>
      <c r="D711" s="85" t="s">
        <v>184</v>
      </c>
      <c r="E711" s="86" t="s">
        <v>105</v>
      </c>
      <c r="F711" s="155">
        <v>2</v>
      </c>
      <c r="G711" s="156">
        <v>2</v>
      </c>
      <c r="H711" s="155" t="s">
        <v>876</v>
      </c>
      <c r="I711" s="155">
        <v>1</v>
      </c>
      <c r="J711" s="155" t="s">
        <v>1224</v>
      </c>
      <c r="K711" s="155" t="s">
        <v>82</v>
      </c>
      <c r="L711" s="155" t="s">
        <v>362</v>
      </c>
    </row>
    <row r="712" spans="1:12" ht="20.25" customHeight="1" x14ac:dyDescent="0.3">
      <c r="A712" s="90" t="s">
        <v>135</v>
      </c>
      <c r="B712" s="84"/>
      <c r="C712" s="7" t="s">
        <v>134</v>
      </c>
      <c r="D712" s="85" t="s">
        <v>182</v>
      </c>
      <c r="E712" s="86" t="s">
        <v>105</v>
      </c>
      <c r="F712" s="155">
        <v>6</v>
      </c>
      <c r="G712" s="156">
        <v>2</v>
      </c>
      <c r="H712" s="155" t="s">
        <v>868</v>
      </c>
      <c r="I712" s="155">
        <v>1</v>
      </c>
      <c r="J712" s="155" t="s">
        <v>883</v>
      </c>
      <c r="K712" s="155" t="s">
        <v>82</v>
      </c>
      <c r="L712" s="155" t="s">
        <v>362</v>
      </c>
    </row>
    <row r="713" spans="1:12" ht="20.25" customHeight="1" x14ac:dyDescent="0.3">
      <c r="A713" s="90" t="s">
        <v>1127</v>
      </c>
      <c r="B713" s="84"/>
      <c r="C713" s="7" t="s">
        <v>1126</v>
      </c>
      <c r="D713" s="85" t="s">
        <v>182</v>
      </c>
      <c r="E713" s="86" t="s">
        <v>105</v>
      </c>
      <c r="F713" s="155">
        <v>6</v>
      </c>
      <c r="G713" s="156">
        <v>2</v>
      </c>
      <c r="H713" s="155" t="s">
        <v>868</v>
      </c>
      <c r="I713" s="155">
        <v>1</v>
      </c>
      <c r="J713" s="155" t="s">
        <v>873</v>
      </c>
      <c r="K713" s="155" t="s">
        <v>82</v>
      </c>
      <c r="L713" s="155" t="s">
        <v>362</v>
      </c>
    </row>
    <row r="714" spans="1:12" ht="20.25" customHeight="1" x14ac:dyDescent="0.3">
      <c r="A714" s="90" t="s">
        <v>1129</v>
      </c>
      <c r="B714" s="84"/>
      <c r="C714" s="7" t="s">
        <v>1128</v>
      </c>
      <c r="D714" s="85" t="s">
        <v>182</v>
      </c>
      <c r="E714" s="86" t="s">
        <v>105</v>
      </c>
      <c r="F714" s="155">
        <v>6</v>
      </c>
      <c r="G714" s="156">
        <v>2</v>
      </c>
      <c r="H714" s="155" t="s">
        <v>842</v>
      </c>
      <c r="I714" s="155">
        <v>1</v>
      </c>
      <c r="J714" s="155" t="s">
        <v>280</v>
      </c>
      <c r="K714" s="155" t="s">
        <v>82</v>
      </c>
      <c r="L714" s="155" t="s">
        <v>338</v>
      </c>
    </row>
    <row r="715" spans="1:12" ht="20.25" customHeight="1" x14ac:dyDescent="0.3">
      <c r="A715" s="90" t="s">
        <v>284</v>
      </c>
      <c r="B715" s="84"/>
      <c r="C715" s="7" t="s">
        <v>283</v>
      </c>
      <c r="D715" s="85" t="s">
        <v>183</v>
      </c>
      <c r="E715" s="86" t="s">
        <v>105</v>
      </c>
      <c r="F715" s="155">
        <v>6</v>
      </c>
      <c r="G715" s="156">
        <v>2</v>
      </c>
      <c r="H715" s="155" t="s">
        <v>876</v>
      </c>
      <c r="I715" s="155">
        <v>1</v>
      </c>
      <c r="J715" s="155" t="s">
        <v>368</v>
      </c>
      <c r="K715" s="155" t="s">
        <v>82</v>
      </c>
      <c r="L715" s="155" t="s">
        <v>362</v>
      </c>
    </row>
    <row r="716" spans="1:12" ht="20.25" customHeight="1" x14ac:dyDescent="0.3">
      <c r="A716" s="90" t="s">
        <v>137</v>
      </c>
      <c r="B716" s="84"/>
      <c r="C716" s="7" t="s">
        <v>136</v>
      </c>
      <c r="D716" s="85" t="s">
        <v>182</v>
      </c>
      <c r="E716" s="86" t="s">
        <v>105</v>
      </c>
      <c r="F716" s="155">
        <v>6</v>
      </c>
      <c r="G716" s="156">
        <v>2</v>
      </c>
      <c r="H716" s="155" t="s">
        <v>873</v>
      </c>
      <c r="I716" s="155">
        <v>1</v>
      </c>
      <c r="J716" s="155" t="s">
        <v>883</v>
      </c>
      <c r="K716" s="155" t="s">
        <v>82</v>
      </c>
      <c r="L716" s="155" t="s">
        <v>362</v>
      </c>
    </row>
    <row r="717" spans="1:12" ht="20.25" customHeight="1" x14ac:dyDescent="0.3">
      <c r="A717" s="90" t="s">
        <v>1272</v>
      </c>
      <c r="B717" s="84"/>
      <c r="C717" s="7" t="s">
        <v>1271</v>
      </c>
      <c r="D717" s="85" t="s">
        <v>182</v>
      </c>
      <c r="E717" s="86" t="s">
        <v>106</v>
      </c>
      <c r="F717" s="155">
        <v>6</v>
      </c>
      <c r="G717" s="156">
        <v>2</v>
      </c>
      <c r="H717" s="155" t="s">
        <v>873</v>
      </c>
      <c r="I717" s="155">
        <v>1</v>
      </c>
      <c r="J717" s="155" t="s">
        <v>1298</v>
      </c>
      <c r="K717" s="155" t="s">
        <v>82</v>
      </c>
      <c r="L717" s="155" t="s">
        <v>362</v>
      </c>
    </row>
    <row r="718" spans="1:12" ht="20.25" customHeight="1" x14ac:dyDescent="0.3">
      <c r="A718" s="90" t="s">
        <v>143</v>
      </c>
      <c r="B718" s="84"/>
      <c r="C718" s="7" t="s">
        <v>142</v>
      </c>
      <c r="D718" s="85" t="s">
        <v>182</v>
      </c>
      <c r="E718" s="86" t="s">
        <v>105</v>
      </c>
      <c r="F718" s="155">
        <v>8</v>
      </c>
      <c r="G718" s="156">
        <v>3</v>
      </c>
      <c r="H718" s="155" t="s">
        <v>199</v>
      </c>
      <c r="I718" s="155">
        <v>2</v>
      </c>
      <c r="J718" s="155" t="s">
        <v>1055</v>
      </c>
      <c r="K718" s="155" t="s">
        <v>82</v>
      </c>
      <c r="L718" s="155">
        <v>2009</v>
      </c>
    </row>
    <row r="719" spans="1:12" ht="20.25" customHeight="1" x14ac:dyDescent="0.3">
      <c r="A719" s="90" t="s">
        <v>1137</v>
      </c>
      <c r="B719" s="84"/>
      <c r="C719" s="7" t="s">
        <v>1136</v>
      </c>
      <c r="D719" s="85" t="s">
        <v>182</v>
      </c>
      <c r="E719" s="86" t="s">
        <v>106</v>
      </c>
      <c r="F719" s="155">
        <v>4</v>
      </c>
      <c r="G719" s="156">
        <v>3</v>
      </c>
      <c r="H719" s="155">
        <v>1</v>
      </c>
      <c r="I719" s="155">
        <v>2</v>
      </c>
      <c r="J719" s="155">
        <v>3</v>
      </c>
      <c r="K719" s="155" t="s">
        <v>82</v>
      </c>
      <c r="L719" s="155">
        <v>2009</v>
      </c>
    </row>
    <row r="720" spans="1:12" ht="20.25" customHeight="1" x14ac:dyDescent="0.3">
      <c r="A720" s="90" t="s">
        <v>1274</v>
      </c>
      <c r="B720" s="84"/>
      <c r="C720" s="7" t="s">
        <v>1273</v>
      </c>
      <c r="D720" s="85" t="s">
        <v>182</v>
      </c>
      <c r="E720" s="86" t="s">
        <v>105</v>
      </c>
      <c r="F720" s="155">
        <v>6</v>
      </c>
      <c r="G720" s="156">
        <v>3</v>
      </c>
      <c r="H720" s="155" t="s">
        <v>868</v>
      </c>
      <c r="I720" s="155">
        <v>2</v>
      </c>
      <c r="J720" s="155" t="s">
        <v>1299</v>
      </c>
      <c r="K720" s="155" t="s">
        <v>82</v>
      </c>
      <c r="L720" s="155" t="s">
        <v>362</v>
      </c>
    </row>
    <row r="721" spans="1:12" ht="20.25" customHeight="1" x14ac:dyDescent="0.3">
      <c r="A721" s="90" t="s">
        <v>581</v>
      </c>
      <c r="B721" s="84"/>
      <c r="C721" s="7" t="s">
        <v>580</v>
      </c>
      <c r="D721" s="85" t="s">
        <v>183</v>
      </c>
      <c r="E721" s="86" t="s">
        <v>105</v>
      </c>
      <c r="F721" s="155">
        <v>6</v>
      </c>
      <c r="G721" s="156">
        <v>3</v>
      </c>
      <c r="H721" s="155" t="s">
        <v>444</v>
      </c>
      <c r="I721" s="155">
        <v>2</v>
      </c>
      <c r="J721" s="155" t="s">
        <v>841</v>
      </c>
      <c r="K721" s="155" t="s">
        <v>82</v>
      </c>
      <c r="L721" s="155" t="s">
        <v>338</v>
      </c>
    </row>
    <row r="722" spans="1:12" ht="20.25" customHeight="1" x14ac:dyDescent="0.3">
      <c r="A722" s="90" t="s">
        <v>303</v>
      </c>
      <c r="B722" s="84"/>
      <c r="C722" s="7" t="s">
        <v>302</v>
      </c>
      <c r="D722" s="85" t="s">
        <v>183</v>
      </c>
      <c r="E722" s="86" t="s">
        <v>105</v>
      </c>
      <c r="F722" s="155">
        <v>6</v>
      </c>
      <c r="G722" s="156">
        <v>3</v>
      </c>
      <c r="H722" s="155" t="s">
        <v>864</v>
      </c>
      <c r="I722" s="155">
        <v>2</v>
      </c>
      <c r="J722" s="155" t="s">
        <v>909</v>
      </c>
      <c r="K722" s="155" t="s">
        <v>82</v>
      </c>
      <c r="L722" s="155" t="s">
        <v>352</v>
      </c>
    </row>
    <row r="723" spans="1:12" ht="20.25" customHeight="1" x14ac:dyDescent="0.3">
      <c r="A723" s="90" t="s">
        <v>48</v>
      </c>
      <c r="B723" s="84"/>
      <c r="C723" s="7" t="s">
        <v>237</v>
      </c>
      <c r="D723" s="85" t="s">
        <v>182</v>
      </c>
      <c r="E723" s="86" t="s">
        <v>105</v>
      </c>
      <c r="F723" s="155">
        <v>6</v>
      </c>
      <c r="G723" s="156">
        <v>3</v>
      </c>
      <c r="H723" s="155" t="s">
        <v>873</v>
      </c>
      <c r="I723" s="155">
        <v>2</v>
      </c>
      <c r="J723" s="155" t="s">
        <v>883</v>
      </c>
      <c r="K723" s="155" t="s">
        <v>82</v>
      </c>
      <c r="L723" s="155" t="s">
        <v>362</v>
      </c>
    </row>
    <row r="724" spans="1:12" ht="20.25" customHeight="1" x14ac:dyDescent="0.3">
      <c r="A724" s="90" t="s">
        <v>1125</v>
      </c>
      <c r="B724" s="84"/>
      <c r="C724" s="7" t="s">
        <v>1124</v>
      </c>
      <c r="D724" s="85" t="s">
        <v>182</v>
      </c>
      <c r="E724" s="86" t="s">
        <v>105</v>
      </c>
      <c r="F724" s="155">
        <v>6</v>
      </c>
      <c r="G724" s="156">
        <v>3</v>
      </c>
      <c r="H724" s="155" t="s">
        <v>873</v>
      </c>
      <c r="I724" s="155">
        <v>2</v>
      </c>
      <c r="J724" s="155" t="s">
        <v>1004</v>
      </c>
      <c r="K724" s="155" t="s">
        <v>82</v>
      </c>
      <c r="L724" s="155" t="s">
        <v>362</v>
      </c>
    </row>
    <row r="725" spans="1:12" ht="20.25" customHeight="1" x14ac:dyDescent="0.3">
      <c r="A725" s="90" t="s">
        <v>226</v>
      </c>
      <c r="B725" s="84"/>
      <c r="C725" s="7" t="s">
        <v>1275</v>
      </c>
      <c r="D725" s="85" t="s">
        <v>182</v>
      </c>
      <c r="E725" s="86" t="s">
        <v>105</v>
      </c>
      <c r="F725" s="155">
        <v>6</v>
      </c>
      <c r="G725" s="156">
        <v>4</v>
      </c>
      <c r="H725" s="155" t="s">
        <v>868</v>
      </c>
      <c r="I725" s="155">
        <v>2</v>
      </c>
      <c r="J725" s="155" t="s">
        <v>873</v>
      </c>
      <c r="K725" s="155" t="s">
        <v>82</v>
      </c>
      <c r="L725" s="155" t="s">
        <v>362</v>
      </c>
    </row>
    <row r="726" spans="1:12" ht="20.25" customHeight="1" x14ac:dyDescent="0.3">
      <c r="A726" s="90" t="s">
        <v>1277</v>
      </c>
      <c r="B726" s="84"/>
      <c r="C726" s="7" t="s">
        <v>1276</v>
      </c>
      <c r="D726" s="85" t="s">
        <v>182</v>
      </c>
      <c r="E726" s="86" t="s">
        <v>105</v>
      </c>
      <c r="F726" s="155">
        <v>6</v>
      </c>
      <c r="G726" s="156">
        <v>4</v>
      </c>
      <c r="H726" s="155" t="s">
        <v>851</v>
      </c>
      <c r="I726" s="155">
        <v>2</v>
      </c>
      <c r="J726" s="155" t="s">
        <v>1290</v>
      </c>
      <c r="K726" s="155" t="s">
        <v>82</v>
      </c>
      <c r="L726" s="155" t="s">
        <v>526</v>
      </c>
    </row>
    <row r="727" spans="1:12" ht="20.25" customHeight="1" x14ac:dyDescent="0.3">
      <c r="A727" s="90" t="s">
        <v>1092</v>
      </c>
      <c r="B727" s="84"/>
      <c r="C727" s="7" t="s">
        <v>1091</v>
      </c>
      <c r="D727" s="85" t="s">
        <v>182</v>
      </c>
      <c r="E727" s="86" t="s">
        <v>105</v>
      </c>
      <c r="F727" s="155">
        <v>6</v>
      </c>
      <c r="G727" s="156">
        <v>4</v>
      </c>
      <c r="H727" s="155" t="s">
        <v>876</v>
      </c>
      <c r="I727" s="155">
        <v>2</v>
      </c>
      <c r="J727" s="155" t="s">
        <v>1300</v>
      </c>
      <c r="K727" s="155" t="s">
        <v>82</v>
      </c>
      <c r="L727" s="155" t="s">
        <v>362</v>
      </c>
    </row>
    <row r="728" spans="1:12" ht="20.25" customHeight="1" x14ac:dyDescent="0.3">
      <c r="A728" s="90" t="s">
        <v>1133</v>
      </c>
      <c r="B728" s="84"/>
      <c r="C728" s="7" t="s">
        <v>1132</v>
      </c>
      <c r="D728" s="85" t="s">
        <v>182</v>
      </c>
      <c r="E728" s="86" t="s">
        <v>105</v>
      </c>
      <c r="F728" s="155">
        <v>6</v>
      </c>
      <c r="G728" s="156">
        <v>4</v>
      </c>
      <c r="H728" s="155" t="s">
        <v>443</v>
      </c>
      <c r="I728" s="155">
        <v>2</v>
      </c>
      <c r="J728" s="155" t="s">
        <v>443</v>
      </c>
      <c r="K728" s="155" t="s">
        <v>82</v>
      </c>
      <c r="L728" s="155" t="s">
        <v>338</v>
      </c>
    </row>
    <row r="729" spans="1:12" ht="20.25" customHeight="1" x14ac:dyDescent="0.3">
      <c r="A729" s="90" t="s">
        <v>1148</v>
      </c>
      <c r="B729" s="84"/>
      <c r="C729" s="7" t="s">
        <v>1147</v>
      </c>
      <c r="D729" s="85" t="s">
        <v>182</v>
      </c>
      <c r="E729" s="86" t="s">
        <v>106</v>
      </c>
      <c r="F729" s="155">
        <v>6</v>
      </c>
      <c r="G729" s="156">
        <v>4</v>
      </c>
      <c r="H729" s="155" t="s">
        <v>527</v>
      </c>
      <c r="I729" s="155">
        <v>2</v>
      </c>
      <c r="J729" s="155" t="s">
        <v>850</v>
      </c>
      <c r="K729" s="155" t="s">
        <v>82</v>
      </c>
      <c r="L729" s="155" t="s">
        <v>526</v>
      </c>
    </row>
    <row r="730" spans="1:12" ht="20.25" customHeight="1" x14ac:dyDescent="0.3">
      <c r="A730" s="90" t="s">
        <v>1279</v>
      </c>
      <c r="B730" s="84"/>
      <c r="C730" s="7" t="s">
        <v>1278</v>
      </c>
      <c r="D730" s="85" t="s">
        <v>182</v>
      </c>
      <c r="E730" s="86" t="s">
        <v>106</v>
      </c>
      <c r="F730" s="155">
        <v>6</v>
      </c>
      <c r="G730" s="156">
        <v>5</v>
      </c>
      <c r="H730" s="155" t="s">
        <v>842</v>
      </c>
      <c r="I730" s="155">
        <v>3</v>
      </c>
      <c r="J730" s="155" t="s">
        <v>280</v>
      </c>
      <c r="K730" s="155" t="s">
        <v>82</v>
      </c>
      <c r="L730" s="155" t="s">
        <v>338</v>
      </c>
    </row>
    <row r="731" spans="1:12" ht="20.25" customHeight="1" x14ac:dyDescent="0.3">
      <c r="A731" s="90" t="s">
        <v>1151</v>
      </c>
      <c r="B731" s="84"/>
      <c r="C731" s="7" t="s">
        <v>1150</v>
      </c>
      <c r="D731" s="85" t="s">
        <v>182</v>
      </c>
      <c r="E731" s="86" t="s">
        <v>106</v>
      </c>
      <c r="F731" s="155">
        <v>6</v>
      </c>
      <c r="G731" s="156">
        <v>5</v>
      </c>
      <c r="H731" s="155" t="s">
        <v>868</v>
      </c>
      <c r="I731" s="155">
        <v>3</v>
      </c>
      <c r="J731" s="155" t="s">
        <v>873</v>
      </c>
      <c r="K731" s="155" t="s">
        <v>82</v>
      </c>
      <c r="L731" s="155" t="s">
        <v>362</v>
      </c>
    </row>
    <row r="732" spans="1:12" ht="20.25" customHeight="1" x14ac:dyDescent="0.3">
      <c r="A732" s="90" t="s">
        <v>1281</v>
      </c>
      <c r="B732" s="84"/>
      <c r="C732" s="7" t="s">
        <v>1280</v>
      </c>
      <c r="D732" s="85" t="s">
        <v>182</v>
      </c>
      <c r="E732" s="86" t="s">
        <v>106</v>
      </c>
      <c r="F732" s="155">
        <v>12</v>
      </c>
      <c r="G732" s="156">
        <v>5</v>
      </c>
      <c r="H732" s="155" t="s">
        <v>876</v>
      </c>
      <c r="I732" s="155">
        <v>3</v>
      </c>
      <c r="J732" s="155" t="s">
        <v>376</v>
      </c>
      <c r="K732" s="155" t="s">
        <v>82</v>
      </c>
      <c r="L732" s="155" t="s">
        <v>362</v>
      </c>
    </row>
    <row r="733" spans="1:12" ht="20.25" customHeight="1" x14ac:dyDescent="0.3">
      <c r="A733" s="90" t="s">
        <v>1157</v>
      </c>
      <c r="B733" s="84"/>
      <c r="C733" s="7" t="s">
        <v>1156</v>
      </c>
      <c r="D733" s="85" t="s">
        <v>182</v>
      </c>
      <c r="E733" s="86" t="s">
        <v>106</v>
      </c>
      <c r="F733" s="155">
        <v>6</v>
      </c>
      <c r="G733" s="156">
        <v>5</v>
      </c>
      <c r="H733" s="155" t="s">
        <v>873</v>
      </c>
      <c r="I733" s="155">
        <v>3</v>
      </c>
      <c r="J733" s="155" t="s">
        <v>873</v>
      </c>
      <c r="K733" s="155" t="s">
        <v>82</v>
      </c>
      <c r="L733" s="155" t="s">
        <v>362</v>
      </c>
    </row>
    <row r="734" spans="1:12" ht="20.25" customHeight="1" x14ac:dyDescent="0.3">
      <c r="A734" s="90" t="s">
        <v>1119</v>
      </c>
      <c r="B734" s="84"/>
      <c r="C734" s="7" t="s">
        <v>1169</v>
      </c>
      <c r="D734" s="85" t="s">
        <v>182</v>
      </c>
      <c r="E734" s="86" t="s">
        <v>105</v>
      </c>
      <c r="F734" s="155">
        <v>6</v>
      </c>
      <c r="G734" s="156">
        <v>1</v>
      </c>
      <c r="H734" s="155" t="s">
        <v>864</v>
      </c>
      <c r="I734" s="155">
        <v>1</v>
      </c>
      <c r="J734" s="155" t="s">
        <v>909</v>
      </c>
      <c r="K734" s="155" t="s">
        <v>82</v>
      </c>
      <c r="L734" s="155" t="s">
        <v>367</v>
      </c>
    </row>
    <row r="735" spans="1:12" ht="20.25" customHeight="1" x14ac:dyDescent="0.3">
      <c r="A735" s="90" t="s">
        <v>1171</v>
      </c>
      <c r="B735" s="84"/>
      <c r="C735" s="7" t="s">
        <v>1170</v>
      </c>
      <c r="D735" s="85" t="s">
        <v>182</v>
      </c>
      <c r="E735" s="86" t="s">
        <v>105</v>
      </c>
      <c r="F735" s="155">
        <v>6</v>
      </c>
      <c r="G735" s="156">
        <v>1</v>
      </c>
      <c r="H735" s="155" t="s">
        <v>851</v>
      </c>
      <c r="I735" s="155">
        <v>1</v>
      </c>
      <c r="J735" s="155" t="s">
        <v>1056</v>
      </c>
      <c r="K735" s="155" t="s">
        <v>82</v>
      </c>
      <c r="L735" s="155" t="s">
        <v>538</v>
      </c>
    </row>
    <row r="736" spans="1:12" ht="20.25" customHeight="1" x14ac:dyDescent="0.3">
      <c r="A736" s="90" t="s">
        <v>1173</v>
      </c>
      <c r="B736" s="84"/>
      <c r="C736" s="7" t="s">
        <v>1172</v>
      </c>
      <c r="D736" s="85" t="s">
        <v>182</v>
      </c>
      <c r="E736" s="86" t="s">
        <v>105</v>
      </c>
      <c r="F736" s="155">
        <v>6</v>
      </c>
      <c r="G736" s="156">
        <v>1</v>
      </c>
      <c r="H736" s="155" t="s">
        <v>842</v>
      </c>
      <c r="I736" s="155">
        <v>1</v>
      </c>
      <c r="J736" s="155" t="s">
        <v>1189</v>
      </c>
      <c r="K736" s="155" t="s">
        <v>82</v>
      </c>
      <c r="L736" s="155" t="s">
        <v>532</v>
      </c>
    </row>
    <row r="737" spans="1:12" ht="20.25" customHeight="1" x14ac:dyDescent="0.3">
      <c r="A737" s="90" t="s">
        <v>143</v>
      </c>
      <c r="B737" s="84"/>
      <c r="C737" s="7" t="s">
        <v>1176</v>
      </c>
      <c r="D737" s="85" t="s">
        <v>182</v>
      </c>
      <c r="E737" s="86" t="s">
        <v>105</v>
      </c>
      <c r="F737" s="155">
        <v>6</v>
      </c>
      <c r="G737" s="156">
        <v>3</v>
      </c>
      <c r="H737" s="155" t="s">
        <v>1225</v>
      </c>
      <c r="I737" s="155">
        <v>2</v>
      </c>
      <c r="J737" s="155" t="s">
        <v>1226</v>
      </c>
      <c r="K737" s="155" t="s">
        <v>82</v>
      </c>
      <c r="L737" s="155" t="s">
        <v>367</v>
      </c>
    </row>
    <row r="738" spans="1:12" ht="20.25" customHeight="1" x14ac:dyDescent="0.3">
      <c r="A738" s="90" t="s">
        <v>1137</v>
      </c>
      <c r="B738" s="84"/>
      <c r="C738" s="7" t="s">
        <v>1177</v>
      </c>
      <c r="D738" s="85" t="s">
        <v>182</v>
      </c>
      <c r="E738" s="86" t="s">
        <v>106</v>
      </c>
      <c r="F738" s="155">
        <v>6</v>
      </c>
      <c r="G738" s="156">
        <v>3</v>
      </c>
      <c r="H738" s="155">
        <v>1</v>
      </c>
      <c r="I738" s="155">
        <v>2</v>
      </c>
      <c r="J738" s="155">
        <v>3</v>
      </c>
      <c r="K738" s="155" t="s">
        <v>82</v>
      </c>
      <c r="L738" s="155">
        <v>2010</v>
      </c>
    </row>
    <row r="739" spans="1:12" ht="20.25" customHeight="1" x14ac:dyDescent="0.3">
      <c r="A739" s="90" t="s">
        <v>1283</v>
      </c>
      <c r="B739" s="84"/>
      <c r="C739" s="7" t="s">
        <v>1282</v>
      </c>
      <c r="D739" s="85" t="s">
        <v>182</v>
      </c>
      <c r="E739" s="86" t="s">
        <v>110</v>
      </c>
      <c r="F739" s="155">
        <v>6</v>
      </c>
      <c r="G739" s="156">
        <v>6</v>
      </c>
      <c r="H739" s="155" t="s">
        <v>199</v>
      </c>
      <c r="I739" s="155">
        <v>3</v>
      </c>
      <c r="J739" s="155" t="s">
        <v>222</v>
      </c>
      <c r="K739" s="155" t="s">
        <v>82</v>
      </c>
      <c r="L739" s="155">
        <v>2010</v>
      </c>
    </row>
    <row r="740" spans="1:12" ht="20.25" customHeight="1" x14ac:dyDescent="0.3">
      <c r="A740" s="90" t="s">
        <v>1285</v>
      </c>
      <c r="B740" s="84"/>
      <c r="C740" s="7" t="s">
        <v>1284</v>
      </c>
      <c r="D740" s="85" t="s">
        <v>182</v>
      </c>
      <c r="E740" s="86" t="s">
        <v>106</v>
      </c>
      <c r="F740" s="155">
        <v>2</v>
      </c>
      <c r="G740" s="156">
        <v>6</v>
      </c>
      <c r="H740" s="155" t="s">
        <v>938</v>
      </c>
      <c r="I740" s="155">
        <v>3</v>
      </c>
      <c r="J740" s="155" t="s">
        <v>1181</v>
      </c>
      <c r="K740" s="155" t="s">
        <v>82</v>
      </c>
      <c r="L740" s="155" t="s">
        <v>532</v>
      </c>
    </row>
    <row r="741" spans="1:12" ht="20.25" customHeight="1" x14ac:dyDescent="0.3">
      <c r="A741" s="90" t="s">
        <v>1287</v>
      </c>
      <c r="B741" s="84"/>
      <c r="C741" s="7" t="s">
        <v>1286</v>
      </c>
      <c r="D741" s="85" t="s">
        <v>182</v>
      </c>
      <c r="E741" s="86" t="s">
        <v>106</v>
      </c>
      <c r="F741" s="155">
        <v>16</v>
      </c>
      <c r="G741" s="156">
        <v>6</v>
      </c>
      <c r="H741" s="155" t="s">
        <v>864</v>
      </c>
      <c r="I741" s="155">
        <v>3</v>
      </c>
      <c r="J741" s="155" t="s">
        <v>353</v>
      </c>
      <c r="K741" s="155" t="s">
        <v>82</v>
      </c>
      <c r="L741" s="155" t="s">
        <v>367</v>
      </c>
    </row>
    <row r="742" spans="1:12" ht="20.25" customHeight="1" x14ac:dyDescent="0.3">
      <c r="A742" s="90" t="s">
        <v>47</v>
      </c>
      <c r="B742" s="84"/>
      <c r="C742" s="7" t="s">
        <v>164</v>
      </c>
      <c r="D742" s="85" t="s">
        <v>182</v>
      </c>
      <c r="E742" s="86" t="s">
        <v>106</v>
      </c>
      <c r="F742" s="155">
        <v>6</v>
      </c>
      <c r="G742" s="156">
        <v>6</v>
      </c>
      <c r="H742" s="155" t="s">
        <v>543</v>
      </c>
      <c r="I742" s="155">
        <v>3</v>
      </c>
      <c r="J742" s="155" t="s">
        <v>1003</v>
      </c>
      <c r="K742" s="155" t="s">
        <v>82</v>
      </c>
      <c r="L742" s="155" t="s">
        <v>367</v>
      </c>
    </row>
    <row r="743" spans="1:12" ht="20.25" customHeight="1" x14ac:dyDescent="0.3">
      <c r="A743" s="90" t="s">
        <v>492</v>
      </c>
      <c r="B743" s="84"/>
      <c r="C743" s="7" t="s">
        <v>491</v>
      </c>
      <c r="D743" s="85" t="s">
        <v>183</v>
      </c>
      <c r="E743" s="86" t="s">
        <v>110</v>
      </c>
      <c r="F743" s="155">
        <v>6</v>
      </c>
      <c r="G743" s="156">
        <v>6</v>
      </c>
      <c r="H743" s="155" t="s">
        <v>527</v>
      </c>
      <c r="I743" s="155">
        <v>3</v>
      </c>
      <c r="J743" s="155" t="s">
        <v>527</v>
      </c>
      <c r="K743" s="155" t="s">
        <v>82</v>
      </c>
      <c r="L743" s="155" t="s">
        <v>1296</v>
      </c>
    </row>
    <row r="744" spans="1:12" ht="20.25" customHeight="1" x14ac:dyDescent="0.3">
      <c r="A744" s="90" t="s">
        <v>1277</v>
      </c>
      <c r="B744" s="84"/>
      <c r="C744" s="7" t="s">
        <v>1276</v>
      </c>
      <c r="D744" s="85" t="s">
        <v>182</v>
      </c>
      <c r="E744" s="86" t="s">
        <v>105</v>
      </c>
      <c r="F744" s="155">
        <v>6</v>
      </c>
      <c r="G744" s="156">
        <v>2</v>
      </c>
      <c r="H744" s="155" t="s">
        <v>861</v>
      </c>
      <c r="I744" s="155">
        <v>1</v>
      </c>
      <c r="J744" s="155" t="s">
        <v>348</v>
      </c>
      <c r="K744" s="155" t="s">
        <v>82</v>
      </c>
      <c r="L744" s="155" t="s">
        <v>369</v>
      </c>
    </row>
    <row r="745" spans="1:12" ht="20.25" customHeight="1" x14ac:dyDescent="0.3">
      <c r="A745" s="90" t="s">
        <v>271</v>
      </c>
      <c r="B745" s="84"/>
      <c r="C745" s="7" t="s">
        <v>270</v>
      </c>
      <c r="D745" s="85" t="s">
        <v>183</v>
      </c>
      <c r="E745" s="86" t="s">
        <v>105</v>
      </c>
      <c r="F745" s="155">
        <v>6</v>
      </c>
      <c r="G745" s="156">
        <v>2</v>
      </c>
      <c r="H745" s="155" t="s">
        <v>527</v>
      </c>
      <c r="I745" s="155">
        <v>1</v>
      </c>
      <c r="J745" s="155" t="s">
        <v>527</v>
      </c>
      <c r="K745" s="155" t="s">
        <v>82</v>
      </c>
      <c r="L745" s="155" t="s">
        <v>356</v>
      </c>
    </row>
    <row r="746" spans="1:12" ht="20.25" customHeight="1" x14ac:dyDescent="0.3">
      <c r="A746" s="90" t="s">
        <v>1175</v>
      </c>
      <c r="B746" s="84"/>
      <c r="C746" s="7" t="s">
        <v>1174</v>
      </c>
      <c r="D746" s="85" t="s">
        <v>182</v>
      </c>
      <c r="E746" s="86" t="s">
        <v>105</v>
      </c>
      <c r="F746" s="155">
        <v>6</v>
      </c>
      <c r="G746" s="156">
        <v>3</v>
      </c>
      <c r="H746" s="155" t="s">
        <v>861</v>
      </c>
      <c r="I746" s="155">
        <v>2</v>
      </c>
      <c r="J746" s="155" t="s">
        <v>861</v>
      </c>
      <c r="K746" s="155" t="s">
        <v>82</v>
      </c>
      <c r="L746" s="155" t="s">
        <v>369</v>
      </c>
    </row>
    <row r="747" spans="1:12" ht="20.25" customHeight="1" x14ac:dyDescent="0.3">
      <c r="A747" s="90" t="s">
        <v>299</v>
      </c>
      <c r="B747" s="84"/>
      <c r="C747" s="7" t="s">
        <v>298</v>
      </c>
      <c r="D747" s="85" t="s">
        <v>183</v>
      </c>
      <c r="E747" s="86" t="s">
        <v>105</v>
      </c>
      <c r="F747" s="155">
        <v>6</v>
      </c>
      <c r="G747" s="156">
        <v>3</v>
      </c>
      <c r="H747" s="155" t="s">
        <v>851</v>
      </c>
      <c r="I747" s="155">
        <v>2</v>
      </c>
      <c r="J747" s="155" t="s">
        <v>905</v>
      </c>
      <c r="K747" s="155" t="s">
        <v>82</v>
      </c>
      <c r="L747" s="155" t="s">
        <v>356</v>
      </c>
    </row>
    <row r="748" spans="1:12" ht="20.25" customHeight="1" x14ac:dyDescent="0.3">
      <c r="A748" s="90" t="s">
        <v>1183</v>
      </c>
      <c r="B748" s="84"/>
      <c r="C748" s="7" t="s">
        <v>1182</v>
      </c>
      <c r="D748" s="85" t="s">
        <v>182</v>
      </c>
      <c r="E748" s="86" t="s">
        <v>105</v>
      </c>
      <c r="F748" s="155">
        <v>6</v>
      </c>
      <c r="G748" s="156">
        <v>4</v>
      </c>
      <c r="H748" s="155" t="s">
        <v>861</v>
      </c>
      <c r="I748" s="155">
        <v>2</v>
      </c>
      <c r="J748" s="155" t="s">
        <v>348</v>
      </c>
      <c r="K748" s="155" t="s">
        <v>82</v>
      </c>
      <c r="L748" s="155" t="s">
        <v>369</v>
      </c>
    </row>
    <row r="749" spans="1:12" ht="20.25" customHeight="1" x14ac:dyDescent="0.3">
      <c r="A749" s="90" t="s">
        <v>1279</v>
      </c>
      <c r="B749" s="84"/>
      <c r="C749" s="7" t="s">
        <v>1288</v>
      </c>
      <c r="D749" s="85" t="s">
        <v>182</v>
      </c>
      <c r="E749" s="86" t="s">
        <v>106</v>
      </c>
      <c r="F749" s="155">
        <v>6</v>
      </c>
      <c r="G749" s="156">
        <v>5</v>
      </c>
      <c r="H749" s="155" t="s">
        <v>861</v>
      </c>
      <c r="I749" s="155">
        <v>3</v>
      </c>
      <c r="J749" s="155" t="s">
        <v>348</v>
      </c>
      <c r="K749" s="155" t="s">
        <v>82</v>
      </c>
      <c r="L749" s="155" t="s">
        <v>369</v>
      </c>
    </row>
    <row r="750" spans="1:12" ht="20.25" customHeight="1" x14ac:dyDescent="0.3">
      <c r="A750" s="90" t="s">
        <v>1283</v>
      </c>
      <c r="B750" s="84"/>
      <c r="C750" s="7" t="s">
        <v>1289</v>
      </c>
      <c r="D750" s="85" t="s">
        <v>182</v>
      </c>
      <c r="E750" s="86" t="s">
        <v>106</v>
      </c>
      <c r="F750" s="155">
        <v>6</v>
      </c>
      <c r="G750" s="156">
        <v>6</v>
      </c>
      <c r="H750" s="155" t="s">
        <v>861</v>
      </c>
      <c r="I750" s="155">
        <v>3</v>
      </c>
      <c r="J750" s="155" t="s">
        <v>351</v>
      </c>
      <c r="K750" s="155" t="s">
        <v>82</v>
      </c>
      <c r="L750" s="155" t="s">
        <v>369</v>
      </c>
    </row>
    <row r="751" spans="1:12" ht="20.25" customHeight="1" x14ac:dyDescent="0.3">
      <c r="A751" s="90" t="s">
        <v>1292</v>
      </c>
      <c r="B751" s="84"/>
      <c r="C751" s="7" t="s">
        <v>1291</v>
      </c>
      <c r="D751" s="85" t="s">
        <v>182</v>
      </c>
      <c r="E751" s="86" t="s">
        <v>105</v>
      </c>
      <c r="F751" s="155">
        <v>12</v>
      </c>
      <c r="G751" s="156">
        <v>1</v>
      </c>
      <c r="H751" s="155" t="s">
        <v>851</v>
      </c>
      <c r="I751" s="155">
        <v>1</v>
      </c>
      <c r="J751" s="155" t="s">
        <v>1297</v>
      </c>
      <c r="K751" s="155" t="s">
        <v>82</v>
      </c>
      <c r="L751" s="155" t="s">
        <v>679</v>
      </c>
    </row>
    <row r="752" spans="1:12" ht="20.25" customHeight="1" x14ac:dyDescent="0.3">
      <c r="A752" s="90" t="s">
        <v>301</v>
      </c>
      <c r="B752" s="84"/>
      <c r="C752" s="7" t="s">
        <v>300</v>
      </c>
      <c r="D752" s="85" t="s">
        <v>183</v>
      </c>
      <c r="E752" s="86" t="s">
        <v>105</v>
      </c>
      <c r="F752" s="155">
        <v>6</v>
      </c>
      <c r="G752" s="156">
        <v>3</v>
      </c>
      <c r="H752" s="155" t="s">
        <v>842</v>
      </c>
      <c r="I752" s="155">
        <v>2</v>
      </c>
      <c r="J752" s="155" t="s">
        <v>904</v>
      </c>
      <c r="K752" s="155" t="s">
        <v>82</v>
      </c>
      <c r="L752" s="155" t="s">
        <v>546</v>
      </c>
    </row>
    <row r="753" spans="1:12" ht="20.25" customHeight="1" x14ac:dyDescent="0.3">
      <c r="A753" s="90" t="s">
        <v>1294</v>
      </c>
      <c r="B753" s="84"/>
      <c r="C753" s="7" t="s">
        <v>1293</v>
      </c>
      <c r="D753" s="85" t="s">
        <v>182</v>
      </c>
      <c r="E753" s="86" t="s">
        <v>105</v>
      </c>
      <c r="F753" s="155">
        <v>6</v>
      </c>
      <c r="G753" s="156">
        <v>4</v>
      </c>
      <c r="H753" s="155" t="s">
        <v>851</v>
      </c>
      <c r="I753" s="155">
        <v>2</v>
      </c>
      <c r="J753" s="155" t="s">
        <v>1191</v>
      </c>
      <c r="K753" s="155" t="s">
        <v>82</v>
      </c>
      <c r="L753" s="155" t="s">
        <v>679</v>
      </c>
    </row>
    <row r="754" spans="1:12" ht="20.25" customHeight="1" x14ac:dyDescent="0.3">
      <c r="A754" s="90" t="s">
        <v>1196</v>
      </c>
      <c r="B754" s="84"/>
      <c r="C754" s="7" t="s">
        <v>1195</v>
      </c>
      <c r="D754" s="85" t="s">
        <v>182</v>
      </c>
      <c r="E754" s="86" t="s">
        <v>106</v>
      </c>
      <c r="F754" s="155">
        <v>6</v>
      </c>
      <c r="G754" s="156">
        <v>4</v>
      </c>
      <c r="H754" s="155" t="s">
        <v>527</v>
      </c>
      <c r="I754" s="155">
        <v>2</v>
      </c>
      <c r="J754" s="155" t="s">
        <v>850</v>
      </c>
      <c r="K754" s="155" t="s">
        <v>82</v>
      </c>
      <c r="L754" s="155" t="s">
        <v>679</v>
      </c>
    </row>
    <row r="755" spans="1:12" ht="20.25" customHeight="1" x14ac:dyDescent="0.3">
      <c r="A755" s="90" t="s">
        <v>1285</v>
      </c>
      <c r="B755" s="84"/>
      <c r="C755" s="7" t="s">
        <v>1295</v>
      </c>
      <c r="D755" s="85" t="s">
        <v>182</v>
      </c>
      <c r="E755" s="86" t="s">
        <v>106</v>
      </c>
      <c r="F755" s="155">
        <v>2</v>
      </c>
      <c r="G755" s="156">
        <v>6</v>
      </c>
      <c r="H755" s="155" t="s">
        <v>528</v>
      </c>
      <c r="I755" s="155">
        <v>3</v>
      </c>
      <c r="J755" s="155" t="s">
        <v>527</v>
      </c>
      <c r="K755" s="155" t="s">
        <v>82</v>
      </c>
      <c r="L755" s="155" t="s">
        <v>679</v>
      </c>
    </row>
    <row r="756" spans="1:12" ht="20.25" customHeight="1" x14ac:dyDescent="0.3">
      <c r="A756" s="90" t="s">
        <v>1201</v>
      </c>
      <c r="B756" s="84"/>
      <c r="C756" s="7" t="s">
        <v>1200</v>
      </c>
      <c r="D756" s="85" t="s">
        <v>182</v>
      </c>
      <c r="E756" s="86" t="s">
        <v>105</v>
      </c>
      <c r="F756" s="155">
        <v>6</v>
      </c>
      <c r="G756" s="156">
        <v>1</v>
      </c>
      <c r="H756" s="155" t="s">
        <v>443</v>
      </c>
      <c r="I756" s="155">
        <v>1</v>
      </c>
      <c r="J756" s="155" t="s">
        <v>444</v>
      </c>
      <c r="K756" s="155" t="s">
        <v>82</v>
      </c>
      <c r="L756" s="155" t="s">
        <v>361</v>
      </c>
    </row>
    <row r="757" spans="1:12" ht="20.25" customHeight="1" x14ac:dyDescent="0.3">
      <c r="A757" s="90" t="s">
        <v>288</v>
      </c>
      <c r="B757" s="84"/>
      <c r="C757" s="7" t="s">
        <v>287</v>
      </c>
      <c r="D757" s="85" t="s">
        <v>183</v>
      </c>
      <c r="E757" s="86" t="s">
        <v>106</v>
      </c>
      <c r="F757" s="155">
        <v>6</v>
      </c>
      <c r="G757" s="156">
        <v>4</v>
      </c>
      <c r="H757" s="155">
        <v>2</v>
      </c>
      <c r="I757" s="155">
        <v>2</v>
      </c>
      <c r="J757" s="155"/>
      <c r="K757" s="155" t="s">
        <v>82</v>
      </c>
      <c r="L757" s="155">
        <v>2014</v>
      </c>
    </row>
    <row r="758" spans="1:12" ht="20.25" customHeight="1" x14ac:dyDescent="0.3">
      <c r="A758" s="90" t="s">
        <v>213</v>
      </c>
      <c r="B758" s="84"/>
      <c r="C758" s="7" t="s">
        <v>212</v>
      </c>
      <c r="D758" s="85" t="s">
        <v>81</v>
      </c>
      <c r="E758" s="86" t="s">
        <v>106</v>
      </c>
      <c r="F758" s="158">
        <v>6</v>
      </c>
      <c r="G758" s="159">
        <v>7</v>
      </c>
      <c r="H758" s="158" t="s">
        <v>868</v>
      </c>
      <c r="I758" s="158">
        <v>4</v>
      </c>
      <c r="J758" s="158" t="s">
        <v>883</v>
      </c>
      <c r="K758" s="158" t="s">
        <v>73</v>
      </c>
      <c r="L758" s="158" t="s">
        <v>362</v>
      </c>
    </row>
    <row r="759" spans="1:12" ht="20.25" customHeight="1" x14ac:dyDescent="0.3">
      <c r="A759" s="90" t="s">
        <v>386</v>
      </c>
      <c r="B759" s="84"/>
      <c r="C759" s="7" t="s">
        <v>385</v>
      </c>
      <c r="D759" s="85" t="s">
        <v>81</v>
      </c>
      <c r="E759" s="86" t="s">
        <v>110</v>
      </c>
      <c r="F759" s="158">
        <v>6</v>
      </c>
      <c r="G759" s="159">
        <v>7</v>
      </c>
      <c r="H759" s="158" t="s">
        <v>878</v>
      </c>
      <c r="I759" s="158">
        <v>4</v>
      </c>
      <c r="J759" s="158" t="s">
        <v>879</v>
      </c>
      <c r="K759" s="158" t="s">
        <v>73</v>
      </c>
      <c r="L759" s="158" t="s">
        <v>362</v>
      </c>
    </row>
    <row r="760" spans="1:12" ht="20.25" customHeight="1" x14ac:dyDescent="0.3">
      <c r="A760" s="90" t="s">
        <v>384</v>
      </c>
      <c r="B760" s="84"/>
      <c r="C760" s="7" t="s">
        <v>383</v>
      </c>
      <c r="D760" s="85" t="s">
        <v>1441</v>
      </c>
      <c r="E760" s="86" t="s">
        <v>110</v>
      </c>
      <c r="F760" s="158">
        <v>6</v>
      </c>
      <c r="G760" s="159">
        <v>7</v>
      </c>
      <c r="H760" s="158" t="s">
        <v>1449</v>
      </c>
      <c r="I760" s="158">
        <v>4</v>
      </c>
      <c r="J760" s="158" t="s">
        <v>1449</v>
      </c>
      <c r="K760" s="158" t="s">
        <v>73</v>
      </c>
      <c r="L760" s="158" t="s">
        <v>362</v>
      </c>
    </row>
    <row r="761" spans="1:12" ht="20.25" customHeight="1" x14ac:dyDescent="0.3">
      <c r="A761" s="90" t="s">
        <v>396</v>
      </c>
      <c r="B761" s="84"/>
      <c r="C761" s="7" t="s">
        <v>395</v>
      </c>
      <c r="D761" s="85" t="s">
        <v>81</v>
      </c>
      <c r="E761" s="86" t="s">
        <v>110</v>
      </c>
      <c r="F761" s="158">
        <v>6</v>
      </c>
      <c r="G761" s="159">
        <v>7</v>
      </c>
      <c r="H761" s="158" t="s">
        <v>873</v>
      </c>
      <c r="I761" s="158">
        <v>4</v>
      </c>
      <c r="J761" s="158" t="s">
        <v>868</v>
      </c>
      <c r="K761" s="158" t="s">
        <v>73</v>
      </c>
      <c r="L761" s="158" t="s">
        <v>362</v>
      </c>
    </row>
    <row r="762" spans="1:12" ht="20.25" customHeight="1" x14ac:dyDescent="0.3">
      <c r="A762" s="90" t="s">
        <v>1305</v>
      </c>
      <c r="B762" s="84"/>
      <c r="C762" s="7" t="s">
        <v>1304</v>
      </c>
      <c r="D762" s="85" t="s">
        <v>81</v>
      </c>
      <c r="E762" s="86" t="s">
        <v>106</v>
      </c>
      <c r="F762" s="158">
        <v>6</v>
      </c>
      <c r="G762" s="159">
        <v>7</v>
      </c>
      <c r="H762" s="158" t="s">
        <v>873</v>
      </c>
      <c r="I762" s="158">
        <v>4</v>
      </c>
      <c r="J762" s="158" t="s">
        <v>873</v>
      </c>
      <c r="K762" s="158" t="s">
        <v>73</v>
      </c>
      <c r="L762" s="158" t="s">
        <v>362</v>
      </c>
    </row>
    <row r="763" spans="1:12" ht="20.25" customHeight="1" x14ac:dyDescent="0.3">
      <c r="A763" s="90" t="s">
        <v>408</v>
      </c>
      <c r="B763" s="84"/>
      <c r="C763" s="7" t="s">
        <v>407</v>
      </c>
      <c r="D763" s="85" t="s">
        <v>1408</v>
      </c>
      <c r="E763" s="86" t="s">
        <v>110</v>
      </c>
      <c r="F763" s="158">
        <v>6</v>
      </c>
      <c r="G763" s="159">
        <v>8</v>
      </c>
      <c r="H763" s="158" t="s">
        <v>1348</v>
      </c>
      <c r="I763" s="158">
        <v>4</v>
      </c>
      <c r="J763" s="158" t="s">
        <v>1349</v>
      </c>
      <c r="K763" s="158" t="s">
        <v>73</v>
      </c>
      <c r="L763" s="158" t="s">
        <v>362</v>
      </c>
    </row>
    <row r="764" spans="1:12" ht="20.25" customHeight="1" x14ac:dyDescent="0.3">
      <c r="A764" s="90" t="s">
        <v>410</v>
      </c>
      <c r="B764" s="84"/>
      <c r="C764" s="7" t="s">
        <v>409</v>
      </c>
      <c r="D764" s="85" t="s">
        <v>81</v>
      </c>
      <c r="E764" s="86" t="s">
        <v>110</v>
      </c>
      <c r="F764" s="158">
        <v>6</v>
      </c>
      <c r="G764" s="159">
        <v>8</v>
      </c>
      <c r="H764" s="158" t="s">
        <v>868</v>
      </c>
      <c r="I764" s="158">
        <v>4</v>
      </c>
      <c r="J764" s="158" t="s">
        <v>868</v>
      </c>
      <c r="K764" s="158" t="s">
        <v>73</v>
      </c>
      <c r="L764" s="158" t="s">
        <v>362</v>
      </c>
    </row>
    <row r="765" spans="1:12" ht="20.25" customHeight="1" x14ac:dyDescent="0.3">
      <c r="A765" s="90" t="s">
        <v>406</v>
      </c>
      <c r="B765" s="84"/>
      <c r="C765" s="7" t="s">
        <v>405</v>
      </c>
      <c r="D765" s="85" t="s">
        <v>1408</v>
      </c>
      <c r="E765" s="86" t="s">
        <v>110</v>
      </c>
      <c r="F765" s="158">
        <v>6</v>
      </c>
      <c r="G765" s="159">
        <v>8</v>
      </c>
      <c r="H765" s="158" t="s">
        <v>1025</v>
      </c>
      <c r="I765" s="158">
        <v>4</v>
      </c>
      <c r="J765" s="158" t="s">
        <v>1030</v>
      </c>
      <c r="K765" s="158" t="s">
        <v>73</v>
      </c>
      <c r="L765" s="158" t="s">
        <v>362</v>
      </c>
    </row>
    <row r="766" spans="1:12" ht="20.25" customHeight="1" x14ac:dyDescent="0.3">
      <c r="A766" s="90" t="s">
        <v>1307</v>
      </c>
      <c r="B766" s="84"/>
      <c r="C766" s="7" t="s">
        <v>1306</v>
      </c>
      <c r="D766" s="85" t="s">
        <v>81</v>
      </c>
      <c r="E766" s="86" t="s">
        <v>110</v>
      </c>
      <c r="F766" s="158">
        <v>6</v>
      </c>
      <c r="G766" s="159">
        <v>8</v>
      </c>
      <c r="H766" s="158" t="s">
        <v>873</v>
      </c>
      <c r="I766" s="158">
        <v>4</v>
      </c>
      <c r="J766" s="158" t="s">
        <v>883</v>
      </c>
      <c r="K766" s="158" t="s">
        <v>73</v>
      </c>
      <c r="L766" s="158" t="s">
        <v>362</v>
      </c>
    </row>
    <row r="767" spans="1:12" ht="20.25" customHeight="1" x14ac:dyDescent="0.3">
      <c r="A767" s="90" t="s">
        <v>442</v>
      </c>
      <c r="B767" s="84"/>
      <c r="C767" s="7" t="s">
        <v>441</v>
      </c>
      <c r="D767" s="85" t="s">
        <v>81</v>
      </c>
      <c r="E767" s="86" t="s">
        <v>110</v>
      </c>
      <c r="F767" s="158">
        <v>6</v>
      </c>
      <c r="G767" s="159">
        <v>8</v>
      </c>
      <c r="H767" s="158" t="s">
        <v>873</v>
      </c>
      <c r="I767" s="158">
        <v>4</v>
      </c>
      <c r="J767" s="158" t="s">
        <v>868</v>
      </c>
      <c r="K767" s="158" t="s">
        <v>73</v>
      </c>
      <c r="L767" s="158" t="s">
        <v>362</v>
      </c>
    </row>
    <row r="768" spans="1:12" ht="20.25" customHeight="1" x14ac:dyDescent="0.3">
      <c r="A768" s="90" t="s">
        <v>1309</v>
      </c>
      <c r="B768" s="84"/>
      <c r="C768" s="7" t="s">
        <v>1308</v>
      </c>
      <c r="D768" s="85" t="s">
        <v>81</v>
      </c>
      <c r="E768" s="86" t="s">
        <v>110</v>
      </c>
      <c r="F768" s="158">
        <v>12</v>
      </c>
      <c r="G768" s="159">
        <v>9</v>
      </c>
      <c r="H768" s="158" t="s">
        <v>876</v>
      </c>
      <c r="I768" s="158">
        <v>5</v>
      </c>
      <c r="J768" s="158" t="s">
        <v>368</v>
      </c>
      <c r="K768" s="158" t="s">
        <v>73</v>
      </c>
      <c r="L768" s="158" t="s">
        <v>362</v>
      </c>
    </row>
    <row r="769" spans="1:12" ht="20.25" customHeight="1" x14ac:dyDescent="0.3">
      <c r="A769" s="90" t="s">
        <v>771</v>
      </c>
      <c r="B769" s="84"/>
      <c r="C769" s="7" t="s">
        <v>770</v>
      </c>
      <c r="D769" s="85" t="s">
        <v>81</v>
      </c>
      <c r="E769" s="86" t="s">
        <v>110</v>
      </c>
      <c r="F769" s="158">
        <v>6</v>
      </c>
      <c r="G769" s="159">
        <v>9</v>
      </c>
      <c r="H769" s="158" t="s">
        <v>534</v>
      </c>
      <c r="I769" s="158">
        <v>5</v>
      </c>
      <c r="J769" s="158" t="s">
        <v>867</v>
      </c>
      <c r="K769" s="158" t="s">
        <v>73</v>
      </c>
      <c r="L769" s="158" t="s">
        <v>866</v>
      </c>
    </row>
    <row r="770" spans="1:12" ht="20.25" customHeight="1" x14ac:dyDescent="0.3">
      <c r="A770" s="90" t="s">
        <v>1311</v>
      </c>
      <c r="B770" s="84"/>
      <c r="C770" s="7" t="s">
        <v>1310</v>
      </c>
      <c r="D770" s="85" t="s">
        <v>81</v>
      </c>
      <c r="E770" s="86" t="s">
        <v>110</v>
      </c>
      <c r="F770" s="158">
        <v>6</v>
      </c>
      <c r="G770" s="159">
        <v>9</v>
      </c>
      <c r="H770" s="158" t="s">
        <v>868</v>
      </c>
      <c r="I770" s="158">
        <v>5</v>
      </c>
      <c r="J770" s="158" t="s">
        <v>1312</v>
      </c>
      <c r="K770" s="158" t="s">
        <v>73</v>
      </c>
      <c r="L770" s="158" t="s">
        <v>362</v>
      </c>
    </row>
    <row r="771" spans="1:12" ht="20.25" customHeight="1" x14ac:dyDescent="0.3">
      <c r="A771" s="90" t="s">
        <v>394</v>
      </c>
      <c r="B771" s="84"/>
      <c r="C771" s="7" t="s">
        <v>393</v>
      </c>
      <c r="D771" s="85" t="s">
        <v>1408</v>
      </c>
      <c r="E771" s="86" t="s">
        <v>110</v>
      </c>
      <c r="F771" s="158">
        <v>6</v>
      </c>
      <c r="G771" s="159">
        <v>9</v>
      </c>
      <c r="H771" s="158" t="s">
        <v>1030</v>
      </c>
      <c r="I771" s="158">
        <v>5</v>
      </c>
      <c r="J771" s="158" t="s">
        <v>1025</v>
      </c>
      <c r="K771" s="158" t="s">
        <v>73</v>
      </c>
      <c r="L771" s="158" t="s">
        <v>362</v>
      </c>
    </row>
    <row r="772" spans="1:12" ht="20.25" customHeight="1" x14ac:dyDescent="0.3">
      <c r="A772" s="90" t="s">
        <v>773</v>
      </c>
      <c r="B772" s="84"/>
      <c r="C772" s="7" t="s">
        <v>772</v>
      </c>
      <c r="D772" s="85" t="s">
        <v>1540</v>
      </c>
      <c r="E772" s="86" t="s">
        <v>110</v>
      </c>
      <c r="F772" s="158">
        <v>6</v>
      </c>
      <c r="G772" s="159">
        <v>7</v>
      </c>
      <c r="H772" s="158" t="s">
        <v>1544</v>
      </c>
      <c r="I772" s="158">
        <v>4</v>
      </c>
      <c r="J772" s="158" t="s">
        <v>1545</v>
      </c>
      <c r="K772" s="158" t="s">
        <v>73</v>
      </c>
      <c r="L772" s="158" t="s">
        <v>362</v>
      </c>
    </row>
    <row r="773" spans="1:12" ht="20.25" customHeight="1" x14ac:dyDescent="0.3">
      <c r="A773" s="90" t="s">
        <v>1155</v>
      </c>
      <c r="B773" s="84"/>
      <c r="C773" s="7" t="s">
        <v>1154</v>
      </c>
      <c r="D773" s="85" t="s">
        <v>80</v>
      </c>
      <c r="E773" s="86" t="s">
        <v>106</v>
      </c>
      <c r="F773" s="158">
        <v>6</v>
      </c>
      <c r="G773" s="159">
        <v>7</v>
      </c>
      <c r="H773" s="158" t="s">
        <v>938</v>
      </c>
      <c r="I773" s="158">
        <v>4</v>
      </c>
      <c r="J773" s="158" t="s">
        <v>1181</v>
      </c>
      <c r="K773" s="158" t="s">
        <v>73</v>
      </c>
      <c r="L773" s="158" t="s">
        <v>338</v>
      </c>
    </row>
    <row r="774" spans="1:12" ht="20.25" customHeight="1" x14ac:dyDescent="0.3">
      <c r="A774" s="90" t="s">
        <v>1314</v>
      </c>
      <c r="B774" s="84"/>
      <c r="C774" s="7" t="s">
        <v>1313</v>
      </c>
      <c r="D774" s="85" t="s">
        <v>80</v>
      </c>
      <c r="E774" s="86" t="s">
        <v>106</v>
      </c>
      <c r="F774" s="158">
        <v>6</v>
      </c>
      <c r="G774" s="159">
        <v>7</v>
      </c>
      <c r="H774" s="158" t="s">
        <v>864</v>
      </c>
      <c r="I774" s="158">
        <v>4</v>
      </c>
      <c r="J774" s="158" t="s">
        <v>360</v>
      </c>
      <c r="K774" s="158" t="s">
        <v>73</v>
      </c>
      <c r="L774" s="158" t="s">
        <v>1339</v>
      </c>
    </row>
    <row r="775" spans="1:12" ht="20.25" customHeight="1" x14ac:dyDescent="0.3">
      <c r="A775" s="90" t="s">
        <v>1316</v>
      </c>
      <c r="B775" s="84"/>
      <c r="C775" s="7" t="s">
        <v>1315</v>
      </c>
      <c r="D775" s="85" t="s">
        <v>1521</v>
      </c>
      <c r="E775" s="86" t="s">
        <v>110</v>
      </c>
      <c r="F775" s="158">
        <v>6</v>
      </c>
      <c r="G775" s="159">
        <v>7</v>
      </c>
      <c r="H775" s="158" t="s">
        <v>1417</v>
      </c>
      <c r="I775" s="158">
        <v>4</v>
      </c>
      <c r="J775" s="158" t="s">
        <v>1532</v>
      </c>
      <c r="K775" s="158" t="s">
        <v>73</v>
      </c>
      <c r="L775" s="158" t="s">
        <v>362</v>
      </c>
    </row>
    <row r="776" spans="1:12" ht="20.25" customHeight="1" x14ac:dyDescent="0.3">
      <c r="A776" s="90" t="s">
        <v>1318</v>
      </c>
      <c r="B776" s="84"/>
      <c r="C776" s="7" t="s">
        <v>1317</v>
      </c>
      <c r="D776" s="85" t="s">
        <v>1541</v>
      </c>
      <c r="E776" s="86" t="s">
        <v>110</v>
      </c>
      <c r="F776" s="158">
        <v>6</v>
      </c>
      <c r="G776" s="159">
        <v>7</v>
      </c>
      <c r="H776" s="158" t="s">
        <v>1548</v>
      </c>
      <c r="I776" s="158">
        <v>4</v>
      </c>
      <c r="J776" s="158" t="s">
        <v>1549</v>
      </c>
      <c r="K776" s="158" t="s">
        <v>73</v>
      </c>
      <c r="L776" s="158" t="s">
        <v>362</v>
      </c>
    </row>
    <row r="777" spans="1:12" ht="20.25" customHeight="1" x14ac:dyDescent="0.3">
      <c r="A777" s="90" t="s">
        <v>791</v>
      </c>
      <c r="B777" s="84"/>
      <c r="C777" s="7" t="s">
        <v>790</v>
      </c>
      <c r="D777" s="85" t="s">
        <v>80</v>
      </c>
      <c r="E777" s="86" t="s">
        <v>110</v>
      </c>
      <c r="F777" s="158">
        <v>6</v>
      </c>
      <c r="G777" s="159">
        <v>7</v>
      </c>
      <c r="H777" s="158" t="s">
        <v>443</v>
      </c>
      <c r="I777" s="158">
        <v>4</v>
      </c>
      <c r="J777" s="158" t="s">
        <v>841</v>
      </c>
      <c r="K777" s="158" t="s">
        <v>73</v>
      </c>
      <c r="L777" s="158" t="s">
        <v>338</v>
      </c>
    </row>
    <row r="778" spans="1:12" ht="20.25" customHeight="1" x14ac:dyDescent="0.3">
      <c r="A778" s="90" t="s">
        <v>793</v>
      </c>
      <c r="B778" s="84"/>
      <c r="C778" s="7" t="s">
        <v>792</v>
      </c>
      <c r="D778" s="85" t="s">
        <v>1541</v>
      </c>
      <c r="E778" s="86" t="s">
        <v>110</v>
      </c>
      <c r="F778" s="158">
        <v>6</v>
      </c>
      <c r="G778" s="159">
        <v>7</v>
      </c>
      <c r="H778" s="158" t="s">
        <v>1546</v>
      </c>
      <c r="I778" s="158">
        <v>4</v>
      </c>
      <c r="J778" s="158" t="s">
        <v>1547</v>
      </c>
      <c r="K778" s="158" t="s">
        <v>73</v>
      </c>
      <c r="L778" s="158" t="s">
        <v>870</v>
      </c>
    </row>
    <row r="779" spans="1:12" ht="20.25" customHeight="1" x14ac:dyDescent="0.3">
      <c r="A779" s="90" t="s">
        <v>795</v>
      </c>
      <c r="B779" s="84"/>
      <c r="C779" s="7" t="s">
        <v>794</v>
      </c>
      <c r="D779" s="85" t="s">
        <v>1541</v>
      </c>
      <c r="E779" s="86" t="s">
        <v>110</v>
      </c>
      <c r="F779" s="158">
        <v>6</v>
      </c>
      <c r="G779" s="159">
        <v>7</v>
      </c>
      <c r="H779" s="158" t="s">
        <v>1022</v>
      </c>
      <c r="I779" s="158">
        <v>4</v>
      </c>
      <c r="J779" s="158" t="s">
        <v>1032</v>
      </c>
      <c r="K779" s="158" t="s">
        <v>73</v>
      </c>
      <c r="L779" s="158" t="s">
        <v>875</v>
      </c>
    </row>
    <row r="780" spans="1:12" ht="20.25" customHeight="1" x14ac:dyDescent="0.3">
      <c r="A780" s="90" t="s">
        <v>807</v>
      </c>
      <c r="B780" s="84"/>
      <c r="C780" s="7" t="s">
        <v>806</v>
      </c>
      <c r="D780" s="85" t="s">
        <v>1541</v>
      </c>
      <c r="E780" s="86" t="s">
        <v>110</v>
      </c>
      <c r="F780" s="158">
        <v>6</v>
      </c>
      <c r="G780" s="159">
        <v>8</v>
      </c>
      <c r="H780" s="158" t="s">
        <v>1020</v>
      </c>
      <c r="I780" s="158">
        <v>4</v>
      </c>
      <c r="J780" s="158" t="s">
        <v>1020</v>
      </c>
      <c r="K780" s="158" t="s">
        <v>73</v>
      </c>
      <c r="L780" s="158" t="s">
        <v>526</v>
      </c>
    </row>
    <row r="781" spans="1:12" ht="20.25" customHeight="1" x14ac:dyDescent="0.3">
      <c r="A781" s="90" t="s">
        <v>1320</v>
      </c>
      <c r="B781" s="84"/>
      <c r="C781" s="7" t="s">
        <v>1319</v>
      </c>
      <c r="D781" s="85" t="s">
        <v>1529</v>
      </c>
      <c r="E781" s="86" t="s">
        <v>110</v>
      </c>
      <c r="F781" s="158">
        <v>6</v>
      </c>
      <c r="G781" s="159">
        <v>8</v>
      </c>
      <c r="H781" s="158" t="s">
        <v>864</v>
      </c>
      <c r="I781" s="158">
        <v>4</v>
      </c>
      <c r="J781" s="158" t="s">
        <v>1531</v>
      </c>
      <c r="K781" s="158" t="s">
        <v>73</v>
      </c>
      <c r="L781" s="158" t="s">
        <v>1337</v>
      </c>
    </row>
    <row r="782" spans="1:12" ht="20.25" customHeight="1" x14ac:dyDescent="0.3">
      <c r="A782" s="90" t="s">
        <v>1163</v>
      </c>
      <c r="B782" s="84"/>
      <c r="C782" s="7" t="s">
        <v>1162</v>
      </c>
      <c r="D782" s="85" t="s">
        <v>80</v>
      </c>
      <c r="E782" s="86" t="s">
        <v>110</v>
      </c>
      <c r="F782" s="158">
        <v>6</v>
      </c>
      <c r="G782" s="159">
        <v>8</v>
      </c>
      <c r="H782" s="158">
        <v>1</v>
      </c>
      <c r="I782" s="158">
        <v>4</v>
      </c>
      <c r="J782" s="158">
        <v>3</v>
      </c>
      <c r="K782" s="158" t="s">
        <v>73</v>
      </c>
      <c r="L782" s="158">
        <v>2009</v>
      </c>
    </row>
    <row r="783" spans="1:12" ht="20.25" customHeight="1" x14ac:dyDescent="0.3">
      <c r="A783" s="90" t="s">
        <v>687</v>
      </c>
      <c r="B783" s="84"/>
      <c r="C783" s="7" t="s">
        <v>686</v>
      </c>
      <c r="D783" s="85" t="s">
        <v>1541</v>
      </c>
      <c r="E783" s="86" t="s">
        <v>110</v>
      </c>
      <c r="F783" s="158">
        <v>6</v>
      </c>
      <c r="G783" s="159">
        <v>8</v>
      </c>
      <c r="H783" s="158" t="s">
        <v>1551</v>
      </c>
      <c r="I783" s="158">
        <v>4</v>
      </c>
      <c r="J783" s="158" t="s">
        <v>1030</v>
      </c>
      <c r="K783" s="158" t="s">
        <v>73</v>
      </c>
      <c r="L783" s="158" t="s">
        <v>362</v>
      </c>
    </row>
    <row r="784" spans="1:12" ht="20.25" customHeight="1" x14ac:dyDescent="0.3">
      <c r="A784" s="90" t="s">
        <v>422</v>
      </c>
      <c r="B784" s="84"/>
      <c r="C784" s="7" t="s">
        <v>421</v>
      </c>
      <c r="D784" s="85" t="s">
        <v>1425</v>
      </c>
      <c r="E784" s="86" t="s">
        <v>110</v>
      </c>
      <c r="F784" s="158">
        <v>6</v>
      </c>
      <c r="G784" s="159">
        <v>8</v>
      </c>
      <c r="H784" s="158" t="s">
        <v>1417</v>
      </c>
      <c r="I784" s="158">
        <v>4</v>
      </c>
      <c r="J784" s="158" t="s">
        <v>1435</v>
      </c>
      <c r="K784" s="158" t="s">
        <v>73</v>
      </c>
      <c r="L784" s="158" t="s">
        <v>362</v>
      </c>
    </row>
    <row r="785" spans="1:12" ht="20.25" customHeight="1" x14ac:dyDescent="0.3">
      <c r="A785" s="90" t="s">
        <v>1322</v>
      </c>
      <c r="B785" s="84"/>
      <c r="C785" s="7" t="s">
        <v>1321</v>
      </c>
      <c r="D785" s="85" t="s">
        <v>1541</v>
      </c>
      <c r="E785" s="86" t="s">
        <v>106</v>
      </c>
      <c r="F785" s="158">
        <v>6</v>
      </c>
      <c r="G785" s="159">
        <v>8</v>
      </c>
      <c r="H785" s="158" t="s">
        <v>1410</v>
      </c>
      <c r="I785" s="158">
        <v>4</v>
      </c>
      <c r="J785" s="158" t="s">
        <v>1552</v>
      </c>
      <c r="K785" s="158" t="s">
        <v>73</v>
      </c>
      <c r="L785" s="158" t="s">
        <v>362</v>
      </c>
    </row>
    <row r="786" spans="1:12" ht="20.25" customHeight="1" x14ac:dyDescent="0.3">
      <c r="A786" s="90" t="s">
        <v>685</v>
      </c>
      <c r="B786" s="84"/>
      <c r="C786" s="7" t="s">
        <v>684</v>
      </c>
      <c r="D786" s="85" t="s">
        <v>1541</v>
      </c>
      <c r="E786" s="86" t="s">
        <v>110</v>
      </c>
      <c r="F786" s="158">
        <v>6</v>
      </c>
      <c r="G786" s="159">
        <v>8</v>
      </c>
      <c r="H786" s="158" t="s">
        <v>1550</v>
      </c>
      <c r="I786" s="158">
        <v>4</v>
      </c>
      <c r="J786" s="158" t="s">
        <v>542</v>
      </c>
      <c r="K786" s="158" t="s">
        <v>73</v>
      </c>
      <c r="L786" s="158" t="s">
        <v>1596</v>
      </c>
    </row>
    <row r="787" spans="1:12" ht="20.25" customHeight="1" x14ac:dyDescent="0.3">
      <c r="A787" s="90" t="s">
        <v>1324</v>
      </c>
      <c r="B787" s="84"/>
      <c r="C787" s="7" t="s">
        <v>1323</v>
      </c>
      <c r="D787" s="85" t="s">
        <v>1542</v>
      </c>
      <c r="E787" s="86" t="s">
        <v>110</v>
      </c>
      <c r="F787" s="158">
        <v>12</v>
      </c>
      <c r="G787" s="159">
        <v>9</v>
      </c>
      <c r="H787" s="158" t="s">
        <v>1437</v>
      </c>
      <c r="I787" s="158">
        <v>5</v>
      </c>
      <c r="J787" s="158" t="s">
        <v>1438</v>
      </c>
      <c r="K787" s="158" t="s">
        <v>73</v>
      </c>
      <c r="L787" s="158" t="s">
        <v>362</v>
      </c>
    </row>
    <row r="788" spans="1:12" ht="20.25" customHeight="1" x14ac:dyDescent="0.3">
      <c r="A788" s="90" t="s">
        <v>1047</v>
      </c>
      <c r="B788" s="84"/>
      <c r="C788" s="7" t="s">
        <v>1046</v>
      </c>
      <c r="D788" s="85" t="s">
        <v>1425</v>
      </c>
      <c r="E788" s="86" t="s">
        <v>110</v>
      </c>
      <c r="F788" s="158">
        <v>12</v>
      </c>
      <c r="G788" s="159">
        <v>9</v>
      </c>
      <c r="H788" s="158" t="s">
        <v>1437</v>
      </c>
      <c r="I788" s="158">
        <v>5</v>
      </c>
      <c r="J788" s="158" t="s">
        <v>1438</v>
      </c>
      <c r="K788" s="158" t="s">
        <v>73</v>
      </c>
      <c r="L788" s="158" t="s">
        <v>362</v>
      </c>
    </row>
    <row r="789" spans="1:12" ht="20.25" customHeight="1" x14ac:dyDescent="0.3">
      <c r="A789" s="90" t="s">
        <v>564</v>
      </c>
      <c r="B789" s="84"/>
      <c r="C789" s="7" t="s">
        <v>563</v>
      </c>
      <c r="D789" s="85" t="s">
        <v>80</v>
      </c>
      <c r="E789" s="86" t="s">
        <v>110</v>
      </c>
      <c r="F789" s="158">
        <v>6</v>
      </c>
      <c r="G789" s="159">
        <v>9</v>
      </c>
      <c r="H789" s="158" t="s">
        <v>868</v>
      </c>
      <c r="I789" s="158">
        <v>5</v>
      </c>
      <c r="J789" s="158" t="s">
        <v>874</v>
      </c>
      <c r="K789" s="158" t="s">
        <v>73</v>
      </c>
      <c r="L789" s="158" t="s">
        <v>362</v>
      </c>
    </row>
    <row r="790" spans="1:12" ht="20.25" customHeight="1" x14ac:dyDescent="0.3">
      <c r="A790" s="90" t="s">
        <v>1327</v>
      </c>
      <c r="B790" s="84"/>
      <c r="C790" s="7" t="s">
        <v>1326</v>
      </c>
      <c r="D790" s="85" t="s">
        <v>80</v>
      </c>
      <c r="E790" s="86" t="s">
        <v>110</v>
      </c>
      <c r="F790" s="158">
        <v>6</v>
      </c>
      <c r="G790" s="159">
        <v>9</v>
      </c>
      <c r="H790" s="158" t="s">
        <v>443</v>
      </c>
      <c r="I790" s="158">
        <v>5</v>
      </c>
      <c r="J790" s="158" t="s">
        <v>841</v>
      </c>
      <c r="K790" s="158" t="s">
        <v>73</v>
      </c>
      <c r="L790" s="158" t="s">
        <v>1338</v>
      </c>
    </row>
    <row r="791" spans="1:12" ht="20.25" customHeight="1" x14ac:dyDescent="0.3">
      <c r="A791" s="90" t="s">
        <v>691</v>
      </c>
      <c r="B791" s="84"/>
      <c r="C791" s="7" t="s">
        <v>690</v>
      </c>
      <c r="D791" s="85" t="s">
        <v>1541</v>
      </c>
      <c r="E791" s="86" t="s">
        <v>110</v>
      </c>
      <c r="F791" s="158">
        <v>6</v>
      </c>
      <c r="G791" s="159">
        <v>9</v>
      </c>
      <c r="H791" s="158" t="s">
        <v>1030</v>
      </c>
      <c r="I791" s="158">
        <v>5</v>
      </c>
      <c r="J791" s="158" t="s">
        <v>1030</v>
      </c>
      <c r="K791" s="158" t="s">
        <v>73</v>
      </c>
      <c r="L791" s="158" t="s">
        <v>362</v>
      </c>
    </row>
    <row r="792" spans="1:12" ht="20.25" customHeight="1" x14ac:dyDescent="0.3">
      <c r="A792" s="90" t="s">
        <v>1329</v>
      </c>
      <c r="B792" s="84"/>
      <c r="C792" s="7" t="s">
        <v>1328</v>
      </c>
      <c r="D792" s="85" t="s">
        <v>80</v>
      </c>
      <c r="E792" s="86" t="s">
        <v>110</v>
      </c>
      <c r="F792" s="158">
        <v>6</v>
      </c>
      <c r="G792" s="159">
        <v>9</v>
      </c>
      <c r="H792" s="158">
        <v>2</v>
      </c>
      <c r="I792" s="158">
        <v>5</v>
      </c>
      <c r="J792" s="158">
        <v>3</v>
      </c>
      <c r="K792" s="158" t="s">
        <v>73</v>
      </c>
      <c r="L792" s="158">
        <v>2010</v>
      </c>
    </row>
    <row r="793" spans="1:12" ht="20.25" customHeight="1" x14ac:dyDescent="0.3">
      <c r="A793" s="90" t="s">
        <v>835</v>
      </c>
      <c r="B793" s="84"/>
      <c r="C793" s="7" t="s">
        <v>834</v>
      </c>
      <c r="D793" s="85" t="s">
        <v>1541</v>
      </c>
      <c r="E793" s="86" t="s">
        <v>110</v>
      </c>
      <c r="F793" s="158">
        <v>6</v>
      </c>
      <c r="G793" s="159">
        <v>7</v>
      </c>
      <c r="H793" s="158" t="s">
        <v>543</v>
      </c>
      <c r="I793" s="158">
        <v>4</v>
      </c>
      <c r="J793" s="158" t="s">
        <v>865</v>
      </c>
      <c r="K793" s="158" t="s">
        <v>73</v>
      </c>
      <c r="L793" s="158" t="s">
        <v>369</v>
      </c>
    </row>
    <row r="794" spans="1:12" ht="20.25" customHeight="1" x14ac:dyDescent="0.3">
      <c r="A794" s="90" t="s">
        <v>1101</v>
      </c>
      <c r="B794" s="84"/>
      <c r="C794" s="7" t="s">
        <v>1100</v>
      </c>
      <c r="D794" s="85" t="s">
        <v>80</v>
      </c>
      <c r="E794" s="86" t="s">
        <v>106</v>
      </c>
      <c r="F794" s="158">
        <v>6</v>
      </c>
      <c r="G794" s="159">
        <v>7</v>
      </c>
      <c r="H794" s="158" t="s">
        <v>1341</v>
      </c>
      <c r="I794" s="158">
        <v>4</v>
      </c>
      <c r="J794" s="158" t="s">
        <v>1342</v>
      </c>
      <c r="K794" s="158" t="s">
        <v>73</v>
      </c>
      <c r="L794" s="158" t="s">
        <v>369</v>
      </c>
    </row>
    <row r="795" spans="1:12" ht="20.25" customHeight="1" x14ac:dyDescent="0.3">
      <c r="A795" s="90" t="s">
        <v>1331</v>
      </c>
      <c r="B795" s="84"/>
      <c r="C795" s="7" t="s">
        <v>1330</v>
      </c>
      <c r="D795" s="85" t="s">
        <v>1541</v>
      </c>
      <c r="E795" s="86" t="s">
        <v>110</v>
      </c>
      <c r="F795" s="158">
        <v>6</v>
      </c>
      <c r="G795" s="159">
        <v>8</v>
      </c>
      <c r="H795" s="158" t="s">
        <v>1020</v>
      </c>
      <c r="I795" s="158">
        <v>4</v>
      </c>
      <c r="J795" s="158" t="s">
        <v>1020</v>
      </c>
      <c r="K795" s="158" t="s">
        <v>73</v>
      </c>
      <c r="L795" s="158" t="s">
        <v>679</v>
      </c>
    </row>
    <row r="796" spans="1:12" ht="20.25" customHeight="1" x14ac:dyDescent="0.3">
      <c r="A796" s="90" t="s">
        <v>1333</v>
      </c>
      <c r="B796" s="84"/>
      <c r="C796" s="7" t="s">
        <v>1332</v>
      </c>
      <c r="D796" s="85" t="s">
        <v>80</v>
      </c>
      <c r="E796" s="86" t="s">
        <v>110</v>
      </c>
      <c r="F796" s="158">
        <v>6</v>
      </c>
      <c r="G796" s="159">
        <v>8</v>
      </c>
      <c r="H796" s="158" t="s">
        <v>842</v>
      </c>
      <c r="I796" s="158">
        <v>4</v>
      </c>
      <c r="J796" s="158" t="s">
        <v>1343</v>
      </c>
      <c r="K796" s="158" t="s">
        <v>73</v>
      </c>
      <c r="L796" s="158" t="s">
        <v>1591</v>
      </c>
    </row>
    <row r="797" spans="1:12" ht="20.25" customHeight="1" x14ac:dyDescent="0.3">
      <c r="A797" s="90" t="s">
        <v>1335</v>
      </c>
      <c r="B797" s="84"/>
      <c r="C797" s="7" t="s">
        <v>1334</v>
      </c>
      <c r="D797" s="85" t="s">
        <v>1529</v>
      </c>
      <c r="E797" s="86" t="s">
        <v>110</v>
      </c>
      <c r="F797" s="158">
        <v>6</v>
      </c>
      <c r="G797" s="159">
        <v>8</v>
      </c>
      <c r="H797" s="158" t="s">
        <v>1021</v>
      </c>
      <c r="I797" s="158">
        <v>4</v>
      </c>
      <c r="J797" s="158" t="s">
        <v>1020</v>
      </c>
      <c r="K797" s="158" t="s">
        <v>73</v>
      </c>
      <c r="L797" s="158" t="s">
        <v>679</v>
      </c>
    </row>
    <row r="798" spans="1:12" ht="20.25" customHeight="1" x14ac:dyDescent="0.3">
      <c r="A798" s="90" t="s">
        <v>1329</v>
      </c>
      <c r="B798" s="84"/>
      <c r="C798" s="7" t="s">
        <v>1336</v>
      </c>
      <c r="D798" s="85" t="s">
        <v>80</v>
      </c>
      <c r="E798" s="86" t="s">
        <v>110</v>
      </c>
      <c r="F798" s="158">
        <v>6</v>
      </c>
      <c r="G798" s="159">
        <v>9</v>
      </c>
      <c r="H798" s="158" t="s">
        <v>443</v>
      </c>
      <c r="I798" s="158">
        <v>5</v>
      </c>
      <c r="J798" s="158" t="s">
        <v>841</v>
      </c>
      <c r="K798" s="158" t="s">
        <v>73</v>
      </c>
      <c r="L798" s="158" t="s">
        <v>1111</v>
      </c>
    </row>
    <row r="799" spans="1:12" ht="20.25" customHeight="1" x14ac:dyDescent="0.3">
      <c r="A799" s="90" t="s">
        <v>392</v>
      </c>
      <c r="B799" s="84"/>
      <c r="C799" s="7" t="s">
        <v>391</v>
      </c>
      <c r="D799" s="85" t="s">
        <v>1423</v>
      </c>
      <c r="E799" s="86" t="s">
        <v>110</v>
      </c>
      <c r="F799" s="158">
        <v>6</v>
      </c>
      <c r="G799" s="161">
        <v>7</v>
      </c>
      <c r="H799" s="158" t="s">
        <v>1025</v>
      </c>
      <c r="I799" s="158">
        <v>4</v>
      </c>
      <c r="J799" s="158" t="s">
        <v>1031</v>
      </c>
      <c r="K799" s="158" t="s">
        <v>73</v>
      </c>
      <c r="L799" s="158" t="s">
        <v>362</v>
      </c>
    </row>
    <row r="800" spans="1:12" ht="20.25" customHeight="1" x14ac:dyDescent="0.3">
      <c r="A800" s="90" t="s">
        <v>1041</v>
      </c>
      <c r="B800" s="84"/>
      <c r="C800" s="7" t="s">
        <v>1040</v>
      </c>
      <c r="D800" s="85" t="s">
        <v>1423</v>
      </c>
      <c r="E800" s="86" t="s">
        <v>110</v>
      </c>
      <c r="F800" s="158">
        <v>6</v>
      </c>
      <c r="G800" s="161">
        <v>7</v>
      </c>
      <c r="H800" s="158" t="s">
        <v>1025</v>
      </c>
      <c r="I800" s="158">
        <v>4</v>
      </c>
      <c r="J800" s="158" t="s">
        <v>1025</v>
      </c>
      <c r="K800" s="158" t="s">
        <v>73</v>
      </c>
      <c r="L800" s="158" t="s">
        <v>362</v>
      </c>
    </row>
    <row r="801" spans="1:12" ht="20.25" customHeight="1" x14ac:dyDescent="0.3">
      <c r="A801" s="90" t="s">
        <v>326</v>
      </c>
      <c r="B801" s="84"/>
      <c r="C801" s="7" t="s">
        <v>325</v>
      </c>
      <c r="D801" s="85" t="s">
        <v>1423</v>
      </c>
      <c r="E801" s="86" t="s">
        <v>110</v>
      </c>
      <c r="F801" s="158">
        <v>6</v>
      </c>
      <c r="G801" s="161">
        <v>7</v>
      </c>
      <c r="H801" s="158" t="s">
        <v>1426</v>
      </c>
      <c r="I801" s="158">
        <v>4</v>
      </c>
      <c r="J801" s="158" t="s">
        <v>1427</v>
      </c>
      <c r="K801" s="158" t="s">
        <v>73</v>
      </c>
      <c r="L801" s="158" t="s">
        <v>338</v>
      </c>
    </row>
    <row r="802" spans="1:12" ht="20.25" customHeight="1" x14ac:dyDescent="0.3">
      <c r="A802" s="90" t="s">
        <v>1043</v>
      </c>
      <c r="B802" s="84"/>
      <c r="C802" s="7" t="s">
        <v>1042</v>
      </c>
      <c r="D802" s="85" t="s">
        <v>1423</v>
      </c>
      <c r="E802" s="86" t="s">
        <v>110</v>
      </c>
      <c r="F802" s="158">
        <v>6</v>
      </c>
      <c r="G802" s="161">
        <v>7</v>
      </c>
      <c r="H802" s="158" t="s">
        <v>1428</v>
      </c>
      <c r="I802" s="158">
        <v>4</v>
      </c>
      <c r="J802" s="158" t="s">
        <v>1429</v>
      </c>
      <c r="K802" s="158" t="s">
        <v>73</v>
      </c>
      <c r="L802" s="158" t="s">
        <v>526</v>
      </c>
    </row>
    <row r="803" spans="1:12" ht="20.25" customHeight="1" x14ac:dyDescent="0.3">
      <c r="A803" s="90" t="s">
        <v>404</v>
      </c>
      <c r="B803" s="84"/>
      <c r="C803" s="7" t="s">
        <v>403</v>
      </c>
      <c r="D803" s="85" t="s">
        <v>1443</v>
      </c>
      <c r="E803" s="86" t="s">
        <v>110</v>
      </c>
      <c r="F803" s="158">
        <v>6</v>
      </c>
      <c r="G803" s="161">
        <v>7</v>
      </c>
      <c r="H803" s="158" t="s">
        <v>1451</v>
      </c>
      <c r="I803" s="158">
        <v>4</v>
      </c>
      <c r="J803" s="158" t="s">
        <v>1451</v>
      </c>
      <c r="K803" s="158" t="s">
        <v>73</v>
      </c>
      <c r="L803" s="158" t="s">
        <v>362</v>
      </c>
    </row>
    <row r="804" spans="1:12" ht="20.25" customHeight="1" x14ac:dyDescent="0.3">
      <c r="A804" s="90" t="s">
        <v>382</v>
      </c>
      <c r="B804" s="84"/>
      <c r="C804" s="7" t="s">
        <v>381</v>
      </c>
      <c r="D804" s="85" t="s">
        <v>1423</v>
      </c>
      <c r="E804" s="86" t="s">
        <v>110</v>
      </c>
      <c r="F804" s="158">
        <v>6</v>
      </c>
      <c r="G804" s="161">
        <v>8</v>
      </c>
      <c r="H804" s="158" t="s">
        <v>1025</v>
      </c>
      <c r="I804" s="158">
        <v>4</v>
      </c>
      <c r="J804" s="158" t="s">
        <v>1030</v>
      </c>
      <c r="K804" s="158" t="s">
        <v>73</v>
      </c>
      <c r="L804" s="158" t="s">
        <v>362</v>
      </c>
    </row>
    <row r="805" spans="1:12" ht="20.25" customHeight="1" x14ac:dyDescent="0.3">
      <c r="A805" s="90" t="s">
        <v>1345</v>
      </c>
      <c r="B805" s="84"/>
      <c r="C805" s="7" t="s">
        <v>1344</v>
      </c>
      <c r="D805" s="85" t="s">
        <v>77</v>
      </c>
      <c r="E805" s="86" t="s">
        <v>110</v>
      </c>
      <c r="F805" s="158">
        <v>6</v>
      </c>
      <c r="G805" s="161">
        <v>8</v>
      </c>
      <c r="H805" s="158" t="s">
        <v>873</v>
      </c>
      <c r="I805" s="158">
        <v>4</v>
      </c>
      <c r="J805" s="158" t="s">
        <v>883</v>
      </c>
      <c r="K805" s="158" t="s">
        <v>73</v>
      </c>
      <c r="L805" s="158" t="s">
        <v>362</v>
      </c>
    </row>
    <row r="806" spans="1:12" ht="20.25" customHeight="1" x14ac:dyDescent="0.3">
      <c r="A806" s="90" t="s">
        <v>430</v>
      </c>
      <c r="B806" s="84"/>
      <c r="C806" s="7" t="s">
        <v>429</v>
      </c>
      <c r="D806" s="85" t="s">
        <v>1423</v>
      </c>
      <c r="E806" s="86" t="s">
        <v>110</v>
      </c>
      <c r="F806" s="158">
        <v>6</v>
      </c>
      <c r="G806" s="161">
        <v>8</v>
      </c>
      <c r="H806" s="158" t="s">
        <v>1030</v>
      </c>
      <c r="I806" s="158">
        <v>4</v>
      </c>
      <c r="J806" s="158" t="s">
        <v>1025</v>
      </c>
      <c r="K806" s="158" t="s">
        <v>73</v>
      </c>
      <c r="L806" s="158" t="s">
        <v>362</v>
      </c>
    </row>
    <row r="807" spans="1:12" ht="20.25" customHeight="1" x14ac:dyDescent="0.3">
      <c r="A807" s="90" t="s">
        <v>432</v>
      </c>
      <c r="B807" s="84"/>
      <c r="C807" s="7" t="s">
        <v>431</v>
      </c>
      <c r="D807" s="85" t="s">
        <v>1424</v>
      </c>
      <c r="E807" s="86" t="s">
        <v>110</v>
      </c>
      <c r="F807" s="158">
        <v>6</v>
      </c>
      <c r="G807" s="161">
        <v>8</v>
      </c>
      <c r="H807" s="158" t="s">
        <v>1436</v>
      </c>
      <c r="I807" s="158">
        <v>4</v>
      </c>
      <c r="J807" s="158" t="s">
        <v>1436</v>
      </c>
      <c r="K807" s="158" t="s">
        <v>73</v>
      </c>
      <c r="L807" s="158" t="s">
        <v>362</v>
      </c>
    </row>
    <row r="808" spans="1:12" ht="20.25" customHeight="1" x14ac:dyDescent="0.3">
      <c r="A808" s="90" t="s">
        <v>241</v>
      </c>
      <c r="B808" s="84"/>
      <c r="C808" s="7" t="s">
        <v>240</v>
      </c>
      <c r="D808" s="85" t="s">
        <v>77</v>
      </c>
      <c r="E808" s="86" t="s">
        <v>106</v>
      </c>
      <c r="F808" s="158">
        <v>6</v>
      </c>
      <c r="G808" s="161">
        <v>8</v>
      </c>
      <c r="H808" s="158" t="s">
        <v>873</v>
      </c>
      <c r="I808" s="158">
        <v>4</v>
      </c>
      <c r="J808" s="158" t="s">
        <v>874</v>
      </c>
      <c r="K808" s="158" t="s">
        <v>73</v>
      </c>
      <c r="L808" s="158" t="s">
        <v>362</v>
      </c>
    </row>
    <row r="809" spans="1:12" ht="20.25" customHeight="1" x14ac:dyDescent="0.3">
      <c r="A809" s="90" t="s">
        <v>1347</v>
      </c>
      <c r="B809" s="84"/>
      <c r="C809" s="7" t="s">
        <v>1346</v>
      </c>
      <c r="D809" s="85" t="s">
        <v>77</v>
      </c>
      <c r="E809" s="86" t="s">
        <v>106</v>
      </c>
      <c r="F809" s="158">
        <v>6</v>
      </c>
      <c r="G809" s="161">
        <v>9</v>
      </c>
      <c r="H809" s="158" t="s">
        <v>868</v>
      </c>
      <c r="I809" s="158">
        <v>5</v>
      </c>
      <c r="J809" s="158" t="s">
        <v>868</v>
      </c>
      <c r="K809" s="158" t="s">
        <v>73</v>
      </c>
      <c r="L809" s="158" t="s">
        <v>362</v>
      </c>
    </row>
    <row r="810" spans="1:12" ht="20.25" customHeight="1" x14ac:dyDescent="0.3">
      <c r="A810" s="90" t="s">
        <v>440</v>
      </c>
      <c r="B810" s="84"/>
      <c r="C810" s="7" t="s">
        <v>439</v>
      </c>
      <c r="D810" s="85" t="s">
        <v>1423</v>
      </c>
      <c r="E810" s="86" t="s">
        <v>110</v>
      </c>
      <c r="F810" s="158">
        <v>6</v>
      </c>
      <c r="G810" s="161">
        <v>9</v>
      </c>
      <c r="H810" s="158" t="s">
        <v>1030</v>
      </c>
      <c r="I810" s="158">
        <v>5</v>
      </c>
      <c r="J810" s="158" t="s">
        <v>1031</v>
      </c>
      <c r="K810" s="158" t="s">
        <v>73</v>
      </c>
      <c r="L810" s="158" t="s">
        <v>362</v>
      </c>
    </row>
    <row r="811" spans="1:12" ht="20.25" customHeight="1" x14ac:dyDescent="0.3">
      <c r="A811" s="90" t="s">
        <v>215</v>
      </c>
      <c r="B811" s="84"/>
      <c r="C811" s="7" t="s">
        <v>214</v>
      </c>
      <c r="D811" s="85" t="s">
        <v>1424</v>
      </c>
      <c r="E811" s="86" t="s">
        <v>110</v>
      </c>
      <c r="F811" s="158">
        <v>6</v>
      </c>
      <c r="G811" s="161">
        <v>7</v>
      </c>
      <c r="H811" s="158" t="s">
        <v>1431</v>
      </c>
      <c r="I811" s="158">
        <v>4</v>
      </c>
      <c r="J811" s="158" t="s">
        <v>1432</v>
      </c>
      <c r="K811" s="158" t="s">
        <v>73</v>
      </c>
      <c r="L811" s="158" t="s">
        <v>369</v>
      </c>
    </row>
    <row r="812" spans="1:12" ht="20.25" customHeight="1" x14ac:dyDescent="0.3">
      <c r="A812" s="90" t="s">
        <v>1054</v>
      </c>
      <c r="B812" s="84"/>
      <c r="C812" s="7" t="s">
        <v>1053</v>
      </c>
      <c r="D812" s="85" t="s">
        <v>1423</v>
      </c>
      <c r="E812" s="86" t="s">
        <v>110</v>
      </c>
      <c r="F812" s="158">
        <v>6</v>
      </c>
      <c r="G812" s="161">
        <v>7</v>
      </c>
      <c r="H812" s="158" t="s">
        <v>1433</v>
      </c>
      <c r="I812" s="158">
        <v>4</v>
      </c>
      <c r="J812" s="158" t="s">
        <v>1434</v>
      </c>
      <c r="K812" s="158" t="s">
        <v>73</v>
      </c>
      <c r="L812" s="158" t="s">
        <v>679</v>
      </c>
    </row>
    <row r="813" spans="1:12" ht="20.25" customHeight="1" x14ac:dyDescent="0.3">
      <c r="A813" s="90" t="s">
        <v>219</v>
      </c>
      <c r="B813" s="84"/>
      <c r="C813" s="7" t="s">
        <v>218</v>
      </c>
      <c r="D813" s="85" t="s">
        <v>1450</v>
      </c>
      <c r="E813" s="86" t="s">
        <v>106</v>
      </c>
      <c r="F813" s="158">
        <v>6</v>
      </c>
      <c r="G813" s="161">
        <v>7</v>
      </c>
      <c r="H813" s="158" t="s">
        <v>443</v>
      </c>
      <c r="I813" s="158">
        <v>4</v>
      </c>
      <c r="J813" s="158" t="s">
        <v>841</v>
      </c>
      <c r="K813" s="158" t="s">
        <v>73</v>
      </c>
      <c r="L813" s="158">
        <v>2014</v>
      </c>
    </row>
    <row r="814" spans="1:12" ht="20.25" customHeight="1" x14ac:dyDescent="0.3">
      <c r="A814" s="90" t="s">
        <v>1353</v>
      </c>
      <c r="B814" s="84"/>
      <c r="C814" s="7" t="s">
        <v>1352</v>
      </c>
      <c r="D814" s="85" t="s">
        <v>1453</v>
      </c>
      <c r="E814" s="86" t="s">
        <v>110</v>
      </c>
      <c r="F814" s="158">
        <v>6</v>
      </c>
      <c r="G814" s="161">
        <v>7</v>
      </c>
      <c r="H814" s="158" t="s">
        <v>1025</v>
      </c>
      <c r="I814" s="158">
        <v>4</v>
      </c>
      <c r="J814" s="158" t="s">
        <v>1031</v>
      </c>
      <c r="K814" s="158" t="s">
        <v>73</v>
      </c>
      <c r="L814" s="158" t="s">
        <v>362</v>
      </c>
    </row>
    <row r="815" spans="1:12" ht="20.25" customHeight="1" x14ac:dyDescent="0.3">
      <c r="A815" s="90" t="s">
        <v>127</v>
      </c>
      <c r="B815" s="84"/>
      <c r="C815" s="7" t="s">
        <v>126</v>
      </c>
      <c r="D815" s="85" t="s">
        <v>1453</v>
      </c>
      <c r="E815" s="86" t="s">
        <v>110</v>
      </c>
      <c r="F815" s="158">
        <v>6</v>
      </c>
      <c r="G815" s="161">
        <v>7</v>
      </c>
      <c r="H815" s="158" t="s">
        <v>1025</v>
      </c>
      <c r="I815" s="158">
        <v>4</v>
      </c>
      <c r="J815" s="158" t="s">
        <v>1030</v>
      </c>
      <c r="K815" s="158" t="s">
        <v>73</v>
      </c>
      <c r="L815" s="158" t="s">
        <v>362</v>
      </c>
    </row>
    <row r="816" spans="1:12" ht="20.25" customHeight="1" x14ac:dyDescent="0.3">
      <c r="A816" s="90" t="s">
        <v>1347</v>
      </c>
      <c r="B816" s="84"/>
      <c r="C816" s="7" t="s">
        <v>1346</v>
      </c>
      <c r="D816" s="85" t="s">
        <v>1442</v>
      </c>
      <c r="E816" s="86" t="s">
        <v>106</v>
      </c>
      <c r="F816" s="158">
        <v>6</v>
      </c>
      <c r="G816" s="161">
        <v>7</v>
      </c>
      <c r="H816" s="158" t="s">
        <v>1025</v>
      </c>
      <c r="I816" s="158">
        <v>4</v>
      </c>
      <c r="J816" s="158" t="s">
        <v>1025</v>
      </c>
      <c r="K816" s="158" t="s">
        <v>73</v>
      </c>
      <c r="L816" s="158" t="s">
        <v>362</v>
      </c>
    </row>
    <row r="817" spans="1:12" ht="20.25" customHeight="1" x14ac:dyDescent="0.3">
      <c r="A817" s="90" t="s">
        <v>390</v>
      </c>
      <c r="B817" s="84"/>
      <c r="C817" s="7" t="s">
        <v>389</v>
      </c>
      <c r="D817" s="85" t="s">
        <v>1454</v>
      </c>
      <c r="E817" s="86" t="s">
        <v>110</v>
      </c>
      <c r="F817" s="158">
        <v>6</v>
      </c>
      <c r="G817" s="161">
        <v>7</v>
      </c>
      <c r="H817" s="158" t="s">
        <v>1463</v>
      </c>
      <c r="I817" s="158">
        <v>4</v>
      </c>
      <c r="J817" s="158" t="s">
        <v>1464</v>
      </c>
      <c r="K817" s="158" t="s">
        <v>73</v>
      </c>
      <c r="L817" s="158" t="s">
        <v>1447</v>
      </c>
    </row>
    <row r="818" spans="1:12" ht="20.25" customHeight="1" x14ac:dyDescent="0.3">
      <c r="A818" s="90" t="s">
        <v>121</v>
      </c>
      <c r="B818" s="84"/>
      <c r="C818" s="7" t="s">
        <v>1354</v>
      </c>
      <c r="D818" s="85" t="s">
        <v>79</v>
      </c>
      <c r="E818" s="86" t="s">
        <v>110</v>
      </c>
      <c r="F818" s="158">
        <v>6</v>
      </c>
      <c r="G818" s="161">
        <v>7</v>
      </c>
      <c r="H818" s="158" t="s">
        <v>873</v>
      </c>
      <c r="I818" s="158">
        <v>4</v>
      </c>
      <c r="J818" s="158" t="s">
        <v>873</v>
      </c>
      <c r="K818" s="158" t="s">
        <v>73</v>
      </c>
      <c r="L818" s="158" t="s">
        <v>362</v>
      </c>
    </row>
    <row r="819" spans="1:12" ht="20.25" customHeight="1" x14ac:dyDescent="0.3">
      <c r="A819" s="90" t="s">
        <v>1356</v>
      </c>
      <c r="B819" s="84"/>
      <c r="C819" s="7" t="s">
        <v>1355</v>
      </c>
      <c r="D819" s="85" t="s">
        <v>79</v>
      </c>
      <c r="E819" s="86" t="s">
        <v>110</v>
      </c>
      <c r="F819" s="158">
        <v>6</v>
      </c>
      <c r="G819" s="161">
        <v>7</v>
      </c>
      <c r="H819" s="158" t="s">
        <v>443</v>
      </c>
      <c r="I819" s="158">
        <v>4</v>
      </c>
      <c r="J819" s="158" t="s">
        <v>841</v>
      </c>
      <c r="K819" s="158" t="s">
        <v>73</v>
      </c>
      <c r="L819" s="158" t="s">
        <v>338</v>
      </c>
    </row>
    <row r="820" spans="1:12" ht="20.25" customHeight="1" x14ac:dyDescent="0.3">
      <c r="A820" s="90" t="s">
        <v>1358</v>
      </c>
      <c r="B820" s="84"/>
      <c r="C820" s="7" t="s">
        <v>1357</v>
      </c>
      <c r="D820" s="85" t="s">
        <v>79</v>
      </c>
      <c r="E820" s="86" t="s">
        <v>110</v>
      </c>
      <c r="F820" s="158">
        <v>6</v>
      </c>
      <c r="G820" s="161">
        <v>7</v>
      </c>
      <c r="H820" s="158" t="s">
        <v>443</v>
      </c>
      <c r="I820" s="158">
        <v>4</v>
      </c>
      <c r="J820" s="158" t="s">
        <v>839</v>
      </c>
      <c r="K820" s="158" t="s">
        <v>73</v>
      </c>
      <c r="L820" s="158" t="s">
        <v>338</v>
      </c>
    </row>
    <row r="821" spans="1:12" ht="20.25" customHeight="1" x14ac:dyDescent="0.3">
      <c r="A821" s="90" t="s">
        <v>253</v>
      </c>
      <c r="B821" s="84"/>
      <c r="C821" s="7" t="s">
        <v>329</v>
      </c>
      <c r="D821" s="85" t="s">
        <v>79</v>
      </c>
      <c r="E821" s="86" t="s">
        <v>110</v>
      </c>
      <c r="F821" s="158">
        <v>6</v>
      </c>
      <c r="G821" s="161">
        <v>7</v>
      </c>
      <c r="H821" s="158" t="s">
        <v>443</v>
      </c>
      <c r="I821" s="158">
        <v>4</v>
      </c>
      <c r="J821" s="158" t="s">
        <v>841</v>
      </c>
      <c r="K821" s="158" t="s">
        <v>73</v>
      </c>
      <c r="L821" s="158" t="s">
        <v>338</v>
      </c>
    </row>
    <row r="822" spans="1:12" ht="20.25" customHeight="1" x14ac:dyDescent="0.3">
      <c r="A822" s="90" t="s">
        <v>1360</v>
      </c>
      <c r="B822" s="84"/>
      <c r="C822" s="7" t="s">
        <v>1359</v>
      </c>
      <c r="D822" s="85" t="s">
        <v>1502</v>
      </c>
      <c r="E822" s="86" t="s">
        <v>110</v>
      </c>
      <c r="F822" s="158">
        <v>6</v>
      </c>
      <c r="G822" s="161">
        <v>7</v>
      </c>
      <c r="H822" s="158" t="s">
        <v>1030</v>
      </c>
      <c r="I822" s="158">
        <v>4</v>
      </c>
      <c r="J822" s="158" t="s">
        <v>1031</v>
      </c>
      <c r="K822" s="158" t="s">
        <v>73</v>
      </c>
      <c r="L822" s="158" t="s">
        <v>362</v>
      </c>
    </row>
    <row r="823" spans="1:12" ht="20.25" customHeight="1" x14ac:dyDescent="0.3">
      <c r="A823" s="90" t="s">
        <v>1362</v>
      </c>
      <c r="B823" s="84"/>
      <c r="C823" s="7" t="s">
        <v>1361</v>
      </c>
      <c r="D823" s="85" t="s">
        <v>1454</v>
      </c>
      <c r="E823" s="86" t="s">
        <v>110</v>
      </c>
      <c r="F823" s="158">
        <v>6</v>
      </c>
      <c r="G823" s="161">
        <v>7</v>
      </c>
      <c r="H823" s="158" t="s">
        <v>1038</v>
      </c>
      <c r="I823" s="158">
        <v>4</v>
      </c>
      <c r="J823" s="158" t="s">
        <v>1435</v>
      </c>
      <c r="K823" s="158" t="s">
        <v>73</v>
      </c>
      <c r="L823" s="158" t="s">
        <v>362</v>
      </c>
    </row>
    <row r="824" spans="1:12" ht="20.25" customHeight="1" x14ac:dyDescent="0.3">
      <c r="A824" s="90" t="s">
        <v>1364</v>
      </c>
      <c r="B824" s="84"/>
      <c r="C824" s="7" t="s">
        <v>1363</v>
      </c>
      <c r="D824" s="85" t="s">
        <v>1453</v>
      </c>
      <c r="E824" s="86" t="s">
        <v>110</v>
      </c>
      <c r="F824" s="158">
        <v>6</v>
      </c>
      <c r="G824" s="161">
        <v>7</v>
      </c>
      <c r="H824" s="158" t="s">
        <v>443</v>
      </c>
      <c r="I824" s="158">
        <v>4</v>
      </c>
      <c r="J824" s="158" t="s">
        <v>444</v>
      </c>
      <c r="K824" s="158" t="s">
        <v>73</v>
      </c>
      <c r="L824" s="158">
        <v>2009</v>
      </c>
    </row>
    <row r="825" spans="1:12" ht="20.25" customHeight="1" x14ac:dyDescent="0.3">
      <c r="A825" s="90" t="s">
        <v>1366</v>
      </c>
      <c r="B825" s="84"/>
      <c r="C825" s="7" t="s">
        <v>1365</v>
      </c>
      <c r="D825" s="85" t="s">
        <v>79</v>
      </c>
      <c r="E825" s="86" t="s">
        <v>110</v>
      </c>
      <c r="F825" s="158">
        <v>6</v>
      </c>
      <c r="G825" s="161">
        <v>8</v>
      </c>
      <c r="H825" s="158" t="s">
        <v>868</v>
      </c>
      <c r="I825" s="158">
        <v>4</v>
      </c>
      <c r="J825" s="158" t="s">
        <v>868</v>
      </c>
      <c r="K825" s="158" t="s">
        <v>73</v>
      </c>
      <c r="L825" s="158" t="s">
        <v>362</v>
      </c>
    </row>
    <row r="826" spans="1:12" ht="20.25" customHeight="1" x14ac:dyDescent="0.3">
      <c r="A826" s="90" t="s">
        <v>1368</v>
      </c>
      <c r="B826" s="84"/>
      <c r="C826" s="7" t="s">
        <v>1367</v>
      </c>
      <c r="D826" s="85" t="s">
        <v>1453</v>
      </c>
      <c r="E826" s="86" t="s">
        <v>110</v>
      </c>
      <c r="F826" s="158">
        <v>6</v>
      </c>
      <c r="G826" s="161">
        <v>8</v>
      </c>
      <c r="H826" s="158" t="s">
        <v>1025</v>
      </c>
      <c r="I826" s="158">
        <v>4</v>
      </c>
      <c r="J826" s="158" t="s">
        <v>1031</v>
      </c>
      <c r="K826" s="158" t="s">
        <v>73</v>
      </c>
      <c r="L826" s="158" t="s">
        <v>362</v>
      </c>
    </row>
    <row r="827" spans="1:12" ht="20.25" customHeight="1" x14ac:dyDescent="0.3">
      <c r="A827" s="90" t="s">
        <v>1370</v>
      </c>
      <c r="B827" s="84"/>
      <c r="C827" s="7" t="s">
        <v>1369</v>
      </c>
      <c r="D827" s="85" t="s">
        <v>1454</v>
      </c>
      <c r="E827" s="86" t="s">
        <v>110</v>
      </c>
      <c r="F827" s="158">
        <v>6</v>
      </c>
      <c r="G827" s="161">
        <v>8</v>
      </c>
      <c r="H827" s="158" t="s">
        <v>1417</v>
      </c>
      <c r="I827" s="158">
        <v>4</v>
      </c>
      <c r="J827" s="158" t="s">
        <v>1038</v>
      </c>
      <c r="K827" s="158" t="s">
        <v>73</v>
      </c>
      <c r="L827" s="158" t="s">
        <v>362</v>
      </c>
    </row>
    <row r="828" spans="1:12" ht="20.25" customHeight="1" x14ac:dyDescent="0.3">
      <c r="A828" s="90" t="s">
        <v>825</v>
      </c>
      <c r="B828" s="84"/>
      <c r="C828" s="7" t="s">
        <v>824</v>
      </c>
      <c r="D828" s="85" t="s">
        <v>1453</v>
      </c>
      <c r="E828" s="86" t="s">
        <v>110</v>
      </c>
      <c r="F828" s="158">
        <v>6</v>
      </c>
      <c r="G828" s="161">
        <v>8</v>
      </c>
      <c r="H828" s="158" t="s">
        <v>1025</v>
      </c>
      <c r="I828" s="158">
        <v>4</v>
      </c>
      <c r="J828" s="158" t="s">
        <v>1465</v>
      </c>
      <c r="K828" s="158" t="s">
        <v>73</v>
      </c>
      <c r="L828" s="158" t="s">
        <v>362</v>
      </c>
    </row>
    <row r="829" spans="1:12" ht="20.25" customHeight="1" x14ac:dyDescent="0.3">
      <c r="A829" s="90" t="s">
        <v>1372</v>
      </c>
      <c r="B829" s="84"/>
      <c r="C829" s="7" t="s">
        <v>1371</v>
      </c>
      <c r="D829" s="85" t="s">
        <v>1453</v>
      </c>
      <c r="E829" s="86" t="s">
        <v>110</v>
      </c>
      <c r="F829" s="158">
        <v>6</v>
      </c>
      <c r="G829" s="161">
        <v>8</v>
      </c>
      <c r="H829" s="158" t="s">
        <v>1025</v>
      </c>
      <c r="I829" s="158">
        <v>4</v>
      </c>
      <c r="J829" s="158" t="s">
        <v>1030</v>
      </c>
      <c r="K829" s="158" t="s">
        <v>73</v>
      </c>
      <c r="L829" s="158" t="s">
        <v>362</v>
      </c>
    </row>
    <row r="830" spans="1:12" ht="20.25" customHeight="1" x14ac:dyDescent="0.3">
      <c r="A830" s="90" t="s">
        <v>1374</v>
      </c>
      <c r="B830" s="84"/>
      <c r="C830" s="7" t="s">
        <v>1373</v>
      </c>
      <c r="D830" s="85" t="s">
        <v>1453</v>
      </c>
      <c r="E830" s="86" t="s">
        <v>110</v>
      </c>
      <c r="F830" s="158">
        <v>12</v>
      </c>
      <c r="G830" s="161">
        <v>8</v>
      </c>
      <c r="H830" s="158" t="s">
        <v>1350</v>
      </c>
      <c r="I830" s="158">
        <v>4</v>
      </c>
      <c r="J830" s="158" t="s">
        <v>1351</v>
      </c>
      <c r="K830" s="158" t="s">
        <v>73</v>
      </c>
      <c r="L830" s="158" t="s">
        <v>362</v>
      </c>
    </row>
    <row r="831" spans="1:12" ht="20.25" customHeight="1" x14ac:dyDescent="0.3">
      <c r="A831" s="90" t="s">
        <v>1376</v>
      </c>
      <c r="B831" s="84"/>
      <c r="C831" s="7" t="s">
        <v>1375</v>
      </c>
      <c r="D831" s="85" t="s">
        <v>79</v>
      </c>
      <c r="E831" s="86" t="s">
        <v>105</v>
      </c>
      <c r="F831" s="158">
        <v>4</v>
      </c>
      <c r="G831" s="161">
        <v>8</v>
      </c>
      <c r="H831" s="158" t="s">
        <v>873</v>
      </c>
      <c r="I831" s="158">
        <v>4</v>
      </c>
      <c r="J831" s="158" t="s">
        <v>868</v>
      </c>
      <c r="K831" s="158" t="s">
        <v>73</v>
      </c>
      <c r="L831" s="158" t="s">
        <v>362</v>
      </c>
    </row>
    <row r="832" spans="1:12" ht="20.25" customHeight="1" x14ac:dyDescent="0.3">
      <c r="A832" s="90" t="s">
        <v>434</v>
      </c>
      <c r="B832" s="84"/>
      <c r="C832" s="7" t="s">
        <v>433</v>
      </c>
      <c r="D832" s="85" t="s">
        <v>1453</v>
      </c>
      <c r="E832" s="86" t="s">
        <v>110</v>
      </c>
      <c r="F832" s="158">
        <v>6</v>
      </c>
      <c r="G832" s="161">
        <v>8</v>
      </c>
      <c r="H832" s="158" t="s">
        <v>1030</v>
      </c>
      <c r="I832" s="158">
        <v>4</v>
      </c>
      <c r="J832" s="158" t="s">
        <v>1031</v>
      </c>
      <c r="K832" s="158" t="s">
        <v>73</v>
      </c>
      <c r="L832" s="158" t="s">
        <v>362</v>
      </c>
    </row>
    <row r="833" spans="1:12" ht="20.25" customHeight="1" x14ac:dyDescent="0.3">
      <c r="A833" s="90" t="s">
        <v>1378</v>
      </c>
      <c r="B833" s="84"/>
      <c r="C833" s="7" t="s">
        <v>1377</v>
      </c>
      <c r="D833" s="85" t="s">
        <v>1453</v>
      </c>
      <c r="E833" s="86" t="s">
        <v>110</v>
      </c>
      <c r="F833" s="158">
        <v>6</v>
      </c>
      <c r="G833" s="161">
        <v>8</v>
      </c>
      <c r="H833" s="158" t="s">
        <v>1030</v>
      </c>
      <c r="I833" s="158">
        <v>4</v>
      </c>
      <c r="J833" s="158" t="s">
        <v>1466</v>
      </c>
      <c r="K833" s="158" t="s">
        <v>73</v>
      </c>
      <c r="L833" s="158" t="s">
        <v>362</v>
      </c>
    </row>
    <row r="834" spans="1:12" ht="20.25" customHeight="1" x14ac:dyDescent="0.3">
      <c r="A834" s="90" t="s">
        <v>1380</v>
      </c>
      <c r="B834" s="84"/>
      <c r="C834" s="7" t="s">
        <v>1379</v>
      </c>
      <c r="D834" s="85" t="s">
        <v>1453</v>
      </c>
      <c r="E834" s="86" t="s">
        <v>110</v>
      </c>
      <c r="F834" s="158">
        <v>6</v>
      </c>
      <c r="G834" s="161">
        <v>9</v>
      </c>
      <c r="H834" s="158" t="s">
        <v>1024</v>
      </c>
      <c r="I834" s="158">
        <v>5</v>
      </c>
      <c r="J834" s="158" t="s">
        <v>1022</v>
      </c>
      <c r="K834" s="158" t="s">
        <v>73</v>
      </c>
      <c r="L834" s="158" t="s">
        <v>347</v>
      </c>
    </row>
    <row r="835" spans="1:12" ht="20.25" customHeight="1" x14ac:dyDescent="0.3">
      <c r="A835" s="90" t="s">
        <v>1382</v>
      </c>
      <c r="B835" s="84"/>
      <c r="C835" s="7" t="s">
        <v>1381</v>
      </c>
      <c r="D835" s="85" t="s">
        <v>1453</v>
      </c>
      <c r="E835" s="86" t="s">
        <v>110</v>
      </c>
      <c r="F835" s="158">
        <v>6</v>
      </c>
      <c r="G835" s="161">
        <v>9</v>
      </c>
      <c r="H835" s="158" t="s">
        <v>1025</v>
      </c>
      <c r="I835" s="158">
        <v>5</v>
      </c>
      <c r="J835" s="158" t="s">
        <v>1025</v>
      </c>
      <c r="K835" s="158" t="s">
        <v>73</v>
      </c>
      <c r="L835" s="158" t="s">
        <v>362</v>
      </c>
    </row>
    <row r="836" spans="1:12" ht="20.25" customHeight="1" x14ac:dyDescent="0.3">
      <c r="A836" s="90" t="s">
        <v>1384</v>
      </c>
      <c r="B836" s="84"/>
      <c r="C836" s="7" t="s">
        <v>1383</v>
      </c>
      <c r="D836" s="85" t="s">
        <v>1453</v>
      </c>
      <c r="E836" s="86" t="s">
        <v>110</v>
      </c>
      <c r="F836" s="158">
        <v>2</v>
      </c>
      <c r="G836" s="161">
        <v>9</v>
      </c>
      <c r="H836" s="158" t="s">
        <v>1025</v>
      </c>
      <c r="I836" s="158">
        <v>5</v>
      </c>
      <c r="J836" s="158" t="s">
        <v>1026</v>
      </c>
      <c r="K836" s="158" t="s">
        <v>73</v>
      </c>
      <c r="L836" s="158" t="s">
        <v>362</v>
      </c>
    </row>
    <row r="837" spans="1:12" ht="20.25" customHeight="1" x14ac:dyDescent="0.3">
      <c r="A837" s="90" t="s">
        <v>1386</v>
      </c>
      <c r="B837" s="84"/>
      <c r="C837" s="7" t="s">
        <v>1385</v>
      </c>
      <c r="D837" s="85" t="s">
        <v>1453</v>
      </c>
      <c r="E837" s="86" t="s">
        <v>110</v>
      </c>
      <c r="F837" s="158">
        <v>12</v>
      </c>
      <c r="G837" s="161">
        <v>9</v>
      </c>
      <c r="H837" s="158" t="s">
        <v>1033</v>
      </c>
      <c r="I837" s="158">
        <v>5</v>
      </c>
      <c r="J837" s="158" t="s">
        <v>1461</v>
      </c>
      <c r="K837" s="158" t="s">
        <v>73</v>
      </c>
      <c r="L837" s="158" t="s">
        <v>352</v>
      </c>
    </row>
    <row r="838" spans="1:12" ht="20.25" customHeight="1" x14ac:dyDescent="0.3">
      <c r="A838" s="90" t="s">
        <v>831</v>
      </c>
      <c r="B838" s="84"/>
      <c r="C838" s="7" t="s">
        <v>830</v>
      </c>
      <c r="D838" s="85" t="s">
        <v>1454</v>
      </c>
      <c r="E838" s="86" t="s">
        <v>110</v>
      </c>
      <c r="F838" s="158">
        <v>12</v>
      </c>
      <c r="G838" s="161">
        <v>9</v>
      </c>
      <c r="H838" s="158" t="s">
        <v>1470</v>
      </c>
      <c r="I838" s="158">
        <v>5</v>
      </c>
      <c r="J838" s="158" t="s">
        <v>1471</v>
      </c>
      <c r="K838" s="158" t="s">
        <v>73</v>
      </c>
      <c r="L838" s="158" t="s">
        <v>362</v>
      </c>
    </row>
    <row r="839" spans="1:12" ht="20.25" customHeight="1" x14ac:dyDescent="0.3">
      <c r="A839" s="90" t="s">
        <v>1388</v>
      </c>
      <c r="B839" s="84"/>
      <c r="C839" s="7" t="s">
        <v>1387</v>
      </c>
      <c r="D839" s="85" t="s">
        <v>1453</v>
      </c>
      <c r="E839" s="86" t="s">
        <v>110</v>
      </c>
      <c r="F839" s="158">
        <v>6</v>
      </c>
      <c r="G839" s="161">
        <v>9</v>
      </c>
      <c r="H839" s="158" t="s">
        <v>1030</v>
      </c>
      <c r="I839" s="158">
        <v>5</v>
      </c>
      <c r="J839" s="158" t="s">
        <v>1025</v>
      </c>
      <c r="K839" s="158" t="s">
        <v>73</v>
      </c>
      <c r="L839" s="158" t="s">
        <v>362</v>
      </c>
    </row>
    <row r="840" spans="1:12" ht="20.25" customHeight="1" x14ac:dyDescent="0.3">
      <c r="A840" s="90" t="s">
        <v>1390</v>
      </c>
      <c r="B840" s="84"/>
      <c r="C840" s="7" t="s">
        <v>1389</v>
      </c>
      <c r="D840" s="85" t="s">
        <v>1453</v>
      </c>
      <c r="E840" s="86" t="s">
        <v>110</v>
      </c>
      <c r="F840" s="158">
        <v>6</v>
      </c>
      <c r="G840" s="161">
        <v>9</v>
      </c>
      <c r="H840" s="158" t="s">
        <v>1019</v>
      </c>
      <c r="I840" s="158">
        <v>5</v>
      </c>
      <c r="J840" s="158" t="s">
        <v>1019</v>
      </c>
      <c r="K840" s="158" t="s">
        <v>73</v>
      </c>
      <c r="L840" s="158" t="s">
        <v>338</v>
      </c>
    </row>
    <row r="841" spans="1:12" ht="20.25" customHeight="1" x14ac:dyDescent="0.3">
      <c r="A841" s="90" t="s">
        <v>1392</v>
      </c>
      <c r="B841" s="84"/>
      <c r="C841" s="7" t="s">
        <v>1391</v>
      </c>
      <c r="D841" s="85" t="s">
        <v>1453</v>
      </c>
      <c r="E841" s="86" t="s">
        <v>110</v>
      </c>
      <c r="F841" s="158">
        <v>6</v>
      </c>
      <c r="G841" s="161">
        <v>9</v>
      </c>
      <c r="H841" s="158" t="s">
        <v>1030</v>
      </c>
      <c r="I841" s="158">
        <v>5</v>
      </c>
      <c r="J841" s="158" t="s">
        <v>1469</v>
      </c>
      <c r="K841" s="158" t="s">
        <v>73</v>
      </c>
      <c r="L841" s="158" t="s">
        <v>362</v>
      </c>
    </row>
    <row r="842" spans="1:12" ht="20.25" customHeight="1" x14ac:dyDescent="0.3">
      <c r="A842" s="90" t="s">
        <v>402</v>
      </c>
      <c r="B842" s="84"/>
      <c r="C842" s="7" t="s">
        <v>401</v>
      </c>
      <c r="D842" s="85" t="s">
        <v>79</v>
      </c>
      <c r="E842" s="86" t="s">
        <v>106</v>
      </c>
      <c r="F842" s="158">
        <v>6</v>
      </c>
      <c r="G842" s="161">
        <v>7</v>
      </c>
      <c r="H842" s="158" t="s">
        <v>199</v>
      </c>
      <c r="I842" s="158">
        <v>4</v>
      </c>
      <c r="J842" s="158" t="s">
        <v>199</v>
      </c>
      <c r="K842" s="158" t="s">
        <v>73</v>
      </c>
      <c r="L842" s="158">
        <v>2010</v>
      </c>
    </row>
    <row r="843" spans="1:12" ht="20.25" customHeight="1" x14ac:dyDescent="0.3">
      <c r="A843" s="90" t="s">
        <v>1394</v>
      </c>
      <c r="B843" s="84"/>
      <c r="C843" s="7" t="s">
        <v>1393</v>
      </c>
      <c r="D843" s="85" t="s">
        <v>1453</v>
      </c>
      <c r="E843" s="86" t="s">
        <v>110</v>
      </c>
      <c r="F843" s="158">
        <v>6</v>
      </c>
      <c r="G843" s="161">
        <v>7</v>
      </c>
      <c r="H843" s="158" t="s">
        <v>1027</v>
      </c>
      <c r="I843" s="158">
        <v>4</v>
      </c>
      <c r="J843" s="158" t="s">
        <v>1462</v>
      </c>
      <c r="K843" s="158" t="s">
        <v>73</v>
      </c>
      <c r="L843" s="158" t="s">
        <v>367</v>
      </c>
    </row>
    <row r="844" spans="1:12" ht="20.25" customHeight="1" x14ac:dyDescent="0.3">
      <c r="A844" s="90" t="s">
        <v>1396</v>
      </c>
      <c r="B844" s="84"/>
      <c r="C844" s="7" t="s">
        <v>1395</v>
      </c>
      <c r="D844" s="85" t="s">
        <v>1453</v>
      </c>
      <c r="E844" s="86" t="s">
        <v>110</v>
      </c>
      <c r="F844" s="158">
        <v>6</v>
      </c>
      <c r="G844" s="161">
        <v>9</v>
      </c>
      <c r="H844" s="158" t="s">
        <v>1467</v>
      </c>
      <c r="I844" s="158">
        <v>5</v>
      </c>
      <c r="J844" s="158" t="s">
        <v>1468</v>
      </c>
      <c r="K844" s="158" t="s">
        <v>73</v>
      </c>
      <c r="L844" s="158" t="s">
        <v>369</v>
      </c>
    </row>
    <row r="845" spans="1:12" ht="20.25" customHeight="1" x14ac:dyDescent="0.3">
      <c r="A845" s="90" t="s">
        <v>388</v>
      </c>
      <c r="B845" s="84"/>
      <c r="C845" s="7" t="s">
        <v>387</v>
      </c>
      <c r="D845" s="85" t="s">
        <v>79</v>
      </c>
      <c r="E845" s="86" t="s">
        <v>110</v>
      </c>
      <c r="F845" s="158">
        <v>6</v>
      </c>
      <c r="G845" s="161">
        <v>7</v>
      </c>
      <c r="H845" s="158" t="s">
        <v>868</v>
      </c>
      <c r="I845" s="158">
        <v>4</v>
      </c>
      <c r="J845" s="158" t="s">
        <v>874</v>
      </c>
      <c r="K845" s="158" t="s">
        <v>73</v>
      </c>
      <c r="L845" s="158" t="s">
        <v>362</v>
      </c>
    </row>
    <row r="846" spans="1:12" ht="20.25" customHeight="1" x14ac:dyDescent="0.3">
      <c r="A846" s="90" t="s">
        <v>398</v>
      </c>
      <c r="B846" s="84"/>
      <c r="C846" s="7" t="s">
        <v>397</v>
      </c>
      <c r="D846" s="85" t="s">
        <v>79</v>
      </c>
      <c r="E846" s="86" t="s">
        <v>110</v>
      </c>
      <c r="F846" s="158">
        <v>6</v>
      </c>
      <c r="G846" s="161">
        <v>7</v>
      </c>
      <c r="H846" s="158" t="s">
        <v>881</v>
      </c>
      <c r="I846" s="158">
        <v>4</v>
      </c>
      <c r="J846" s="158" t="s">
        <v>882</v>
      </c>
      <c r="K846" s="158" t="s">
        <v>73</v>
      </c>
      <c r="L846" s="158" t="s">
        <v>362</v>
      </c>
    </row>
    <row r="847" spans="1:12" ht="20.25" customHeight="1" x14ac:dyDescent="0.3">
      <c r="A847" s="90" t="s">
        <v>400</v>
      </c>
      <c r="B847" s="84"/>
      <c r="C847" s="7" t="s">
        <v>399</v>
      </c>
      <c r="D847" s="85" t="s">
        <v>79</v>
      </c>
      <c r="E847" s="86" t="s">
        <v>110</v>
      </c>
      <c r="F847" s="158">
        <v>6</v>
      </c>
      <c r="G847" s="161">
        <v>7</v>
      </c>
      <c r="H847" s="158" t="s">
        <v>873</v>
      </c>
      <c r="I847" s="158">
        <v>4</v>
      </c>
      <c r="J847" s="158" t="s">
        <v>874</v>
      </c>
      <c r="K847" s="158" t="s">
        <v>73</v>
      </c>
      <c r="L847" s="158" t="s">
        <v>362</v>
      </c>
    </row>
    <row r="848" spans="1:12" ht="20.25" customHeight="1" x14ac:dyDescent="0.3">
      <c r="A848" s="90" t="s">
        <v>412</v>
      </c>
      <c r="B848" s="84"/>
      <c r="C848" s="7" t="s">
        <v>411</v>
      </c>
      <c r="D848" s="85" t="s">
        <v>79</v>
      </c>
      <c r="E848" s="86" t="s">
        <v>110</v>
      </c>
      <c r="F848" s="158">
        <v>6</v>
      </c>
      <c r="G848" s="161">
        <v>8</v>
      </c>
      <c r="H848" s="158" t="s">
        <v>444</v>
      </c>
      <c r="I848" s="158">
        <v>4</v>
      </c>
      <c r="J848" s="158" t="s">
        <v>841</v>
      </c>
      <c r="K848" s="158" t="s">
        <v>73</v>
      </c>
      <c r="L848" s="158" t="s">
        <v>338</v>
      </c>
    </row>
    <row r="849" spans="1:12" ht="20.25" customHeight="1" x14ac:dyDescent="0.3">
      <c r="A849" s="90" t="s">
        <v>414</v>
      </c>
      <c r="B849" s="84"/>
      <c r="C849" s="7" t="s">
        <v>413</v>
      </c>
      <c r="D849" s="85" t="s">
        <v>1522</v>
      </c>
      <c r="E849" s="86" t="s">
        <v>110</v>
      </c>
      <c r="F849" s="158">
        <v>6</v>
      </c>
      <c r="G849" s="161">
        <v>8</v>
      </c>
      <c r="H849" s="158" t="s">
        <v>1350</v>
      </c>
      <c r="I849" s="158">
        <v>4</v>
      </c>
      <c r="J849" s="158" t="s">
        <v>1536</v>
      </c>
      <c r="K849" s="158" t="s">
        <v>73</v>
      </c>
      <c r="L849" s="158" t="s">
        <v>362</v>
      </c>
    </row>
    <row r="850" spans="1:12" ht="20.25" customHeight="1" x14ac:dyDescent="0.3">
      <c r="A850" s="90" t="s">
        <v>416</v>
      </c>
      <c r="B850" s="84"/>
      <c r="C850" s="7" t="s">
        <v>415</v>
      </c>
      <c r="D850" s="85" t="s">
        <v>1442</v>
      </c>
      <c r="E850" s="86" t="s">
        <v>110</v>
      </c>
      <c r="F850" s="158">
        <v>6</v>
      </c>
      <c r="G850" s="161">
        <v>8</v>
      </c>
      <c r="H850" s="158" t="s">
        <v>1025</v>
      </c>
      <c r="I850" s="158">
        <v>4</v>
      </c>
      <c r="J850" s="158" t="s">
        <v>1025</v>
      </c>
      <c r="K850" s="158" t="s">
        <v>73</v>
      </c>
      <c r="L850" s="158" t="s">
        <v>362</v>
      </c>
    </row>
    <row r="851" spans="1:12" ht="20.25" customHeight="1" x14ac:dyDescent="0.3">
      <c r="A851" s="90" t="s">
        <v>1399</v>
      </c>
      <c r="B851" s="84"/>
      <c r="C851" s="7" t="s">
        <v>1398</v>
      </c>
      <c r="D851" s="85" t="s">
        <v>79</v>
      </c>
      <c r="E851" s="86" t="s">
        <v>110</v>
      </c>
      <c r="F851" s="158">
        <v>6</v>
      </c>
      <c r="G851" s="161">
        <v>8</v>
      </c>
      <c r="H851" s="158" t="s">
        <v>443</v>
      </c>
      <c r="I851" s="158">
        <v>4</v>
      </c>
      <c r="J851" s="158" t="s">
        <v>443</v>
      </c>
      <c r="K851" s="158" t="s">
        <v>73</v>
      </c>
      <c r="L851" s="158" t="s">
        <v>338</v>
      </c>
    </row>
    <row r="852" spans="1:12" ht="20.25" customHeight="1" x14ac:dyDescent="0.3">
      <c r="A852" s="90" t="s">
        <v>424</v>
      </c>
      <c r="B852" s="84"/>
      <c r="C852" s="7" t="s">
        <v>423</v>
      </c>
      <c r="D852" s="85" t="s">
        <v>1442</v>
      </c>
      <c r="E852" s="86" t="s">
        <v>110</v>
      </c>
      <c r="F852" s="158">
        <v>6</v>
      </c>
      <c r="G852" s="161">
        <v>8</v>
      </c>
      <c r="H852" s="158" t="s">
        <v>1030</v>
      </c>
      <c r="I852" s="158">
        <v>4</v>
      </c>
      <c r="J852" s="158" t="s">
        <v>1026</v>
      </c>
      <c r="K852" s="158" t="s">
        <v>73</v>
      </c>
      <c r="L852" s="158" t="s">
        <v>362</v>
      </c>
    </row>
    <row r="853" spans="1:12" ht="20.25" customHeight="1" x14ac:dyDescent="0.3">
      <c r="A853" s="90" t="s">
        <v>1401</v>
      </c>
      <c r="B853" s="84"/>
      <c r="C853" s="7" t="s">
        <v>1400</v>
      </c>
      <c r="D853" s="85" t="s">
        <v>79</v>
      </c>
      <c r="E853" s="86" t="s">
        <v>110</v>
      </c>
      <c r="F853" s="158">
        <v>12</v>
      </c>
      <c r="G853" s="161">
        <v>9</v>
      </c>
      <c r="H853" s="158" t="s">
        <v>876</v>
      </c>
      <c r="I853" s="158">
        <v>5</v>
      </c>
      <c r="J853" s="158" t="s">
        <v>368</v>
      </c>
      <c r="K853" s="158" t="s">
        <v>73</v>
      </c>
      <c r="L853" s="158" t="s">
        <v>362</v>
      </c>
    </row>
    <row r="854" spans="1:12" ht="20.25" customHeight="1" x14ac:dyDescent="0.3">
      <c r="A854" s="90" t="s">
        <v>1403</v>
      </c>
      <c r="B854" s="84"/>
      <c r="C854" s="7" t="s">
        <v>1402</v>
      </c>
      <c r="D854" s="85" t="s">
        <v>79</v>
      </c>
      <c r="E854" s="86" t="s">
        <v>110</v>
      </c>
      <c r="F854" s="158">
        <v>6</v>
      </c>
      <c r="G854" s="161">
        <v>9</v>
      </c>
      <c r="H854" s="158" t="s">
        <v>925</v>
      </c>
      <c r="I854" s="158">
        <v>5</v>
      </c>
      <c r="J854" s="158" t="s">
        <v>1420</v>
      </c>
      <c r="K854" s="158" t="s">
        <v>73</v>
      </c>
      <c r="L854" s="158" t="s">
        <v>362</v>
      </c>
    </row>
    <row r="855" spans="1:12" ht="20.25" customHeight="1" x14ac:dyDescent="0.3">
      <c r="A855" s="90" t="s">
        <v>1405</v>
      </c>
      <c r="B855" s="84"/>
      <c r="C855" s="7" t="s">
        <v>1404</v>
      </c>
      <c r="D855" s="85" t="s">
        <v>79</v>
      </c>
      <c r="E855" s="86" t="s">
        <v>110</v>
      </c>
      <c r="F855" s="158">
        <v>6</v>
      </c>
      <c r="G855" s="161">
        <v>9</v>
      </c>
      <c r="H855" s="158" t="s">
        <v>876</v>
      </c>
      <c r="I855" s="158">
        <v>5</v>
      </c>
      <c r="J855" s="158" t="s">
        <v>376</v>
      </c>
      <c r="K855" s="158" t="s">
        <v>73</v>
      </c>
      <c r="L855" s="158" t="s">
        <v>362</v>
      </c>
    </row>
    <row r="856" spans="1:12" ht="20.25" customHeight="1" x14ac:dyDescent="0.3">
      <c r="A856" s="90" t="s">
        <v>1407</v>
      </c>
      <c r="B856" s="84"/>
      <c r="C856" s="7" t="s">
        <v>1406</v>
      </c>
      <c r="D856" s="85" t="s">
        <v>1522</v>
      </c>
      <c r="E856" s="86" t="s">
        <v>110</v>
      </c>
      <c r="F856" s="158">
        <v>6</v>
      </c>
      <c r="G856" s="161">
        <v>9</v>
      </c>
      <c r="H856" s="158" t="s">
        <v>1527</v>
      </c>
      <c r="I856" s="158">
        <v>5</v>
      </c>
      <c r="J856" s="158" t="s">
        <v>1528</v>
      </c>
      <c r="K856" s="158" t="s">
        <v>73</v>
      </c>
      <c r="L856" s="158" t="s">
        <v>362</v>
      </c>
    </row>
    <row r="857" spans="1:12" ht="20.25" customHeight="1" x14ac:dyDescent="0.3">
      <c r="A857" s="90" t="s">
        <v>1412</v>
      </c>
      <c r="B857" s="84"/>
      <c r="C857" s="7" t="s">
        <v>1411</v>
      </c>
      <c r="D857" s="85" t="s">
        <v>79</v>
      </c>
      <c r="E857" s="86" t="s">
        <v>110</v>
      </c>
      <c r="F857" s="158">
        <v>12</v>
      </c>
      <c r="G857" s="161">
        <v>8</v>
      </c>
      <c r="H857" s="158" t="s">
        <v>851</v>
      </c>
      <c r="I857" s="158">
        <v>4</v>
      </c>
      <c r="J857" s="158" t="s">
        <v>529</v>
      </c>
      <c r="K857" s="158" t="s">
        <v>73</v>
      </c>
      <c r="L857" s="158" t="s">
        <v>679</v>
      </c>
    </row>
    <row r="858" spans="1:12" ht="20.25" customHeight="1" x14ac:dyDescent="0.3">
      <c r="A858" s="90" t="s">
        <v>1414</v>
      </c>
      <c r="B858" s="84"/>
      <c r="C858" s="7" t="s">
        <v>1413</v>
      </c>
      <c r="D858" s="85" t="s">
        <v>79</v>
      </c>
      <c r="E858" s="86" t="s">
        <v>110</v>
      </c>
      <c r="F858" s="158">
        <v>6</v>
      </c>
      <c r="G858" s="161">
        <v>9</v>
      </c>
      <c r="H858" s="158" t="s">
        <v>527</v>
      </c>
      <c r="I858" s="158">
        <v>5</v>
      </c>
      <c r="J858" s="158" t="s">
        <v>527</v>
      </c>
      <c r="K858" s="158" t="s">
        <v>73</v>
      </c>
      <c r="L858" s="158" t="s">
        <v>679</v>
      </c>
    </row>
    <row r="859" spans="1:12" ht="20.25" customHeight="1" x14ac:dyDescent="0.3">
      <c r="A859" s="90" t="s">
        <v>1422</v>
      </c>
      <c r="B859" s="84"/>
      <c r="C859" s="7" t="s">
        <v>1421</v>
      </c>
      <c r="D859" s="85" t="s">
        <v>75</v>
      </c>
      <c r="E859" s="86" t="s">
        <v>110</v>
      </c>
      <c r="F859" s="158">
        <v>6</v>
      </c>
      <c r="G859" s="161">
        <v>8</v>
      </c>
      <c r="H859" s="158" t="s">
        <v>543</v>
      </c>
      <c r="I859" s="158">
        <v>4</v>
      </c>
      <c r="J859" s="158" t="s">
        <v>543</v>
      </c>
      <c r="K859" s="158" t="s">
        <v>73</v>
      </c>
      <c r="L859" s="158" t="s">
        <v>1339</v>
      </c>
    </row>
    <row r="860" spans="1:12" ht="20.25" customHeight="1" x14ac:dyDescent="0.3">
      <c r="A860" s="90" t="s">
        <v>480</v>
      </c>
      <c r="B860" s="84"/>
      <c r="C860" s="7" t="s">
        <v>479</v>
      </c>
      <c r="D860" s="85" t="s">
        <v>75</v>
      </c>
      <c r="E860" s="86" t="s">
        <v>110</v>
      </c>
      <c r="F860" s="158">
        <v>6</v>
      </c>
      <c r="G860" s="161">
        <v>8</v>
      </c>
      <c r="H860" s="158" t="s">
        <v>868</v>
      </c>
      <c r="I860" s="158">
        <v>4</v>
      </c>
      <c r="J860" s="158" t="s">
        <v>874</v>
      </c>
      <c r="K860" s="158" t="s">
        <v>73</v>
      </c>
      <c r="L860" s="158" t="s">
        <v>362</v>
      </c>
    </row>
    <row r="861" spans="1:12" ht="20.25" customHeight="1" x14ac:dyDescent="0.3">
      <c r="A861" s="90" t="s">
        <v>1316</v>
      </c>
      <c r="B861" s="84"/>
      <c r="C861" s="7" t="s">
        <v>1315</v>
      </c>
      <c r="D861" s="85" t="s">
        <v>75</v>
      </c>
      <c r="E861" s="86" t="s">
        <v>110</v>
      </c>
      <c r="F861" s="158">
        <v>6</v>
      </c>
      <c r="G861" s="161">
        <v>9</v>
      </c>
      <c r="H861" s="158" t="s">
        <v>868</v>
      </c>
      <c r="I861" s="158">
        <v>5</v>
      </c>
      <c r="J861" s="158" t="s">
        <v>1340</v>
      </c>
      <c r="K861" s="158" t="s">
        <v>73</v>
      </c>
      <c r="L861" s="158" t="s">
        <v>362</v>
      </c>
    </row>
    <row r="862" spans="1:12" ht="20.25" customHeight="1" x14ac:dyDescent="0.3">
      <c r="A862" s="90" t="s">
        <v>224</v>
      </c>
      <c r="B862" s="84"/>
      <c r="C862" s="7" t="s">
        <v>223</v>
      </c>
      <c r="D862" s="85" t="s">
        <v>75</v>
      </c>
      <c r="E862" s="86" t="s">
        <v>106</v>
      </c>
      <c r="F862" s="158">
        <v>6</v>
      </c>
      <c r="G862" s="161">
        <v>9</v>
      </c>
      <c r="H862" s="158" t="s">
        <v>543</v>
      </c>
      <c r="I862" s="158">
        <v>5</v>
      </c>
      <c r="J862" s="158" t="s">
        <v>543</v>
      </c>
      <c r="K862" s="158" t="s">
        <v>73</v>
      </c>
      <c r="L862" s="158" t="s">
        <v>352</v>
      </c>
    </row>
    <row r="863" spans="1:12" ht="20.25" customHeight="1" x14ac:dyDescent="0.3">
      <c r="A863" s="90" t="s">
        <v>1049</v>
      </c>
      <c r="B863" s="84"/>
      <c r="C863" s="7" t="s">
        <v>1048</v>
      </c>
      <c r="D863" s="85" t="s">
        <v>75</v>
      </c>
      <c r="E863" s="86" t="s">
        <v>110</v>
      </c>
      <c r="F863" s="158">
        <v>6</v>
      </c>
      <c r="G863" s="161">
        <v>9</v>
      </c>
      <c r="H863" s="158" t="s">
        <v>1057</v>
      </c>
      <c r="I863" s="158">
        <v>5</v>
      </c>
      <c r="J863" s="158" t="s">
        <v>873</v>
      </c>
      <c r="K863" s="158" t="s">
        <v>73</v>
      </c>
      <c r="L863" s="158" t="s">
        <v>362</v>
      </c>
    </row>
    <row r="864" spans="1:12" ht="20.25" customHeight="1" x14ac:dyDescent="0.3">
      <c r="A864" s="90" t="s">
        <v>1081</v>
      </c>
      <c r="B864" s="84"/>
      <c r="C864" s="7" t="s">
        <v>1080</v>
      </c>
      <c r="D864" s="85" t="s">
        <v>75</v>
      </c>
      <c r="E864" s="86" t="s">
        <v>106</v>
      </c>
      <c r="F864" s="158">
        <v>6</v>
      </c>
      <c r="G864" s="161">
        <v>8</v>
      </c>
      <c r="H864" s="158" t="s">
        <v>534</v>
      </c>
      <c r="I864" s="158">
        <v>4</v>
      </c>
      <c r="J864" s="158" t="s">
        <v>860</v>
      </c>
      <c r="K864" s="158" t="s">
        <v>73</v>
      </c>
      <c r="L864" s="158" t="s">
        <v>369</v>
      </c>
    </row>
    <row r="865" spans="1:12" ht="20.25" customHeight="1" x14ac:dyDescent="0.3">
      <c r="A865" s="90" t="s">
        <v>224</v>
      </c>
      <c r="B865" s="84"/>
      <c r="C865" s="7" t="s">
        <v>223</v>
      </c>
      <c r="D865" s="85" t="s">
        <v>75</v>
      </c>
      <c r="E865" s="86" t="s">
        <v>106</v>
      </c>
      <c r="F865" s="158">
        <v>6</v>
      </c>
      <c r="G865" s="161">
        <v>8</v>
      </c>
      <c r="H865" s="158">
        <v>1</v>
      </c>
      <c r="I865" s="158">
        <v>4</v>
      </c>
      <c r="J865" s="158">
        <v>3</v>
      </c>
      <c r="K865" s="158" t="s">
        <v>73</v>
      </c>
      <c r="L865" s="158">
        <v>2014</v>
      </c>
    </row>
    <row r="866" spans="1:12" ht="20.25" customHeight="1" x14ac:dyDescent="0.3">
      <c r="A866" s="90" t="s">
        <v>438</v>
      </c>
      <c r="B866" s="84"/>
      <c r="C866" s="7" t="s">
        <v>437</v>
      </c>
      <c r="D866" s="85" t="s">
        <v>74</v>
      </c>
      <c r="E866" s="86" t="s">
        <v>110</v>
      </c>
      <c r="F866" s="158">
        <v>6</v>
      </c>
      <c r="G866" s="161">
        <v>7</v>
      </c>
      <c r="H866" s="158" t="s">
        <v>868</v>
      </c>
      <c r="I866" s="158">
        <v>4</v>
      </c>
      <c r="J866" s="158" t="s">
        <v>883</v>
      </c>
      <c r="K866" s="158" t="s">
        <v>73</v>
      </c>
      <c r="L866" s="158" t="s">
        <v>362</v>
      </c>
    </row>
    <row r="867" spans="1:12" ht="20.25" customHeight="1" x14ac:dyDescent="0.3">
      <c r="A867" s="90" t="s">
        <v>1440</v>
      </c>
      <c r="B867" s="84"/>
      <c r="C867" s="7" t="s">
        <v>1439</v>
      </c>
      <c r="D867" s="85" t="s">
        <v>74</v>
      </c>
      <c r="E867" s="86" t="s">
        <v>110</v>
      </c>
      <c r="F867" s="158">
        <v>6</v>
      </c>
      <c r="G867" s="161">
        <v>7</v>
      </c>
      <c r="H867" s="158" t="s">
        <v>873</v>
      </c>
      <c r="I867" s="158">
        <v>4</v>
      </c>
      <c r="J867" s="158" t="s">
        <v>868</v>
      </c>
      <c r="K867" s="158" t="s">
        <v>73</v>
      </c>
      <c r="L867" s="158" t="s">
        <v>362</v>
      </c>
    </row>
    <row r="868" spans="1:12" ht="20.25" customHeight="1" x14ac:dyDescent="0.3">
      <c r="A868" s="90" t="s">
        <v>420</v>
      </c>
      <c r="B868" s="84"/>
      <c r="C868" s="7" t="s">
        <v>419</v>
      </c>
      <c r="D868" s="85" t="s">
        <v>74</v>
      </c>
      <c r="E868" s="86" t="s">
        <v>110</v>
      </c>
      <c r="F868" s="158">
        <v>6</v>
      </c>
      <c r="G868" s="161">
        <v>8</v>
      </c>
      <c r="H868" s="158" t="s">
        <v>868</v>
      </c>
      <c r="I868" s="158">
        <v>4</v>
      </c>
      <c r="J868" s="158" t="s">
        <v>874</v>
      </c>
      <c r="K868" s="158" t="s">
        <v>73</v>
      </c>
      <c r="L868" s="158" t="s">
        <v>362</v>
      </c>
    </row>
    <row r="869" spans="1:12" ht="20.25" customHeight="1" x14ac:dyDescent="0.3">
      <c r="A869" s="90" t="s">
        <v>418</v>
      </c>
      <c r="B869" s="84"/>
      <c r="C869" s="7" t="s">
        <v>417</v>
      </c>
      <c r="D869" s="85" t="s">
        <v>74</v>
      </c>
      <c r="E869" s="86" t="s">
        <v>110</v>
      </c>
      <c r="F869" s="158">
        <v>6</v>
      </c>
      <c r="G869" s="161">
        <v>8</v>
      </c>
      <c r="H869" s="158" t="s">
        <v>876</v>
      </c>
      <c r="I869" s="158">
        <v>4</v>
      </c>
      <c r="J869" s="158" t="s">
        <v>1452</v>
      </c>
      <c r="K869" s="158" t="s">
        <v>73</v>
      </c>
      <c r="L869" s="158" t="s">
        <v>362</v>
      </c>
    </row>
    <row r="870" spans="1:12" ht="20.25" customHeight="1" x14ac:dyDescent="0.3">
      <c r="A870" s="90" t="s">
        <v>426</v>
      </c>
      <c r="B870" s="84"/>
      <c r="C870" s="7" t="s">
        <v>425</v>
      </c>
      <c r="D870" s="85" t="s">
        <v>74</v>
      </c>
      <c r="E870" s="86" t="s">
        <v>110</v>
      </c>
      <c r="F870" s="158">
        <v>6</v>
      </c>
      <c r="G870" s="161">
        <v>8</v>
      </c>
      <c r="H870" s="158" t="s">
        <v>873</v>
      </c>
      <c r="I870" s="158">
        <v>4</v>
      </c>
      <c r="J870" s="158" t="s">
        <v>883</v>
      </c>
      <c r="K870" s="158" t="s">
        <v>73</v>
      </c>
      <c r="L870" s="158" t="s">
        <v>362</v>
      </c>
    </row>
    <row r="871" spans="1:12" ht="20.25" customHeight="1" x14ac:dyDescent="0.3">
      <c r="A871" s="90" t="s">
        <v>436</v>
      </c>
      <c r="B871" s="84"/>
      <c r="C871" s="7" t="s">
        <v>435</v>
      </c>
      <c r="D871" s="85" t="s">
        <v>74</v>
      </c>
      <c r="E871" s="86" t="s">
        <v>110</v>
      </c>
      <c r="F871" s="158">
        <v>6</v>
      </c>
      <c r="G871" s="161">
        <v>9</v>
      </c>
      <c r="H871" s="158" t="s">
        <v>543</v>
      </c>
      <c r="I871" s="158">
        <v>5</v>
      </c>
      <c r="J871" s="158" t="s">
        <v>543</v>
      </c>
      <c r="K871" s="158" t="s">
        <v>73</v>
      </c>
      <c r="L871" s="158" t="s">
        <v>890</v>
      </c>
    </row>
    <row r="872" spans="1:12" ht="20.25" customHeight="1" x14ac:dyDescent="0.3">
      <c r="A872" s="90" t="s">
        <v>221</v>
      </c>
      <c r="B872" s="84"/>
      <c r="C872" s="7" t="s">
        <v>220</v>
      </c>
      <c r="D872" s="85" t="s">
        <v>74</v>
      </c>
      <c r="E872" s="86" t="s">
        <v>110</v>
      </c>
      <c r="F872" s="158">
        <v>6</v>
      </c>
      <c r="G872" s="161">
        <v>9</v>
      </c>
      <c r="H872" s="158" t="s">
        <v>868</v>
      </c>
      <c r="I872" s="158">
        <v>5</v>
      </c>
      <c r="J872" s="158" t="s">
        <v>873</v>
      </c>
      <c r="K872" s="158" t="s">
        <v>73</v>
      </c>
      <c r="L872" s="158" t="s">
        <v>362</v>
      </c>
    </row>
    <row r="873" spans="1:12" ht="20.25" customHeight="1" x14ac:dyDescent="0.3">
      <c r="A873" s="90" t="s">
        <v>1446</v>
      </c>
      <c r="B873" s="84"/>
      <c r="C873" s="7" t="s">
        <v>1445</v>
      </c>
      <c r="D873" s="85" t="s">
        <v>74</v>
      </c>
      <c r="E873" s="86" t="s">
        <v>110</v>
      </c>
      <c r="F873" s="158">
        <v>12</v>
      </c>
      <c r="G873" s="161">
        <v>9</v>
      </c>
      <c r="H873" s="158" t="s">
        <v>864</v>
      </c>
      <c r="I873" s="158">
        <v>5</v>
      </c>
      <c r="J873" s="158" t="s">
        <v>359</v>
      </c>
      <c r="K873" s="158" t="s">
        <v>73</v>
      </c>
      <c r="L873" s="158" t="s">
        <v>367</v>
      </c>
    </row>
    <row r="874" spans="1:12" ht="20.25" customHeight="1" x14ac:dyDescent="0.3">
      <c r="A874" s="90" t="s">
        <v>787</v>
      </c>
      <c r="B874" s="84"/>
      <c r="C874" s="7" t="s">
        <v>786</v>
      </c>
      <c r="D874" s="85" t="s">
        <v>198</v>
      </c>
      <c r="E874" s="86" t="s">
        <v>110</v>
      </c>
      <c r="F874" s="158">
        <v>12</v>
      </c>
      <c r="G874" s="161">
        <v>7</v>
      </c>
      <c r="H874" s="158" t="s">
        <v>199</v>
      </c>
      <c r="I874" s="158">
        <v>4</v>
      </c>
      <c r="J874" s="158" t="s">
        <v>199</v>
      </c>
      <c r="K874" s="158" t="s">
        <v>73</v>
      </c>
      <c r="L874" s="158">
        <v>2009</v>
      </c>
    </row>
    <row r="875" spans="1:12" ht="20.25" customHeight="1" x14ac:dyDescent="0.3">
      <c r="A875" s="90" t="s">
        <v>1353</v>
      </c>
      <c r="B875" s="84"/>
      <c r="C875" s="7" t="s">
        <v>1352</v>
      </c>
      <c r="D875" s="85" t="s">
        <v>198</v>
      </c>
      <c r="E875" s="86" t="s">
        <v>110</v>
      </c>
      <c r="F875" s="158">
        <v>6</v>
      </c>
      <c r="G875" s="161">
        <v>9</v>
      </c>
      <c r="H875" s="158" t="s">
        <v>868</v>
      </c>
      <c r="I875" s="158">
        <v>5</v>
      </c>
      <c r="J875" s="158" t="s">
        <v>883</v>
      </c>
      <c r="K875" s="158" t="s">
        <v>73</v>
      </c>
      <c r="L875" s="158" t="s">
        <v>362</v>
      </c>
    </row>
    <row r="876" spans="1:12" ht="20.25" customHeight="1" x14ac:dyDescent="0.3">
      <c r="A876" s="90" t="s">
        <v>1456</v>
      </c>
      <c r="B876" s="84"/>
      <c r="C876" s="7" t="s">
        <v>1455</v>
      </c>
      <c r="D876" s="85" t="s">
        <v>198</v>
      </c>
      <c r="E876" s="86" t="s">
        <v>110</v>
      </c>
      <c r="F876" s="158">
        <v>6</v>
      </c>
      <c r="G876" s="161">
        <v>9</v>
      </c>
      <c r="H876" s="158">
        <v>1</v>
      </c>
      <c r="I876" s="158">
        <v>5</v>
      </c>
      <c r="J876" s="158">
        <v>2</v>
      </c>
      <c r="K876" s="158" t="s">
        <v>73</v>
      </c>
      <c r="L876" s="158" t="s">
        <v>1587</v>
      </c>
    </row>
    <row r="877" spans="1:12" ht="20.25" customHeight="1" x14ac:dyDescent="0.3">
      <c r="A877" s="90" t="s">
        <v>787</v>
      </c>
      <c r="B877" s="84"/>
      <c r="C877" s="7" t="s">
        <v>1457</v>
      </c>
      <c r="D877" s="85" t="s">
        <v>198</v>
      </c>
      <c r="E877" s="86" t="s">
        <v>106</v>
      </c>
      <c r="F877" s="158">
        <v>6</v>
      </c>
      <c r="G877" s="161">
        <v>8</v>
      </c>
      <c r="H877" s="158" t="s">
        <v>861</v>
      </c>
      <c r="I877" s="158">
        <v>4</v>
      </c>
      <c r="J877" s="158" t="s">
        <v>348</v>
      </c>
      <c r="K877" s="158" t="s">
        <v>73</v>
      </c>
      <c r="L877" s="158" t="s">
        <v>369</v>
      </c>
    </row>
    <row r="878" spans="1:12" ht="20.25" customHeight="1" x14ac:dyDescent="0.3">
      <c r="A878" s="90" t="s">
        <v>1456</v>
      </c>
      <c r="B878" s="84"/>
      <c r="C878" s="7" t="s">
        <v>1458</v>
      </c>
      <c r="D878" s="85" t="s">
        <v>198</v>
      </c>
      <c r="E878" s="86" t="s">
        <v>110</v>
      </c>
      <c r="F878" s="158">
        <v>6</v>
      </c>
      <c r="G878" s="161">
        <v>9</v>
      </c>
      <c r="H878" s="158" t="s">
        <v>534</v>
      </c>
      <c r="I878" s="158">
        <v>5</v>
      </c>
      <c r="J878" s="158" t="s">
        <v>533</v>
      </c>
      <c r="K878" s="158" t="s">
        <v>73</v>
      </c>
      <c r="L878" s="158" t="s">
        <v>369</v>
      </c>
    </row>
    <row r="879" spans="1:12" ht="20.25" customHeight="1" x14ac:dyDescent="0.3">
      <c r="A879" s="90" t="s">
        <v>1083</v>
      </c>
      <c r="B879" s="84"/>
      <c r="C879" s="7" t="s">
        <v>1082</v>
      </c>
      <c r="D879" s="85" t="s">
        <v>198</v>
      </c>
      <c r="E879" s="86" t="s">
        <v>110</v>
      </c>
      <c r="F879" s="158">
        <v>6</v>
      </c>
      <c r="G879" s="161">
        <v>9</v>
      </c>
      <c r="H879" s="158" t="s">
        <v>533</v>
      </c>
      <c r="I879" s="158">
        <v>5</v>
      </c>
      <c r="J879" s="158" t="s">
        <v>1117</v>
      </c>
      <c r="K879" s="158" t="s">
        <v>73</v>
      </c>
      <c r="L879" s="158" t="s">
        <v>369</v>
      </c>
    </row>
    <row r="880" spans="1:12" ht="20.25" customHeight="1" x14ac:dyDescent="0.3">
      <c r="A880" s="90" t="s">
        <v>1473</v>
      </c>
      <c r="B880" s="84"/>
      <c r="C880" s="7" t="s">
        <v>1472</v>
      </c>
      <c r="D880" s="85" t="s">
        <v>196</v>
      </c>
      <c r="E880" s="86" t="s">
        <v>110</v>
      </c>
      <c r="F880" s="158">
        <v>6</v>
      </c>
      <c r="G880" s="161">
        <v>7</v>
      </c>
      <c r="H880" s="158" t="s">
        <v>876</v>
      </c>
      <c r="I880" s="158">
        <v>4</v>
      </c>
      <c r="J880" s="158" t="s">
        <v>365</v>
      </c>
      <c r="K880" s="158" t="s">
        <v>73</v>
      </c>
      <c r="L880" s="158" t="s">
        <v>362</v>
      </c>
    </row>
    <row r="881" spans="1:12" ht="20.25" customHeight="1" x14ac:dyDescent="0.3">
      <c r="A881" s="90" t="s">
        <v>1475</v>
      </c>
      <c r="B881" s="84"/>
      <c r="C881" s="7" t="s">
        <v>1474</v>
      </c>
      <c r="D881" s="85" t="s">
        <v>1520</v>
      </c>
      <c r="E881" s="86" t="s">
        <v>110</v>
      </c>
      <c r="F881" s="158">
        <v>6</v>
      </c>
      <c r="G881" s="161">
        <v>7</v>
      </c>
      <c r="H881" s="158" t="s">
        <v>1025</v>
      </c>
      <c r="I881" s="158">
        <v>4</v>
      </c>
      <c r="J881" s="158" t="s">
        <v>1030</v>
      </c>
      <c r="K881" s="158" t="s">
        <v>73</v>
      </c>
      <c r="L881" s="158" t="s">
        <v>362</v>
      </c>
    </row>
    <row r="882" spans="1:12" ht="20.25" customHeight="1" x14ac:dyDescent="0.3">
      <c r="A882" s="90" t="s">
        <v>1477</v>
      </c>
      <c r="B882" s="84"/>
      <c r="C882" s="7" t="s">
        <v>1476</v>
      </c>
      <c r="D882" s="85" t="s">
        <v>1520</v>
      </c>
      <c r="E882" s="86" t="s">
        <v>106</v>
      </c>
      <c r="F882" s="158">
        <v>6</v>
      </c>
      <c r="G882" s="161">
        <v>7</v>
      </c>
      <c r="H882" s="158" t="s">
        <v>1025</v>
      </c>
      <c r="I882" s="158">
        <v>4</v>
      </c>
      <c r="J882" s="158" t="s">
        <v>1533</v>
      </c>
      <c r="K882" s="158" t="s">
        <v>73</v>
      </c>
      <c r="L882" s="158" t="s">
        <v>362</v>
      </c>
    </row>
    <row r="883" spans="1:12" ht="20.25" customHeight="1" x14ac:dyDescent="0.3">
      <c r="A883" s="90" t="s">
        <v>1479</v>
      </c>
      <c r="B883" s="84"/>
      <c r="C883" s="7" t="s">
        <v>1478</v>
      </c>
      <c r="D883" s="85" t="s">
        <v>1520</v>
      </c>
      <c r="E883" s="86" t="s">
        <v>110</v>
      </c>
      <c r="F883" s="158">
        <v>6</v>
      </c>
      <c r="G883" s="161">
        <v>7</v>
      </c>
      <c r="H883" s="158" t="s">
        <v>1030</v>
      </c>
      <c r="I883" s="158">
        <v>4</v>
      </c>
      <c r="J883" s="158" t="s">
        <v>1030</v>
      </c>
      <c r="K883" s="158" t="s">
        <v>73</v>
      </c>
      <c r="L883" s="158" t="s">
        <v>362</v>
      </c>
    </row>
    <row r="884" spans="1:12" ht="20.25" customHeight="1" x14ac:dyDescent="0.3">
      <c r="A884" s="90" t="s">
        <v>1481</v>
      </c>
      <c r="B884" s="84"/>
      <c r="C884" s="7" t="s">
        <v>1480</v>
      </c>
      <c r="D884" s="85" t="s">
        <v>196</v>
      </c>
      <c r="E884" s="86" t="s">
        <v>110</v>
      </c>
      <c r="F884" s="158">
        <v>6</v>
      </c>
      <c r="G884" s="161">
        <v>7</v>
      </c>
      <c r="H884" s="158">
        <v>2</v>
      </c>
      <c r="I884" s="158">
        <v>4</v>
      </c>
      <c r="J884" s="158">
        <v>1</v>
      </c>
      <c r="K884" s="158" t="s">
        <v>73</v>
      </c>
      <c r="L884" s="158">
        <v>2009</v>
      </c>
    </row>
    <row r="885" spans="1:12" ht="20.25" customHeight="1" x14ac:dyDescent="0.3">
      <c r="A885" s="90" t="s">
        <v>1483</v>
      </c>
      <c r="B885" s="84"/>
      <c r="C885" s="7" t="s">
        <v>1482</v>
      </c>
      <c r="D885" s="85" t="s">
        <v>196</v>
      </c>
      <c r="E885" s="86" t="s">
        <v>110</v>
      </c>
      <c r="F885" s="158">
        <v>6</v>
      </c>
      <c r="G885" s="161">
        <v>7</v>
      </c>
      <c r="H885" s="158" t="s">
        <v>873</v>
      </c>
      <c r="I885" s="158">
        <v>4</v>
      </c>
      <c r="J885" s="158" t="s">
        <v>874</v>
      </c>
      <c r="K885" s="158" t="s">
        <v>73</v>
      </c>
      <c r="L885" s="158" t="s">
        <v>362</v>
      </c>
    </row>
    <row r="886" spans="1:12" ht="20.25" customHeight="1" x14ac:dyDescent="0.3">
      <c r="A886" s="90" t="s">
        <v>1485</v>
      </c>
      <c r="B886" s="84"/>
      <c r="C886" s="7" t="s">
        <v>1484</v>
      </c>
      <c r="D886" s="85" t="s">
        <v>196</v>
      </c>
      <c r="E886" s="86" t="s">
        <v>110</v>
      </c>
      <c r="F886" s="158">
        <v>6</v>
      </c>
      <c r="G886" s="161">
        <v>8</v>
      </c>
      <c r="H886" s="158" t="s">
        <v>876</v>
      </c>
      <c r="I886" s="158">
        <v>4</v>
      </c>
      <c r="J886" s="158" t="s">
        <v>365</v>
      </c>
      <c r="K886" s="158" t="s">
        <v>73</v>
      </c>
      <c r="L886" s="158" t="s">
        <v>362</v>
      </c>
    </row>
    <row r="887" spans="1:12" ht="20.25" customHeight="1" x14ac:dyDescent="0.3">
      <c r="A887" s="90" t="s">
        <v>1487</v>
      </c>
      <c r="B887" s="84"/>
      <c r="C887" s="7" t="s">
        <v>1486</v>
      </c>
      <c r="D887" s="85" t="s">
        <v>196</v>
      </c>
      <c r="E887" s="86" t="s">
        <v>110</v>
      </c>
      <c r="F887" s="158">
        <v>6</v>
      </c>
      <c r="G887" s="161">
        <v>8</v>
      </c>
      <c r="H887" s="158" t="s">
        <v>868</v>
      </c>
      <c r="I887" s="158">
        <v>4</v>
      </c>
      <c r="J887" s="158" t="s">
        <v>883</v>
      </c>
      <c r="K887" s="158" t="s">
        <v>73</v>
      </c>
      <c r="L887" s="158" t="s">
        <v>362</v>
      </c>
    </row>
    <row r="888" spans="1:12" ht="20.25" customHeight="1" x14ac:dyDescent="0.3">
      <c r="A888" s="90" t="s">
        <v>1489</v>
      </c>
      <c r="B888" s="84"/>
      <c r="C888" s="7" t="s">
        <v>1488</v>
      </c>
      <c r="D888" s="85" t="s">
        <v>1520</v>
      </c>
      <c r="E888" s="86" t="s">
        <v>110</v>
      </c>
      <c r="F888" s="158">
        <v>6</v>
      </c>
      <c r="G888" s="161">
        <v>8</v>
      </c>
      <c r="H888" s="158" t="s">
        <v>1025</v>
      </c>
      <c r="I888" s="158">
        <v>4</v>
      </c>
      <c r="J888" s="158" t="s">
        <v>1030</v>
      </c>
      <c r="K888" s="158" t="s">
        <v>73</v>
      </c>
      <c r="L888" s="158" t="s">
        <v>362</v>
      </c>
    </row>
    <row r="889" spans="1:12" ht="20.25" customHeight="1" x14ac:dyDescent="0.3">
      <c r="A889" s="90" t="s">
        <v>1491</v>
      </c>
      <c r="B889" s="84"/>
      <c r="C889" s="7" t="s">
        <v>1490</v>
      </c>
      <c r="D889" s="85" t="s">
        <v>196</v>
      </c>
      <c r="E889" s="86" t="s">
        <v>110</v>
      </c>
      <c r="F889" s="158">
        <v>6</v>
      </c>
      <c r="G889" s="161">
        <v>8</v>
      </c>
      <c r="H889" s="158" t="s">
        <v>873</v>
      </c>
      <c r="I889" s="158">
        <v>4</v>
      </c>
      <c r="J889" s="158" t="s">
        <v>883</v>
      </c>
      <c r="K889" s="158" t="s">
        <v>73</v>
      </c>
      <c r="L889" s="158" t="s">
        <v>362</v>
      </c>
    </row>
    <row r="890" spans="1:12" ht="20.25" customHeight="1" x14ac:dyDescent="0.3">
      <c r="A890" s="90" t="s">
        <v>1493</v>
      </c>
      <c r="B890" s="84"/>
      <c r="C890" s="7" t="s">
        <v>1492</v>
      </c>
      <c r="D890" s="85" t="s">
        <v>196</v>
      </c>
      <c r="E890" s="86" t="s">
        <v>110</v>
      </c>
      <c r="F890" s="158">
        <v>6</v>
      </c>
      <c r="G890" s="161">
        <v>8</v>
      </c>
      <c r="H890" s="158" t="s">
        <v>873</v>
      </c>
      <c r="I890" s="158">
        <v>4</v>
      </c>
      <c r="J890" s="158" t="s">
        <v>873</v>
      </c>
      <c r="K890" s="158" t="s">
        <v>73</v>
      </c>
      <c r="L890" s="158" t="s">
        <v>362</v>
      </c>
    </row>
    <row r="891" spans="1:12" ht="20.25" customHeight="1" x14ac:dyDescent="0.3">
      <c r="A891" s="90" t="s">
        <v>1495</v>
      </c>
      <c r="B891" s="84"/>
      <c r="C891" s="7" t="s">
        <v>1494</v>
      </c>
      <c r="D891" s="85" t="s">
        <v>1520</v>
      </c>
      <c r="E891" s="86" t="s">
        <v>110</v>
      </c>
      <c r="F891" s="158">
        <v>12</v>
      </c>
      <c r="G891" s="161">
        <v>9</v>
      </c>
      <c r="H891" s="158" t="s">
        <v>1350</v>
      </c>
      <c r="I891" s="158">
        <v>5</v>
      </c>
      <c r="J891" s="158" t="s">
        <v>1351</v>
      </c>
      <c r="K891" s="158" t="s">
        <v>73</v>
      </c>
      <c r="L891" s="158" t="s">
        <v>362</v>
      </c>
    </row>
    <row r="892" spans="1:12" ht="20.25" customHeight="1" x14ac:dyDescent="0.3">
      <c r="A892" s="90" t="s">
        <v>1497</v>
      </c>
      <c r="B892" s="84"/>
      <c r="C892" s="7" t="s">
        <v>1496</v>
      </c>
      <c r="D892" s="85" t="s">
        <v>196</v>
      </c>
      <c r="E892" s="86" t="s">
        <v>110</v>
      </c>
      <c r="F892" s="158">
        <v>12</v>
      </c>
      <c r="G892" s="161">
        <v>9</v>
      </c>
      <c r="H892" s="158" t="s">
        <v>876</v>
      </c>
      <c r="I892" s="158">
        <v>5</v>
      </c>
      <c r="J892" s="158" t="s">
        <v>368</v>
      </c>
      <c r="K892" s="158" t="s">
        <v>73</v>
      </c>
      <c r="L892" s="158" t="s">
        <v>362</v>
      </c>
    </row>
    <row r="893" spans="1:12" ht="20.25" customHeight="1" x14ac:dyDescent="0.3">
      <c r="A893" s="90" t="s">
        <v>1499</v>
      </c>
      <c r="B893" s="84"/>
      <c r="C893" s="7" t="s">
        <v>1498</v>
      </c>
      <c r="D893" s="85" t="s">
        <v>1520</v>
      </c>
      <c r="E893" s="86" t="s">
        <v>110</v>
      </c>
      <c r="F893" s="158">
        <v>6</v>
      </c>
      <c r="G893" s="161">
        <v>9</v>
      </c>
      <c r="H893" s="158" t="s">
        <v>1025</v>
      </c>
      <c r="I893" s="158">
        <v>5</v>
      </c>
      <c r="J893" s="158" t="s">
        <v>1025</v>
      </c>
      <c r="K893" s="158" t="s">
        <v>73</v>
      </c>
      <c r="L893" s="158" t="s">
        <v>362</v>
      </c>
    </row>
    <row r="894" spans="1:12" ht="20.25" customHeight="1" x14ac:dyDescent="0.3">
      <c r="A894" s="90" t="s">
        <v>1501</v>
      </c>
      <c r="B894" s="84"/>
      <c r="C894" s="7" t="s">
        <v>1500</v>
      </c>
      <c r="D894" s="85" t="s">
        <v>1520</v>
      </c>
      <c r="E894" s="86" t="s">
        <v>110</v>
      </c>
      <c r="F894" s="158">
        <v>6</v>
      </c>
      <c r="G894" s="161">
        <v>9</v>
      </c>
      <c r="H894" s="158" t="s">
        <v>1030</v>
      </c>
      <c r="I894" s="158">
        <v>5</v>
      </c>
      <c r="J894" s="158" t="s">
        <v>1031</v>
      </c>
      <c r="K894" s="158" t="s">
        <v>73</v>
      </c>
      <c r="L894" s="158" t="s">
        <v>362</v>
      </c>
    </row>
    <row r="895" spans="1:12" ht="20.25" customHeight="1" x14ac:dyDescent="0.3">
      <c r="A895" s="90" t="s">
        <v>1481</v>
      </c>
      <c r="B895" s="84"/>
      <c r="C895" s="7" t="s">
        <v>1480</v>
      </c>
      <c r="D895" s="85" t="s">
        <v>196</v>
      </c>
      <c r="E895" s="86" t="s">
        <v>110</v>
      </c>
      <c r="F895" s="158">
        <v>6</v>
      </c>
      <c r="G895" s="161">
        <v>9</v>
      </c>
      <c r="H895" s="158">
        <v>2</v>
      </c>
      <c r="I895" s="158">
        <v>5</v>
      </c>
      <c r="J895" s="158">
        <v>1</v>
      </c>
      <c r="K895" s="158" t="s">
        <v>73</v>
      </c>
      <c r="L895" s="158">
        <v>2009</v>
      </c>
    </row>
    <row r="896" spans="1:12" ht="20.25" customHeight="1" x14ac:dyDescent="0.3">
      <c r="A896" s="90" t="s">
        <v>1504</v>
      </c>
      <c r="B896" s="84"/>
      <c r="C896" s="7" t="s">
        <v>1503</v>
      </c>
      <c r="D896" s="85" t="s">
        <v>196</v>
      </c>
      <c r="E896" s="86" t="s">
        <v>110</v>
      </c>
      <c r="F896" s="158">
        <v>6</v>
      </c>
      <c r="G896" s="161">
        <v>7</v>
      </c>
      <c r="H896" s="158" t="s">
        <v>443</v>
      </c>
      <c r="I896" s="158">
        <v>4</v>
      </c>
      <c r="J896" s="158" t="s">
        <v>841</v>
      </c>
      <c r="K896" s="158" t="s">
        <v>73</v>
      </c>
      <c r="L896" s="158" t="s">
        <v>532</v>
      </c>
    </row>
    <row r="897" spans="1:12" ht="20.25" customHeight="1" x14ac:dyDescent="0.3">
      <c r="A897" s="90" t="s">
        <v>1506</v>
      </c>
      <c r="B897" s="84"/>
      <c r="C897" s="7" t="s">
        <v>1505</v>
      </c>
      <c r="D897" s="85" t="s">
        <v>196</v>
      </c>
      <c r="E897" s="86" t="s">
        <v>110</v>
      </c>
      <c r="F897" s="158">
        <v>6</v>
      </c>
      <c r="G897" s="161">
        <v>8</v>
      </c>
      <c r="H897" s="158" t="s">
        <v>527</v>
      </c>
      <c r="I897" s="158">
        <v>4</v>
      </c>
      <c r="J897" s="158" t="s">
        <v>850</v>
      </c>
      <c r="K897" s="158" t="s">
        <v>73</v>
      </c>
      <c r="L897" s="158" t="s">
        <v>848</v>
      </c>
    </row>
    <row r="898" spans="1:12" ht="20.25" customHeight="1" x14ac:dyDescent="0.3">
      <c r="A898" s="90" t="s">
        <v>1508</v>
      </c>
      <c r="B898" s="84"/>
      <c r="C898" s="7" t="s">
        <v>1507</v>
      </c>
      <c r="D898" s="85" t="s">
        <v>1520</v>
      </c>
      <c r="E898" s="86" t="s">
        <v>110</v>
      </c>
      <c r="F898" s="158">
        <v>6</v>
      </c>
      <c r="G898" s="161">
        <v>9</v>
      </c>
      <c r="H898" s="158" t="s">
        <v>1433</v>
      </c>
      <c r="I898" s="158">
        <v>5</v>
      </c>
      <c r="J898" s="158" t="s">
        <v>1537</v>
      </c>
      <c r="K898" s="158" t="s">
        <v>73</v>
      </c>
      <c r="L898" s="158" t="s">
        <v>848</v>
      </c>
    </row>
    <row r="899" spans="1:12" ht="20.25" customHeight="1" x14ac:dyDescent="0.3">
      <c r="A899" s="90" t="s">
        <v>1504</v>
      </c>
      <c r="B899" s="84"/>
      <c r="C899" s="7" t="s">
        <v>1503</v>
      </c>
      <c r="D899" s="85" t="s">
        <v>196</v>
      </c>
      <c r="E899" s="86" t="s">
        <v>110</v>
      </c>
      <c r="F899" s="158">
        <v>6</v>
      </c>
      <c r="G899" s="161">
        <v>8</v>
      </c>
      <c r="H899" s="158">
        <v>1</v>
      </c>
      <c r="I899" s="158">
        <v>4</v>
      </c>
      <c r="J899" s="158">
        <v>4</v>
      </c>
      <c r="K899" s="158" t="s">
        <v>73</v>
      </c>
      <c r="L899" s="158">
        <v>2014</v>
      </c>
    </row>
    <row r="900" spans="1:12" ht="20.25" customHeight="1" x14ac:dyDescent="0.3">
      <c r="A900" s="90" t="s">
        <v>1335</v>
      </c>
      <c r="B900" s="84"/>
      <c r="C900" s="7" t="s">
        <v>1334</v>
      </c>
      <c r="D900" s="85" t="s">
        <v>197</v>
      </c>
      <c r="E900" s="86" t="s">
        <v>110</v>
      </c>
      <c r="F900" s="158">
        <v>6</v>
      </c>
      <c r="G900" s="161">
        <v>7</v>
      </c>
      <c r="H900" s="158">
        <v>1</v>
      </c>
      <c r="I900" s="158">
        <v>4</v>
      </c>
      <c r="J900" s="158">
        <v>1</v>
      </c>
      <c r="K900" s="158" t="s">
        <v>73</v>
      </c>
      <c r="L900" s="158">
        <v>2009</v>
      </c>
    </row>
    <row r="901" spans="1:12" ht="20.25" customHeight="1" x14ac:dyDescent="0.3">
      <c r="A901" s="90" t="s">
        <v>1511</v>
      </c>
      <c r="B901" s="84"/>
      <c r="C901" s="7" t="s">
        <v>1510</v>
      </c>
      <c r="D901" s="85" t="s">
        <v>197</v>
      </c>
      <c r="E901" s="86" t="s">
        <v>110</v>
      </c>
      <c r="F901" s="158">
        <v>6</v>
      </c>
      <c r="G901" s="161">
        <v>7</v>
      </c>
      <c r="H901" s="158" t="s">
        <v>873</v>
      </c>
      <c r="I901" s="158">
        <v>4</v>
      </c>
      <c r="J901" s="158" t="s">
        <v>868</v>
      </c>
      <c r="K901" s="158" t="s">
        <v>73</v>
      </c>
      <c r="L901" s="158" t="s">
        <v>362</v>
      </c>
    </row>
    <row r="902" spans="1:12" ht="20.25" customHeight="1" x14ac:dyDescent="0.3">
      <c r="A902" s="90" t="s">
        <v>1327</v>
      </c>
      <c r="B902" s="84"/>
      <c r="C902" s="7" t="s">
        <v>1326</v>
      </c>
      <c r="D902" s="85" t="s">
        <v>197</v>
      </c>
      <c r="E902" s="86" t="s">
        <v>110</v>
      </c>
      <c r="F902" s="158">
        <v>6</v>
      </c>
      <c r="G902" s="161">
        <v>7</v>
      </c>
      <c r="H902" s="158" t="s">
        <v>443</v>
      </c>
      <c r="I902" s="158">
        <v>4</v>
      </c>
      <c r="J902" s="158" t="s">
        <v>841</v>
      </c>
      <c r="K902" s="158" t="s">
        <v>73</v>
      </c>
      <c r="L902" s="158" t="s">
        <v>1338</v>
      </c>
    </row>
    <row r="903" spans="1:12" ht="20.25" customHeight="1" x14ac:dyDescent="0.3">
      <c r="A903" s="90" t="s">
        <v>1513</v>
      </c>
      <c r="B903" s="84"/>
      <c r="C903" s="7" t="s">
        <v>1512</v>
      </c>
      <c r="D903" s="85" t="s">
        <v>197</v>
      </c>
      <c r="E903" s="86" t="s">
        <v>110</v>
      </c>
      <c r="F903" s="158">
        <v>6</v>
      </c>
      <c r="G903" s="161">
        <v>8</v>
      </c>
      <c r="H903" s="158" t="s">
        <v>868</v>
      </c>
      <c r="I903" s="158">
        <v>4</v>
      </c>
      <c r="J903" s="158" t="s">
        <v>883</v>
      </c>
      <c r="K903" s="158" t="s">
        <v>73</v>
      </c>
      <c r="L903" s="158" t="s">
        <v>362</v>
      </c>
    </row>
    <row r="904" spans="1:12" ht="20.25" customHeight="1" x14ac:dyDescent="0.3">
      <c r="A904" s="90" t="s">
        <v>1515</v>
      </c>
      <c r="B904" s="84"/>
      <c r="C904" s="7" t="s">
        <v>1514</v>
      </c>
      <c r="D904" s="85" t="s">
        <v>197</v>
      </c>
      <c r="E904" s="86" t="s">
        <v>110</v>
      </c>
      <c r="F904" s="158">
        <v>6</v>
      </c>
      <c r="G904" s="161">
        <v>8</v>
      </c>
      <c r="H904" s="158" t="s">
        <v>873</v>
      </c>
      <c r="I904" s="158">
        <v>4</v>
      </c>
      <c r="J904" s="158" t="s">
        <v>874</v>
      </c>
      <c r="K904" s="158" t="s">
        <v>73</v>
      </c>
      <c r="L904" s="158" t="s">
        <v>362</v>
      </c>
    </row>
    <row r="905" spans="1:12" ht="20.25" customHeight="1" x14ac:dyDescent="0.3">
      <c r="A905" s="90" t="s">
        <v>1517</v>
      </c>
      <c r="B905" s="84"/>
      <c r="C905" s="7" t="s">
        <v>1516</v>
      </c>
      <c r="D905" s="85" t="s">
        <v>197</v>
      </c>
      <c r="E905" s="86" t="s">
        <v>110</v>
      </c>
      <c r="F905" s="158">
        <v>6</v>
      </c>
      <c r="G905" s="161">
        <v>8</v>
      </c>
      <c r="H905" s="158" t="s">
        <v>1051</v>
      </c>
      <c r="I905" s="158">
        <v>4</v>
      </c>
      <c r="J905" s="158" t="s">
        <v>1535</v>
      </c>
      <c r="K905" s="158" t="s">
        <v>73</v>
      </c>
      <c r="L905" s="158" t="s">
        <v>1534</v>
      </c>
    </row>
    <row r="906" spans="1:12" ht="20.25" customHeight="1" x14ac:dyDescent="0.3">
      <c r="A906" s="90" t="s">
        <v>1519</v>
      </c>
      <c r="B906" s="84"/>
      <c r="C906" s="7" t="s">
        <v>1518</v>
      </c>
      <c r="D906" s="85" t="s">
        <v>197</v>
      </c>
      <c r="E906" s="86" t="s">
        <v>110</v>
      </c>
      <c r="F906" s="158">
        <v>6</v>
      </c>
      <c r="G906" s="161">
        <v>8</v>
      </c>
      <c r="H906" s="158" t="s">
        <v>527</v>
      </c>
      <c r="I906" s="158">
        <v>4</v>
      </c>
      <c r="J906" s="158" t="s">
        <v>527</v>
      </c>
      <c r="K906" s="158" t="s">
        <v>73</v>
      </c>
      <c r="L906" s="158" t="s">
        <v>362</v>
      </c>
    </row>
    <row r="907" spans="1:12" ht="20.25" customHeight="1" x14ac:dyDescent="0.3">
      <c r="A907" s="90" t="s">
        <v>1329</v>
      </c>
      <c r="B907" s="84"/>
      <c r="C907" s="7" t="s">
        <v>1328</v>
      </c>
      <c r="D907" s="85" t="s">
        <v>197</v>
      </c>
      <c r="E907" s="86" t="s">
        <v>110</v>
      </c>
      <c r="F907" s="158">
        <v>6</v>
      </c>
      <c r="G907" s="161">
        <v>7</v>
      </c>
      <c r="H907" s="158">
        <v>2</v>
      </c>
      <c r="I907" s="158">
        <v>4</v>
      </c>
      <c r="J907" s="158">
        <v>3</v>
      </c>
      <c r="K907" s="158" t="s">
        <v>73</v>
      </c>
      <c r="L907" s="158">
        <v>2010</v>
      </c>
    </row>
    <row r="908" spans="1:12" ht="20.25" customHeight="1" x14ac:dyDescent="0.3">
      <c r="A908" s="90" t="s">
        <v>1524</v>
      </c>
      <c r="B908" s="84"/>
      <c r="C908" s="7" t="s">
        <v>1523</v>
      </c>
      <c r="D908" s="85" t="s">
        <v>197</v>
      </c>
      <c r="E908" s="86" t="s">
        <v>110</v>
      </c>
      <c r="F908" s="158">
        <v>6</v>
      </c>
      <c r="G908" s="161">
        <v>8</v>
      </c>
      <c r="H908" s="158">
        <v>2</v>
      </c>
      <c r="I908" s="158">
        <v>4</v>
      </c>
      <c r="J908" s="158">
        <v>2</v>
      </c>
      <c r="K908" s="158" t="s">
        <v>73</v>
      </c>
      <c r="L908" s="158">
        <v>2010</v>
      </c>
    </row>
    <row r="909" spans="1:12" ht="20.25" customHeight="1" x14ac:dyDescent="0.3">
      <c r="A909" s="90" t="s">
        <v>1526</v>
      </c>
      <c r="B909" s="84"/>
      <c r="C909" s="7" t="s">
        <v>1525</v>
      </c>
      <c r="D909" s="85" t="s">
        <v>197</v>
      </c>
      <c r="E909" s="86" t="s">
        <v>110</v>
      </c>
      <c r="F909" s="158">
        <v>6</v>
      </c>
      <c r="G909" s="161">
        <v>9</v>
      </c>
      <c r="H909" s="158">
        <v>2</v>
      </c>
      <c r="I909" s="158">
        <v>5</v>
      </c>
      <c r="J909" s="158">
        <v>1</v>
      </c>
      <c r="K909" s="158" t="s">
        <v>73</v>
      </c>
      <c r="L909" s="158">
        <v>2010</v>
      </c>
    </row>
    <row r="910" spans="1:12" ht="20.25" customHeight="1" x14ac:dyDescent="0.3">
      <c r="A910" s="90" t="s">
        <v>1329</v>
      </c>
      <c r="B910" s="84"/>
      <c r="C910" s="7" t="s">
        <v>1336</v>
      </c>
      <c r="D910" s="85" t="s">
        <v>197</v>
      </c>
      <c r="E910" s="86" t="s">
        <v>110</v>
      </c>
      <c r="F910" s="158">
        <v>6</v>
      </c>
      <c r="G910" s="161">
        <v>7</v>
      </c>
      <c r="H910" s="158" t="s">
        <v>443</v>
      </c>
      <c r="I910" s="158">
        <v>4</v>
      </c>
      <c r="J910" s="158" t="s">
        <v>841</v>
      </c>
      <c r="K910" s="158" t="s">
        <v>73</v>
      </c>
      <c r="L910" s="158" t="s">
        <v>1111</v>
      </c>
    </row>
    <row r="911" spans="1:12" ht="20.25" customHeight="1" x14ac:dyDescent="0.3">
      <c r="A911" s="90" t="s">
        <v>1524</v>
      </c>
      <c r="B911" s="84"/>
      <c r="C911" s="7" t="s">
        <v>1523</v>
      </c>
      <c r="D911" s="85" t="s">
        <v>197</v>
      </c>
      <c r="E911" s="86" t="s">
        <v>110</v>
      </c>
      <c r="F911" s="158">
        <v>6</v>
      </c>
      <c r="G911" s="161">
        <v>7</v>
      </c>
      <c r="H911" s="158" t="s">
        <v>443</v>
      </c>
      <c r="I911" s="158">
        <v>4</v>
      </c>
      <c r="J911" s="158" t="s">
        <v>443</v>
      </c>
      <c r="K911" s="158" t="s">
        <v>73</v>
      </c>
      <c r="L911" s="158" t="s">
        <v>1111</v>
      </c>
    </row>
    <row r="912" spans="1:12" ht="20.25" customHeight="1" x14ac:dyDescent="0.3">
      <c r="A912" s="90" t="s">
        <v>1526</v>
      </c>
      <c r="B912" s="84"/>
      <c r="C912" s="7" t="s">
        <v>1530</v>
      </c>
      <c r="D912" s="85" t="s">
        <v>197</v>
      </c>
      <c r="E912" s="86" t="s">
        <v>110</v>
      </c>
      <c r="F912" s="158">
        <v>6</v>
      </c>
      <c r="G912" s="161">
        <v>8</v>
      </c>
      <c r="H912" s="158" t="s">
        <v>199</v>
      </c>
      <c r="I912" s="158">
        <v>4</v>
      </c>
      <c r="J912" s="158" t="s">
        <v>199</v>
      </c>
      <c r="K912" s="158" t="s">
        <v>73</v>
      </c>
      <c r="L912" s="158">
        <v>2013</v>
      </c>
    </row>
    <row r="913" spans="1:12" ht="20.25" customHeight="1" x14ac:dyDescent="0.3">
      <c r="A913" s="90" t="s">
        <v>1539</v>
      </c>
      <c r="B913" s="84"/>
      <c r="C913" s="7" t="s">
        <v>1538</v>
      </c>
      <c r="D913" s="85" t="s">
        <v>66</v>
      </c>
      <c r="E913" s="86" t="s">
        <v>106</v>
      </c>
      <c r="F913" s="158">
        <v>6</v>
      </c>
      <c r="G913" s="161">
        <v>7</v>
      </c>
      <c r="H913" s="158">
        <v>1</v>
      </c>
      <c r="I913" s="158">
        <v>4</v>
      </c>
      <c r="J913" s="158">
        <v>3</v>
      </c>
      <c r="K913" s="158" t="s">
        <v>73</v>
      </c>
      <c r="L913" s="158">
        <v>2009</v>
      </c>
    </row>
    <row r="914" spans="1:12" ht="20.25" customHeight="1" x14ac:dyDescent="0.3">
      <c r="A914" s="90" t="s">
        <v>805</v>
      </c>
      <c r="B914" s="84"/>
      <c r="C914" s="7" t="s">
        <v>804</v>
      </c>
      <c r="D914" s="85" t="s">
        <v>66</v>
      </c>
      <c r="E914" s="86" t="s">
        <v>110</v>
      </c>
      <c r="F914" s="158">
        <v>6</v>
      </c>
      <c r="G914" s="161">
        <v>8</v>
      </c>
      <c r="H914" s="158" t="s">
        <v>868</v>
      </c>
      <c r="I914" s="158">
        <v>4</v>
      </c>
      <c r="J914" s="158" t="s">
        <v>883</v>
      </c>
      <c r="K914" s="158" t="s">
        <v>73</v>
      </c>
      <c r="L914" s="158" t="s">
        <v>362</v>
      </c>
    </row>
    <row r="915" spans="1:12" ht="20.25" customHeight="1" x14ac:dyDescent="0.3">
      <c r="A915" s="90" t="s">
        <v>689</v>
      </c>
      <c r="B915" s="84"/>
      <c r="C915" s="7" t="s">
        <v>688</v>
      </c>
      <c r="D915" s="85" t="s">
        <v>66</v>
      </c>
      <c r="E915" s="86" t="s">
        <v>110</v>
      </c>
      <c r="F915" s="158">
        <v>6</v>
      </c>
      <c r="G915" s="161">
        <v>9</v>
      </c>
      <c r="H915" s="158" t="s">
        <v>868</v>
      </c>
      <c r="I915" s="158">
        <v>5</v>
      </c>
      <c r="J915" s="158" t="s">
        <v>873</v>
      </c>
      <c r="K915" s="158" t="s">
        <v>73</v>
      </c>
      <c r="L915" s="158" t="s">
        <v>362</v>
      </c>
    </row>
    <row r="916" spans="1:12" ht="20.25" customHeight="1" x14ac:dyDescent="0.3">
      <c r="A916" s="90" t="s">
        <v>785</v>
      </c>
      <c r="B916" s="84"/>
      <c r="C916" s="7" t="s">
        <v>784</v>
      </c>
      <c r="D916" s="85" t="s">
        <v>66</v>
      </c>
      <c r="E916" s="86" t="s">
        <v>106</v>
      </c>
      <c r="F916" s="158">
        <v>6</v>
      </c>
      <c r="G916" s="161">
        <v>7</v>
      </c>
      <c r="H916" s="158" t="s">
        <v>543</v>
      </c>
      <c r="I916" s="158">
        <v>4</v>
      </c>
      <c r="J916" s="158" t="s">
        <v>1003</v>
      </c>
      <c r="K916" s="158" t="s">
        <v>73</v>
      </c>
      <c r="L916" s="158" t="s">
        <v>367</v>
      </c>
    </row>
    <row r="917" spans="1:12" ht="20.25" customHeight="1" x14ac:dyDescent="0.3">
      <c r="A917" s="90" t="s">
        <v>683</v>
      </c>
      <c r="B917" s="84"/>
      <c r="C917" s="7" t="s">
        <v>682</v>
      </c>
      <c r="D917" s="85" t="s">
        <v>66</v>
      </c>
      <c r="E917" s="86" t="s">
        <v>110</v>
      </c>
      <c r="F917" s="158">
        <v>6</v>
      </c>
      <c r="G917" s="161">
        <v>7</v>
      </c>
      <c r="H917" s="158" t="s">
        <v>542</v>
      </c>
      <c r="I917" s="158">
        <v>4</v>
      </c>
      <c r="J917" s="158" t="s">
        <v>542</v>
      </c>
      <c r="K917" s="158" t="s">
        <v>73</v>
      </c>
      <c r="L917" s="158" t="s">
        <v>1072</v>
      </c>
    </row>
    <row r="918" spans="1:12" ht="20.25" customHeight="1" x14ac:dyDescent="0.3">
      <c r="A918" s="90" t="s">
        <v>245</v>
      </c>
      <c r="B918" s="84"/>
      <c r="C918" s="7" t="s">
        <v>244</v>
      </c>
      <c r="D918" s="85" t="s">
        <v>183</v>
      </c>
      <c r="E918" s="86" t="s">
        <v>106</v>
      </c>
      <c r="F918" s="158">
        <v>6</v>
      </c>
      <c r="G918" s="161">
        <v>6</v>
      </c>
      <c r="H918" s="158">
        <v>1</v>
      </c>
      <c r="I918" s="158">
        <v>3</v>
      </c>
      <c r="J918" s="158">
        <v>4</v>
      </c>
      <c r="K918" s="158" t="s">
        <v>73</v>
      </c>
      <c r="L918" s="158">
        <v>2009</v>
      </c>
    </row>
    <row r="919" spans="1:12" ht="20.25" customHeight="1" x14ac:dyDescent="0.3">
      <c r="A919" s="90" t="s">
        <v>1555</v>
      </c>
      <c r="B919" s="84"/>
      <c r="C919" s="7" t="s">
        <v>1554</v>
      </c>
      <c r="D919" s="85" t="s">
        <v>184</v>
      </c>
      <c r="E919" s="86" t="s">
        <v>105</v>
      </c>
      <c r="F919" s="158" t="s">
        <v>1586</v>
      </c>
      <c r="G919" s="161">
        <v>7</v>
      </c>
      <c r="H919" s="158" t="s">
        <v>876</v>
      </c>
      <c r="I919" s="158">
        <v>4</v>
      </c>
      <c r="J919" s="158" t="s">
        <v>887</v>
      </c>
      <c r="K919" s="158" t="s">
        <v>73</v>
      </c>
      <c r="L919" s="158" t="s">
        <v>362</v>
      </c>
    </row>
    <row r="920" spans="1:12" ht="20.25" customHeight="1" x14ac:dyDescent="0.3">
      <c r="A920" s="90" t="s">
        <v>1558</v>
      </c>
      <c r="B920" s="84"/>
      <c r="C920" s="7" t="s">
        <v>1557</v>
      </c>
      <c r="D920" s="85" t="s">
        <v>183</v>
      </c>
      <c r="E920" s="86" t="s">
        <v>110</v>
      </c>
      <c r="F920" s="158">
        <v>6</v>
      </c>
      <c r="G920" s="161">
        <v>7</v>
      </c>
      <c r="H920" s="158" t="s">
        <v>534</v>
      </c>
      <c r="I920" s="158">
        <v>4</v>
      </c>
      <c r="J920" s="158" t="s">
        <v>533</v>
      </c>
      <c r="K920" s="158" t="s">
        <v>73</v>
      </c>
      <c r="L920" s="158" t="s">
        <v>347</v>
      </c>
    </row>
    <row r="921" spans="1:12" ht="20.25" customHeight="1" x14ac:dyDescent="0.3">
      <c r="A921" s="90" t="s">
        <v>771</v>
      </c>
      <c r="B921" s="84"/>
      <c r="C921" s="7" t="s">
        <v>770</v>
      </c>
      <c r="D921" s="85" t="s">
        <v>183</v>
      </c>
      <c r="E921" s="86" t="s">
        <v>110</v>
      </c>
      <c r="F921" s="158">
        <v>6</v>
      </c>
      <c r="G921" s="161">
        <v>7</v>
      </c>
      <c r="H921" s="158" t="s">
        <v>444</v>
      </c>
      <c r="I921" s="158">
        <v>4</v>
      </c>
      <c r="J921" s="158" t="s">
        <v>837</v>
      </c>
      <c r="K921" s="158" t="s">
        <v>73</v>
      </c>
      <c r="L921" s="158" t="s">
        <v>338</v>
      </c>
    </row>
    <row r="922" spans="1:12" ht="20.25" customHeight="1" x14ac:dyDescent="0.3">
      <c r="A922" s="90" t="s">
        <v>775</v>
      </c>
      <c r="B922" s="84"/>
      <c r="C922" s="7" t="s">
        <v>774</v>
      </c>
      <c r="D922" s="85" t="s">
        <v>183</v>
      </c>
      <c r="E922" s="86" t="s">
        <v>106</v>
      </c>
      <c r="F922" s="158">
        <v>6</v>
      </c>
      <c r="G922" s="161">
        <v>7</v>
      </c>
      <c r="H922" s="158" t="s">
        <v>876</v>
      </c>
      <c r="I922" s="158">
        <v>4</v>
      </c>
      <c r="J922" s="158" t="s">
        <v>877</v>
      </c>
      <c r="K922" s="158" t="s">
        <v>73</v>
      </c>
      <c r="L922" s="158" t="s">
        <v>362</v>
      </c>
    </row>
    <row r="923" spans="1:12" ht="20.25" customHeight="1" x14ac:dyDescent="0.3">
      <c r="A923" s="90" t="s">
        <v>1560</v>
      </c>
      <c r="B923" s="84"/>
      <c r="C923" s="7" t="s">
        <v>1559</v>
      </c>
      <c r="D923" s="85" t="s">
        <v>183</v>
      </c>
      <c r="E923" s="86" t="s">
        <v>106</v>
      </c>
      <c r="F923" s="158">
        <v>6</v>
      </c>
      <c r="G923" s="161">
        <v>7</v>
      </c>
      <c r="H923" s="158" t="s">
        <v>444</v>
      </c>
      <c r="I923" s="158">
        <v>4</v>
      </c>
      <c r="J923" s="158" t="s">
        <v>443</v>
      </c>
      <c r="K923" s="158" t="s">
        <v>73</v>
      </c>
      <c r="L923" s="158" t="s">
        <v>338</v>
      </c>
    </row>
    <row r="924" spans="1:12" ht="20.25" customHeight="1" x14ac:dyDescent="0.3">
      <c r="A924" s="90" t="s">
        <v>269</v>
      </c>
      <c r="B924" s="84"/>
      <c r="C924" s="7" t="s">
        <v>268</v>
      </c>
      <c r="D924" s="85" t="s">
        <v>183</v>
      </c>
      <c r="E924" s="86" t="s">
        <v>110</v>
      </c>
      <c r="F924" s="158">
        <v>6</v>
      </c>
      <c r="G924" s="161">
        <v>7</v>
      </c>
      <c r="H924" s="158" t="s">
        <v>444</v>
      </c>
      <c r="I924" s="158">
        <v>4</v>
      </c>
      <c r="J924" s="158" t="s">
        <v>839</v>
      </c>
      <c r="K924" s="158" t="s">
        <v>73</v>
      </c>
      <c r="L924" s="158" t="s">
        <v>338</v>
      </c>
    </row>
    <row r="925" spans="1:12" ht="20.25" customHeight="1" x14ac:dyDescent="0.3">
      <c r="A925" s="90" t="s">
        <v>1562</v>
      </c>
      <c r="B925" s="84"/>
      <c r="C925" s="7" t="s">
        <v>1561</v>
      </c>
      <c r="D925" s="85" t="s">
        <v>183</v>
      </c>
      <c r="E925" s="86" t="s">
        <v>106</v>
      </c>
      <c r="F925" s="158">
        <v>4</v>
      </c>
      <c r="G925" s="161">
        <v>7</v>
      </c>
      <c r="H925" s="158" t="s">
        <v>444</v>
      </c>
      <c r="I925" s="158">
        <v>4</v>
      </c>
      <c r="J925" s="158" t="s">
        <v>444</v>
      </c>
      <c r="K925" s="158" t="s">
        <v>73</v>
      </c>
      <c r="L925" s="158" t="s">
        <v>338</v>
      </c>
    </row>
    <row r="926" spans="1:12" ht="20.25" customHeight="1" x14ac:dyDescent="0.3">
      <c r="A926" s="90" t="s">
        <v>241</v>
      </c>
      <c r="B926" s="84"/>
      <c r="C926" s="7" t="s">
        <v>1563</v>
      </c>
      <c r="D926" s="85" t="s">
        <v>183</v>
      </c>
      <c r="E926" s="86" t="s">
        <v>106</v>
      </c>
      <c r="F926" s="158">
        <v>6</v>
      </c>
      <c r="G926" s="161">
        <v>7</v>
      </c>
      <c r="H926" s="158" t="s">
        <v>444</v>
      </c>
      <c r="I926" s="158">
        <v>4</v>
      </c>
      <c r="J926" s="158" t="s">
        <v>839</v>
      </c>
      <c r="K926" s="158" t="s">
        <v>73</v>
      </c>
      <c r="L926" s="158" t="s">
        <v>338</v>
      </c>
    </row>
    <row r="927" spans="1:12" ht="20.25" customHeight="1" x14ac:dyDescent="0.3">
      <c r="A927" s="90" t="s">
        <v>581</v>
      </c>
      <c r="B927" s="84"/>
      <c r="C927" s="7" t="s">
        <v>580</v>
      </c>
      <c r="D927" s="85" t="s">
        <v>183</v>
      </c>
      <c r="E927" s="86" t="s">
        <v>105</v>
      </c>
      <c r="F927" s="158">
        <v>6</v>
      </c>
      <c r="G927" s="161">
        <v>7</v>
      </c>
      <c r="H927" s="158" t="s">
        <v>534</v>
      </c>
      <c r="I927" s="158">
        <v>4</v>
      </c>
      <c r="J927" s="158" t="s">
        <v>863</v>
      </c>
      <c r="K927" s="158" t="s">
        <v>73</v>
      </c>
      <c r="L927" s="158" t="s">
        <v>347</v>
      </c>
    </row>
    <row r="928" spans="1:12" ht="20.25" customHeight="1" x14ac:dyDescent="0.3">
      <c r="A928" s="90" t="s">
        <v>224</v>
      </c>
      <c r="B928" s="84"/>
      <c r="C928" s="7" t="s">
        <v>223</v>
      </c>
      <c r="D928" s="85" t="s">
        <v>183</v>
      </c>
      <c r="E928" s="86" t="s">
        <v>106</v>
      </c>
      <c r="F928" s="158">
        <v>6</v>
      </c>
      <c r="G928" s="161">
        <v>7</v>
      </c>
      <c r="H928" s="158" t="s">
        <v>444</v>
      </c>
      <c r="I928" s="158">
        <v>4</v>
      </c>
      <c r="J928" s="158" t="s">
        <v>444</v>
      </c>
      <c r="K928" s="158" t="s">
        <v>73</v>
      </c>
      <c r="L928" s="158" t="s">
        <v>338</v>
      </c>
    </row>
    <row r="929" spans="1:12" ht="20.25" customHeight="1" x14ac:dyDescent="0.3">
      <c r="A929" s="90" t="s">
        <v>1067</v>
      </c>
      <c r="B929" s="84"/>
      <c r="C929" s="7" t="s">
        <v>1066</v>
      </c>
      <c r="D929" s="85" t="s">
        <v>1564</v>
      </c>
      <c r="E929" s="86" t="s">
        <v>106</v>
      </c>
      <c r="F929" s="158">
        <v>6</v>
      </c>
      <c r="G929" s="161">
        <v>7</v>
      </c>
      <c r="H929" s="158" t="s">
        <v>443</v>
      </c>
      <c r="I929" s="158">
        <v>4</v>
      </c>
      <c r="J929" s="158" t="s">
        <v>443</v>
      </c>
      <c r="K929" s="158" t="s">
        <v>73</v>
      </c>
      <c r="L929" s="158" t="s">
        <v>362</v>
      </c>
    </row>
    <row r="930" spans="1:12" ht="20.25" customHeight="1" x14ac:dyDescent="0.3">
      <c r="A930" s="90" t="s">
        <v>803</v>
      </c>
      <c r="B930" s="84"/>
      <c r="C930" s="7" t="s">
        <v>802</v>
      </c>
      <c r="D930" s="85" t="s">
        <v>1564</v>
      </c>
      <c r="E930" s="86" t="s">
        <v>105</v>
      </c>
      <c r="F930" s="158">
        <v>4</v>
      </c>
      <c r="G930" s="161">
        <v>7</v>
      </c>
      <c r="H930" s="158">
        <v>2</v>
      </c>
      <c r="I930" s="158">
        <v>4</v>
      </c>
      <c r="J930" s="158">
        <v>4</v>
      </c>
      <c r="K930" s="158" t="s">
        <v>73</v>
      </c>
      <c r="L930" s="158">
        <v>2009</v>
      </c>
    </row>
    <row r="931" spans="1:12" ht="20.25" customHeight="1" x14ac:dyDescent="0.3">
      <c r="A931" s="90" t="s">
        <v>1069</v>
      </c>
      <c r="B931" s="84"/>
      <c r="C931" s="7" t="s">
        <v>1068</v>
      </c>
      <c r="D931" s="85" t="s">
        <v>1564</v>
      </c>
      <c r="E931" s="86" t="s">
        <v>105</v>
      </c>
      <c r="F931" s="158">
        <v>6</v>
      </c>
      <c r="G931" s="161">
        <v>7</v>
      </c>
      <c r="H931" s="158" t="s">
        <v>443</v>
      </c>
      <c r="I931" s="158">
        <v>4</v>
      </c>
      <c r="J931" s="158" t="s">
        <v>841</v>
      </c>
      <c r="K931" s="158" t="s">
        <v>73</v>
      </c>
      <c r="L931" s="158" t="s">
        <v>338</v>
      </c>
    </row>
    <row r="932" spans="1:12" ht="20.25" customHeight="1" x14ac:dyDescent="0.3">
      <c r="A932" s="90" t="s">
        <v>1566</v>
      </c>
      <c r="B932" s="84"/>
      <c r="C932" s="7" t="s">
        <v>1565</v>
      </c>
      <c r="D932" s="85" t="s">
        <v>183</v>
      </c>
      <c r="E932" s="86" t="s">
        <v>110</v>
      </c>
      <c r="F932" s="158">
        <v>6</v>
      </c>
      <c r="G932" s="161">
        <v>7</v>
      </c>
      <c r="H932" s="158" t="s">
        <v>443</v>
      </c>
      <c r="I932" s="158">
        <v>4</v>
      </c>
      <c r="J932" s="158" t="s">
        <v>443</v>
      </c>
      <c r="K932" s="158" t="s">
        <v>73</v>
      </c>
      <c r="L932" s="158" t="s">
        <v>338</v>
      </c>
    </row>
    <row r="933" spans="1:12" ht="20.25" customHeight="1" x14ac:dyDescent="0.3">
      <c r="A933" s="90" t="s">
        <v>833</v>
      </c>
      <c r="B933" s="84"/>
      <c r="C933" s="7" t="s">
        <v>832</v>
      </c>
      <c r="D933" s="85" t="s">
        <v>183</v>
      </c>
      <c r="E933" s="86" t="s">
        <v>110</v>
      </c>
      <c r="F933" s="158">
        <v>6</v>
      </c>
      <c r="G933" s="161">
        <v>7</v>
      </c>
      <c r="H933" s="158" t="s">
        <v>443</v>
      </c>
      <c r="I933" s="158">
        <v>4</v>
      </c>
      <c r="J933" s="158" t="s">
        <v>839</v>
      </c>
      <c r="K933" s="158" t="s">
        <v>73</v>
      </c>
      <c r="L933" s="158" t="s">
        <v>338</v>
      </c>
    </row>
    <row r="934" spans="1:12" ht="20.25" customHeight="1" x14ac:dyDescent="0.3">
      <c r="A934" s="90" t="s">
        <v>292</v>
      </c>
      <c r="B934" s="84"/>
      <c r="C934" s="7" t="s">
        <v>291</v>
      </c>
      <c r="D934" s="85" t="s">
        <v>183</v>
      </c>
      <c r="E934" s="86" t="s">
        <v>106</v>
      </c>
      <c r="F934" s="158">
        <v>6</v>
      </c>
      <c r="G934" s="161">
        <v>7</v>
      </c>
      <c r="H934" s="158" t="s">
        <v>443</v>
      </c>
      <c r="I934" s="158">
        <v>4</v>
      </c>
      <c r="J934" s="158" t="s">
        <v>841</v>
      </c>
      <c r="K934" s="158" t="s">
        <v>73</v>
      </c>
      <c r="L934" s="158" t="s">
        <v>338</v>
      </c>
    </row>
    <row r="935" spans="1:12" ht="20.25" customHeight="1" x14ac:dyDescent="0.3">
      <c r="A935" s="90" t="s">
        <v>462</v>
      </c>
      <c r="B935" s="84"/>
      <c r="C935" s="7" t="s">
        <v>461</v>
      </c>
      <c r="D935" s="85" t="s">
        <v>183</v>
      </c>
      <c r="E935" s="86" t="s">
        <v>110</v>
      </c>
      <c r="F935" s="158">
        <v>6</v>
      </c>
      <c r="G935" s="161">
        <v>7</v>
      </c>
      <c r="H935" s="158" t="s">
        <v>873</v>
      </c>
      <c r="I935" s="158">
        <v>4</v>
      </c>
      <c r="J935" s="158" t="s">
        <v>883</v>
      </c>
      <c r="K935" s="158" t="s">
        <v>73</v>
      </c>
      <c r="L935" s="158" t="s">
        <v>362</v>
      </c>
    </row>
    <row r="936" spans="1:12" ht="20.25" customHeight="1" x14ac:dyDescent="0.3">
      <c r="A936" s="90" t="s">
        <v>464</v>
      </c>
      <c r="B936" s="84"/>
      <c r="C936" s="7" t="s">
        <v>463</v>
      </c>
      <c r="D936" s="85" t="s">
        <v>183</v>
      </c>
      <c r="E936" s="86" t="s">
        <v>110</v>
      </c>
      <c r="F936" s="158">
        <v>6</v>
      </c>
      <c r="G936" s="161">
        <v>7</v>
      </c>
      <c r="H936" s="158" t="s">
        <v>1004</v>
      </c>
      <c r="I936" s="158">
        <v>4</v>
      </c>
      <c r="J936" s="158" t="s">
        <v>1005</v>
      </c>
      <c r="K936" s="158" t="s">
        <v>73</v>
      </c>
      <c r="L936" s="158" t="s">
        <v>362</v>
      </c>
    </row>
    <row r="937" spans="1:12" ht="20.25" customHeight="1" x14ac:dyDescent="0.3">
      <c r="A937" s="90" t="s">
        <v>593</v>
      </c>
      <c r="B937" s="84"/>
      <c r="C937" s="7" t="s">
        <v>592</v>
      </c>
      <c r="D937" s="85" t="s">
        <v>183</v>
      </c>
      <c r="E937" s="86" t="s">
        <v>110</v>
      </c>
      <c r="F937" s="158">
        <v>6</v>
      </c>
      <c r="G937" s="161">
        <v>7</v>
      </c>
      <c r="H937" s="158" t="s">
        <v>873</v>
      </c>
      <c r="I937" s="158">
        <v>4</v>
      </c>
      <c r="J937" s="158" t="s">
        <v>874</v>
      </c>
      <c r="K937" s="158" t="s">
        <v>73</v>
      </c>
      <c r="L937" s="158" t="s">
        <v>362</v>
      </c>
    </row>
    <row r="938" spans="1:12" ht="20.25" customHeight="1" x14ac:dyDescent="0.3">
      <c r="A938" s="90" t="s">
        <v>466</v>
      </c>
      <c r="B938" s="84"/>
      <c r="C938" s="7" t="s">
        <v>465</v>
      </c>
      <c r="D938" s="85" t="s">
        <v>183</v>
      </c>
      <c r="E938" s="86" t="s">
        <v>110</v>
      </c>
      <c r="F938" s="158">
        <v>6</v>
      </c>
      <c r="G938" s="161">
        <v>7</v>
      </c>
      <c r="H938" s="158" t="s">
        <v>873</v>
      </c>
      <c r="I938" s="158">
        <v>4</v>
      </c>
      <c r="J938" s="158" t="s">
        <v>868</v>
      </c>
      <c r="K938" s="158" t="s">
        <v>73</v>
      </c>
      <c r="L938" s="158" t="s">
        <v>362</v>
      </c>
    </row>
    <row r="939" spans="1:12" ht="20.25" customHeight="1" x14ac:dyDescent="0.3">
      <c r="A939" s="90" t="s">
        <v>217</v>
      </c>
      <c r="B939" s="84"/>
      <c r="C939" s="7" t="s">
        <v>216</v>
      </c>
      <c r="D939" s="85" t="s">
        <v>183</v>
      </c>
      <c r="E939" s="86" t="s">
        <v>106</v>
      </c>
      <c r="F939" s="158">
        <v>6</v>
      </c>
      <c r="G939" s="161">
        <v>7</v>
      </c>
      <c r="H939" s="158" t="s">
        <v>873</v>
      </c>
      <c r="I939" s="158">
        <v>4</v>
      </c>
      <c r="J939" s="158" t="s">
        <v>873</v>
      </c>
      <c r="K939" s="158" t="s">
        <v>73</v>
      </c>
      <c r="L939" s="158" t="s">
        <v>362</v>
      </c>
    </row>
    <row r="940" spans="1:12" ht="20.25" customHeight="1" x14ac:dyDescent="0.3">
      <c r="A940" s="90" t="s">
        <v>1555</v>
      </c>
      <c r="B940" s="84"/>
      <c r="C940" s="7" t="s">
        <v>1554</v>
      </c>
      <c r="D940" s="85" t="s">
        <v>184</v>
      </c>
      <c r="E940" s="86" t="s">
        <v>105</v>
      </c>
      <c r="F940" s="158" t="s">
        <v>1586</v>
      </c>
      <c r="G940" s="161">
        <v>8</v>
      </c>
      <c r="H940" s="158" t="s">
        <v>876</v>
      </c>
      <c r="I940" s="158">
        <v>4</v>
      </c>
      <c r="J940" s="158" t="s">
        <v>887</v>
      </c>
      <c r="K940" s="158" t="s">
        <v>73</v>
      </c>
      <c r="L940" s="158" t="s">
        <v>362</v>
      </c>
    </row>
    <row r="941" spans="1:12" ht="20.25" customHeight="1" x14ac:dyDescent="0.3">
      <c r="A941" s="90" t="s">
        <v>811</v>
      </c>
      <c r="B941" s="84"/>
      <c r="C941" s="7" t="s">
        <v>810</v>
      </c>
      <c r="D941" s="85" t="s">
        <v>1564</v>
      </c>
      <c r="E941" s="86" t="s">
        <v>105</v>
      </c>
      <c r="F941" s="158">
        <v>4</v>
      </c>
      <c r="G941" s="161">
        <v>8</v>
      </c>
      <c r="H941" s="158" t="s">
        <v>444</v>
      </c>
      <c r="I941" s="158">
        <v>4</v>
      </c>
      <c r="J941" s="158" t="s">
        <v>444</v>
      </c>
      <c r="K941" s="158" t="s">
        <v>73</v>
      </c>
      <c r="L941" s="158" t="s">
        <v>338</v>
      </c>
    </row>
    <row r="942" spans="1:12" ht="20.25" customHeight="1" x14ac:dyDescent="0.3">
      <c r="A942" s="90" t="s">
        <v>815</v>
      </c>
      <c r="B942" s="84"/>
      <c r="C942" s="7" t="s">
        <v>814</v>
      </c>
      <c r="D942" s="85" t="s">
        <v>1564</v>
      </c>
      <c r="E942" s="86" t="s">
        <v>105</v>
      </c>
      <c r="F942" s="158">
        <v>6</v>
      </c>
      <c r="G942" s="161">
        <v>8</v>
      </c>
      <c r="H942" s="158" t="s">
        <v>444</v>
      </c>
      <c r="I942" s="158">
        <v>4</v>
      </c>
      <c r="J942" s="158" t="s">
        <v>839</v>
      </c>
      <c r="K942" s="158" t="s">
        <v>73</v>
      </c>
      <c r="L942" s="158" t="s">
        <v>362</v>
      </c>
    </row>
    <row r="943" spans="1:12" ht="20.25" customHeight="1" x14ac:dyDescent="0.3">
      <c r="A943" s="90" t="s">
        <v>817</v>
      </c>
      <c r="B943" s="84"/>
      <c r="C943" s="7" t="s">
        <v>816</v>
      </c>
      <c r="D943" s="85" t="s">
        <v>1564</v>
      </c>
      <c r="E943" s="86" t="s">
        <v>105</v>
      </c>
      <c r="F943" s="158">
        <v>6</v>
      </c>
      <c r="G943" s="161">
        <v>8</v>
      </c>
      <c r="H943" s="158" t="s">
        <v>444</v>
      </c>
      <c r="I943" s="158">
        <v>4</v>
      </c>
      <c r="J943" s="158" t="s">
        <v>443</v>
      </c>
      <c r="K943" s="158" t="s">
        <v>73</v>
      </c>
      <c r="L943" s="158" t="s">
        <v>338</v>
      </c>
    </row>
    <row r="944" spans="1:12" ht="20.25" customHeight="1" x14ac:dyDescent="0.3">
      <c r="A944" s="90" t="s">
        <v>809</v>
      </c>
      <c r="B944" s="84"/>
      <c r="C944" s="7" t="s">
        <v>808</v>
      </c>
      <c r="D944" s="85" t="s">
        <v>183</v>
      </c>
      <c r="E944" s="86" t="s">
        <v>106</v>
      </c>
      <c r="F944" s="158">
        <v>6</v>
      </c>
      <c r="G944" s="161">
        <v>8</v>
      </c>
      <c r="H944" s="158" t="s">
        <v>876</v>
      </c>
      <c r="I944" s="158">
        <v>4</v>
      </c>
      <c r="J944" s="158" t="s">
        <v>887</v>
      </c>
      <c r="K944" s="158" t="s">
        <v>73</v>
      </c>
      <c r="L944" s="158" t="s">
        <v>362</v>
      </c>
    </row>
    <row r="945" spans="1:12" ht="20.25" customHeight="1" x14ac:dyDescent="0.3">
      <c r="A945" s="90" t="s">
        <v>1568</v>
      </c>
      <c r="B945" s="84"/>
      <c r="C945" s="7" t="s">
        <v>1567</v>
      </c>
      <c r="D945" s="85" t="s">
        <v>183</v>
      </c>
      <c r="E945" s="86" t="s">
        <v>106</v>
      </c>
      <c r="F945" s="158">
        <v>6</v>
      </c>
      <c r="G945" s="161">
        <v>8</v>
      </c>
      <c r="H945" s="158" t="s">
        <v>868</v>
      </c>
      <c r="I945" s="158">
        <v>4</v>
      </c>
      <c r="J945" s="158" t="s">
        <v>873</v>
      </c>
      <c r="K945" s="158" t="s">
        <v>73</v>
      </c>
      <c r="L945" s="158" t="s">
        <v>362</v>
      </c>
    </row>
    <row r="946" spans="1:12" ht="20.25" customHeight="1" x14ac:dyDescent="0.3">
      <c r="A946" s="90" t="s">
        <v>1570</v>
      </c>
      <c r="B946" s="84"/>
      <c r="C946" s="7" t="s">
        <v>1569</v>
      </c>
      <c r="D946" s="85" t="s">
        <v>183</v>
      </c>
      <c r="E946" s="86" t="s">
        <v>106</v>
      </c>
      <c r="F946" s="158">
        <v>6</v>
      </c>
      <c r="G946" s="161">
        <v>8</v>
      </c>
      <c r="H946" s="158" t="s">
        <v>842</v>
      </c>
      <c r="I946" s="158">
        <v>4</v>
      </c>
      <c r="J946" s="158" t="s">
        <v>1592</v>
      </c>
      <c r="K946" s="158" t="s">
        <v>73</v>
      </c>
      <c r="L946" s="158" t="s">
        <v>338</v>
      </c>
    </row>
    <row r="947" spans="1:12" ht="20.25" customHeight="1" x14ac:dyDescent="0.3">
      <c r="A947" s="90" t="s">
        <v>1572</v>
      </c>
      <c r="B947" s="84"/>
      <c r="C947" s="7" t="s">
        <v>1571</v>
      </c>
      <c r="D947" s="85" t="s">
        <v>183</v>
      </c>
      <c r="E947" s="86" t="s">
        <v>110</v>
      </c>
      <c r="F947" s="158">
        <v>8</v>
      </c>
      <c r="G947" s="161">
        <v>8</v>
      </c>
      <c r="H947" s="158" t="s">
        <v>864</v>
      </c>
      <c r="I947" s="158">
        <v>4</v>
      </c>
      <c r="J947" s="158" t="s">
        <v>1605</v>
      </c>
      <c r="K947" s="158" t="s">
        <v>73</v>
      </c>
      <c r="L947" s="158" t="s">
        <v>352</v>
      </c>
    </row>
    <row r="948" spans="1:12" ht="20.25" customHeight="1" x14ac:dyDescent="0.3">
      <c r="A948" s="90" t="s">
        <v>892</v>
      </c>
      <c r="B948" s="84"/>
      <c r="C948" s="7" t="s">
        <v>891</v>
      </c>
      <c r="D948" s="85" t="s">
        <v>183</v>
      </c>
      <c r="E948" s="86" t="s">
        <v>105</v>
      </c>
      <c r="F948" s="158">
        <v>4</v>
      </c>
      <c r="G948" s="161">
        <v>8</v>
      </c>
      <c r="H948" s="158" t="s">
        <v>528</v>
      </c>
      <c r="I948" s="158">
        <v>4</v>
      </c>
      <c r="J948" s="158" t="s">
        <v>850</v>
      </c>
      <c r="K948" s="158" t="s">
        <v>73</v>
      </c>
      <c r="L948" s="158" t="s">
        <v>526</v>
      </c>
    </row>
    <row r="949" spans="1:12" ht="20.25" customHeight="1" x14ac:dyDescent="0.3">
      <c r="A949" s="90" t="s">
        <v>277</v>
      </c>
      <c r="B949" s="84"/>
      <c r="C949" s="7" t="s">
        <v>902</v>
      </c>
      <c r="D949" s="85" t="s">
        <v>183</v>
      </c>
      <c r="E949" s="86" t="s">
        <v>106</v>
      </c>
      <c r="F949" s="158">
        <v>6</v>
      </c>
      <c r="G949" s="161">
        <v>8</v>
      </c>
      <c r="H949" s="158" t="s">
        <v>842</v>
      </c>
      <c r="I949" s="158">
        <v>4</v>
      </c>
      <c r="J949" s="158" t="s">
        <v>446</v>
      </c>
      <c r="K949" s="158" t="s">
        <v>73</v>
      </c>
      <c r="L949" s="158" t="s">
        <v>338</v>
      </c>
    </row>
    <row r="950" spans="1:12" ht="20.25" customHeight="1" x14ac:dyDescent="0.3">
      <c r="A950" s="90" t="s">
        <v>1575</v>
      </c>
      <c r="B950" s="84"/>
      <c r="C950" s="7" t="s">
        <v>1574</v>
      </c>
      <c r="D950" s="85" t="s">
        <v>183</v>
      </c>
      <c r="E950" s="86" t="s">
        <v>110</v>
      </c>
      <c r="F950" s="158">
        <v>6</v>
      </c>
      <c r="G950" s="161">
        <v>8</v>
      </c>
      <c r="H950" s="158">
        <v>1</v>
      </c>
      <c r="I950" s="158">
        <v>4</v>
      </c>
      <c r="J950" s="158">
        <v>4</v>
      </c>
      <c r="K950" s="158" t="s">
        <v>73</v>
      </c>
      <c r="L950" s="158">
        <v>2009</v>
      </c>
    </row>
    <row r="951" spans="1:12" ht="20.25" customHeight="1" x14ac:dyDescent="0.3">
      <c r="A951" s="90" t="s">
        <v>1577</v>
      </c>
      <c r="B951" s="84"/>
      <c r="C951" s="7" t="s">
        <v>1576</v>
      </c>
      <c r="D951" s="85" t="s">
        <v>183</v>
      </c>
      <c r="E951" s="86" t="s">
        <v>105</v>
      </c>
      <c r="F951" s="158" t="s">
        <v>1586</v>
      </c>
      <c r="G951" s="161">
        <v>8</v>
      </c>
      <c r="H951" s="158" t="s">
        <v>876</v>
      </c>
      <c r="I951" s="158">
        <v>4</v>
      </c>
      <c r="J951" s="158" t="s">
        <v>887</v>
      </c>
      <c r="K951" s="158" t="s">
        <v>73</v>
      </c>
      <c r="L951" s="158" t="s">
        <v>362</v>
      </c>
    </row>
    <row r="952" spans="1:12" ht="20.25" customHeight="1" x14ac:dyDescent="0.3">
      <c r="A952" s="90" t="s">
        <v>519</v>
      </c>
      <c r="B952" s="84"/>
      <c r="C952" s="7" t="s">
        <v>518</v>
      </c>
      <c r="D952" s="85" t="s">
        <v>183</v>
      </c>
      <c r="E952" s="86" t="s">
        <v>110</v>
      </c>
      <c r="F952" s="158">
        <v>6</v>
      </c>
      <c r="G952" s="161">
        <v>8</v>
      </c>
      <c r="H952" s="158" t="s">
        <v>868</v>
      </c>
      <c r="I952" s="158">
        <v>4</v>
      </c>
      <c r="J952" s="158" t="s">
        <v>868</v>
      </c>
      <c r="K952" s="158" t="s">
        <v>73</v>
      </c>
      <c r="L952" s="158" t="s">
        <v>362</v>
      </c>
    </row>
    <row r="953" spans="1:12" ht="20.25" customHeight="1" x14ac:dyDescent="0.3">
      <c r="A953" s="90" t="s">
        <v>819</v>
      </c>
      <c r="B953" s="84"/>
      <c r="C953" s="7" t="s">
        <v>818</v>
      </c>
      <c r="D953" s="85" t="s">
        <v>183</v>
      </c>
      <c r="E953" s="86" t="s">
        <v>105</v>
      </c>
      <c r="F953" s="158">
        <v>6</v>
      </c>
      <c r="G953" s="161">
        <v>8</v>
      </c>
      <c r="H953" s="158" t="s">
        <v>868</v>
      </c>
      <c r="I953" s="158">
        <v>4</v>
      </c>
      <c r="J953" s="158" t="s">
        <v>874</v>
      </c>
      <c r="K953" s="158" t="s">
        <v>73</v>
      </c>
      <c r="L953" s="158" t="s">
        <v>362</v>
      </c>
    </row>
    <row r="954" spans="1:12" ht="20.25" customHeight="1" x14ac:dyDescent="0.3">
      <c r="A954" s="90" t="s">
        <v>1144</v>
      </c>
      <c r="B954" s="84"/>
      <c r="C954" s="7" t="s">
        <v>1143</v>
      </c>
      <c r="D954" s="85" t="s">
        <v>183</v>
      </c>
      <c r="E954" s="86" t="s">
        <v>106</v>
      </c>
      <c r="F954" s="158">
        <v>6</v>
      </c>
      <c r="G954" s="161">
        <v>8</v>
      </c>
      <c r="H954" s="158" t="s">
        <v>528</v>
      </c>
      <c r="I954" s="158">
        <v>4</v>
      </c>
      <c r="J954" s="158" t="s">
        <v>527</v>
      </c>
      <c r="K954" s="158" t="s">
        <v>73</v>
      </c>
      <c r="L954" s="158" t="s">
        <v>526</v>
      </c>
    </row>
    <row r="955" spans="1:12" ht="20.25" customHeight="1" x14ac:dyDescent="0.3">
      <c r="A955" s="90" t="s">
        <v>1579</v>
      </c>
      <c r="B955" s="84"/>
      <c r="C955" s="7" t="s">
        <v>1578</v>
      </c>
      <c r="D955" s="85" t="s">
        <v>1564</v>
      </c>
      <c r="E955" s="86" t="s">
        <v>105</v>
      </c>
      <c r="F955" s="158">
        <v>6</v>
      </c>
      <c r="G955" s="161">
        <v>8</v>
      </c>
      <c r="H955" s="158" t="s">
        <v>443</v>
      </c>
      <c r="I955" s="158">
        <v>4</v>
      </c>
      <c r="J955" s="158" t="s">
        <v>839</v>
      </c>
      <c r="K955" s="158" t="s">
        <v>73</v>
      </c>
      <c r="L955" s="158" t="s">
        <v>362</v>
      </c>
    </row>
    <row r="956" spans="1:12" ht="20.25" customHeight="1" x14ac:dyDescent="0.3">
      <c r="A956" s="90" t="s">
        <v>279</v>
      </c>
      <c r="B956" s="84"/>
      <c r="C956" s="7" t="s">
        <v>278</v>
      </c>
      <c r="D956" s="85" t="s">
        <v>1564</v>
      </c>
      <c r="E956" s="86" t="s">
        <v>105</v>
      </c>
      <c r="F956" s="158">
        <v>4</v>
      </c>
      <c r="G956" s="161">
        <v>8</v>
      </c>
      <c r="H956" s="158" t="s">
        <v>443</v>
      </c>
      <c r="I956" s="158">
        <v>4</v>
      </c>
      <c r="J956" s="158" t="s">
        <v>443</v>
      </c>
      <c r="K956" s="158" t="s">
        <v>73</v>
      </c>
      <c r="L956" s="158" t="s">
        <v>362</v>
      </c>
    </row>
    <row r="957" spans="1:12" ht="20.25" customHeight="1" x14ac:dyDescent="0.3">
      <c r="A957" s="90" t="s">
        <v>827</v>
      </c>
      <c r="B957" s="84"/>
      <c r="C957" s="7" t="s">
        <v>826</v>
      </c>
      <c r="D957" s="85" t="s">
        <v>1564</v>
      </c>
      <c r="E957" s="86" t="s">
        <v>105</v>
      </c>
      <c r="F957" s="158">
        <v>6</v>
      </c>
      <c r="G957" s="161">
        <v>8</v>
      </c>
      <c r="H957" s="158" t="s">
        <v>443</v>
      </c>
      <c r="I957" s="158">
        <v>4</v>
      </c>
      <c r="J957" s="158" t="s">
        <v>839</v>
      </c>
      <c r="K957" s="158" t="s">
        <v>73</v>
      </c>
      <c r="L957" s="158" t="s">
        <v>362</v>
      </c>
    </row>
    <row r="958" spans="1:12" ht="20.25" customHeight="1" x14ac:dyDescent="0.3">
      <c r="A958" s="90" t="s">
        <v>1581</v>
      </c>
      <c r="B958" s="84"/>
      <c r="C958" s="7" t="s">
        <v>1580</v>
      </c>
      <c r="D958" s="85" t="s">
        <v>183</v>
      </c>
      <c r="E958" s="86" t="s">
        <v>110</v>
      </c>
      <c r="F958" s="158">
        <v>6</v>
      </c>
      <c r="G958" s="161">
        <v>8</v>
      </c>
      <c r="H958" s="158">
        <v>2</v>
      </c>
      <c r="I958" s="158">
        <v>4</v>
      </c>
      <c r="J958" s="158">
        <v>3</v>
      </c>
      <c r="K958" s="158" t="s">
        <v>73</v>
      </c>
      <c r="L958" s="158">
        <v>2009</v>
      </c>
    </row>
    <row r="959" spans="1:12" ht="20.25" customHeight="1" x14ac:dyDescent="0.3">
      <c r="A959" s="90" t="s">
        <v>1583</v>
      </c>
      <c r="B959" s="84"/>
      <c r="C959" s="7" t="s">
        <v>1582</v>
      </c>
      <c r="D959" s="85" t="s">
        <v>183</v>
      </c>
      <c r="E959" s="86" t="s">
        <v>110</v>
      </c>
      <c r="F959" s="158">
        <v>6</v>
      </c>
      <c r="G959" s="161">
        <v>8</v>
      </c>
      <c r="H959" s="158" t="s">
        <v>443</v>
      </c>
      <c r="I959" s="158">
        <v>4</v>
      </c>
      <c r="J959" s="158" t="s">
        <v>841</v>
      </c>
      <c r="K959" s="158" t="s">
        <v>73</v>
      </c>
      <c r="L959" s="158" t="s">
        <v>338</v>
      </c>
    </row>
    <row r="960" spans="1:12" ht="20.25" customHeight="1" x14ac:dyDescent="0.3">
      <c r="A960" s="90" t="s">
        <v>48</v>
      </c>
      <c r="B960" s="84"/>
      <c r="C960" s="7" t="s">
        <v>237</v>
      </c>
      <c r="D960" s="85" t="s">
        <v>183</v>
      </c>
      <c r="E960" s="86" t="s">
        <v>105</v>
      </c>
      <c r="F960" s="158">
        <v>6</v>
      </c>
      <c r="G960" s="161">
        <v>8</v>
      </c>
      <c r="H960" s="158">
        <v>2</v>
      </c>
      <c r="I960" s="158">
        <v>4</v>
      </c>
      <c r="J960" s="158">
        <v>3</v>
      </c>
      <c r="K960" s="158" t="s">
        <v>73</v>
      </c>
      <c r="L960" s="158">
        <v>2009</v>
      </c>
    </row>
    <row r="961" spans="1:12" ht="20.25" customHeight="1" x14ac:dyDescent="0.3">
      <c r="A961" s="90" t="s">
        <v>1167</v>
      </c>
      <c r="B961" s="84"/>
      <c r="C961" s="7" t="s">
        <v>1166</v>
      </c>
      <c r="D961" s="85" t="s">
        <v>183</v>
      </c>
      <c r="E961" s="86" t="s">
        <v>105</v>
      </c>
      <c r="F961" s="158">
        <v>6</v>
      </c>
      <c r="G961" s="161">
        <v>8</v>
      </c>
      <c r="H961" s="158" t="s">
        <v>542</v>
      </c>
      <c r="I961" s="158">
        <v>4</v>
      </c>
      <c r="J961" s="158" t="s">
        <v>543</v>
      </c>
      <c r="K961" s="158" t="s">
        <v>73</v>
      </c>
      <c r="L961" s="158" t="s">
        <v>352</v>
      </c>
    </row>
    <row r="962" spans="1:12" ht="20.25" customHeight="1" x14ac:dyDescent="0.3">
      <c r="A962" s="90" t="s">
        <v>510</v>
      </c>
      <c r="B962" s="84"/>
      <c r="C962" s="7" t="s">
        <v>509</v>
      </c>
      <c r="D962" s="85" t="s">
        <v>183</v>
      </c>
      <c r="E962" s="86" t="s">
        <v>110</v>
      </c>
      <c r="F962" s="158">
        <v>6</v>
      </c>
      <c r="G962" s="161">
        <v>8</v>
      </c>
      <c r="H962" s="158" t="s">
        <v>533</v>
      </c>
      <c r="I962" s="158">
        <v>4</v>
      </c>
      <c r="J962" s="158" t="s">
        <v>533</v>
      </c>
      <c r="K962" s="158" t="s">
        <v>73</v>
      </c>
      <c r="L962" s="158" t="s">
        <v>347</v>
      </c>
    </row>
    <row r="963" spans="1:12" ht="20.25" customHeight="1" x14ac:dyDescent="0.3">
      <c r="A963" s="90" t="s">
        <v>1585</v>
      </c>
      <c r="B963" s="84"/>
      <c r="C963" s="7" t="s">
        <v>1584</v>
      </c>
      <c r="D963" s="85" t="s">
        <v>183</v>
      </c>
      <c r="E963" s="86" t="s">
        <v>110</v>
      </c>
      <c r="F963" s="158">
        <v>6</v>
      </c>
      <c r="G963" s="161">
        <v>9</v>
      </c>
      <c r="H963" s="158">
        <v>1</v>
      </c>
      <c r="I963" s="158">
        <v>5</v>
      </c>
      <c r="J963" s="158">
        <v>1</v>
      </c>
      <c r="K963" s="158" t="s">
        <v>73</v>
      </c>
      <c r="L963" s="158">
        <v>2009</v>
      </c>
    </row>
    <row r="964" spans="1:12" ht="20.25" customHeight="1" x14ac:dyDescent="0.3">
      <c r="A964" s="90" t="s">
        <v>451</v>
      </c>
      <c r="B964" s="84"/>
      <c r="C964" s="7" t="s">
        <v>450</v>
      </c>
      <c r="D964" s="85" t="s">
        <v>183</v>
      </c>
      <c r="E964" s="86" t="s">
        <v>110</v>
      </c>
      <c r="F964" s="158">
        <v>6</v>
      </c>
      <c r="G964" s="161">
        <v>9</v>
      </c>
      <c r="H964" s="158" t="s">
        <v>868</v>
      </c>
      <c r="I964" s="158">
        <v>5</v>
      </c>
      <c r="J964" s="158" t="s">
        <v>883</v>
      </c>
      <c r="K964" s="158" t="s">
        <v>73</v>
      </c>
      <c r="L964" s="158" t="s">
        <v>362</v>
      </c>
    </row>
    <row r="965" spans="1:12" ht="20.25" customHeight="1" x14ac:dyDescent="0.3">
      <c r="A965" s="90" t="s">
        <v>1589</v>
      </c>
      <c r="B965" s="84"/>
      <c r="C965" s="7" t="s">
        <v>1588</v>
      </c>
      <c r="D965" s="85" t="s">
        <v>183</v>
      </c>
      <c r="E965" s="86" t="s">
        <v>105</v>
      </c>
      <c r="F965" s="158">
        <v>6</v>
      </c>
      <c r="G965" s="161">
        <v>7</v>
      </c>
      <c r="H965" s="158">
        <v>2</v>
      </c>
      <c r="I965" s="158">
        <v>4</v>
      </c>
      <c r="J965" s="158">
        <v>3</v>
      </c>
      <c r="K965" s="158" t="s">
        <v>73</v>
      </c>
      <c r="L965" s="158">
        <v>2010</v>
      </c>
    </row>
    <row r="966" spans="1:12" ht="20.25" customHeight="1" x14ac:dyDescent="0.3">
      <c r="A966" s="90" t="s">
        <v>1589</v>
      </c>
      <c r="B966" s="84"/>
      <c r="C966" s="7" t="s">
        <v>1590</v>
      </c>
      <c r="D966" s="85" t="s">
        <v>183</v>
      </c>
      <c r="E966" s="86" t="s">
        <v>105</v>
      </c>
      <c r="F966" s="158">
        <v>6</v>
      </c>
      <c r="G966" s="161">
        <v>7</v>
      </c>
      <c r="H966" s="158" t="s">
        <v>533</v>
      </c>
      <c r="I966" s="158">
        <v>4</v>
      </c>
      <c r="J966" s="158" t="s">
        <v>863</v>
      </c>
      <c r="K966" s="158" t="s">
        <v>73</v>
      </c>
      <c r="L966" s="158" t="s">
        <v>1608</v>
      </c>
    </row>
    <row r="967" spans="1:12" ht="20.25" customHeight="1" x14ac:dyDescent="0.3">
      <c r="A967" s="90" t="s">
        <v>48</v>
      </c>
      <c r="B967" s="84"/>
      <c r="C967" s="7" t="s">
        <v>237</v>
      </c>
      <c r="D967" s="85" t="s">
        <v>183</v>
      </c>
      <c r="E967" s="86" t="s">
        <v>105</v>
      </c>
      <c r="F967" s="158">
        <v>6</v>
      </c>
      <c r="G967" s="161">
        <v>7</v>
      </c>
      <c r="H967" s="158" t="s">
        <v>542</v>
      </c>
      <c r="I967" s="158">
        <v>4</v>
      </c>
      <c r="J967" s="158" t="s">
        <v>865</v>
      </c>
      <c r="K967" s="158" t="s">
        <v>73</v>
      </c>
      <c r="L967" s="158" t="s">
        <v>367</v>
      </c>
    </row>
    <row r="968" spans="1:12" ht="20.25" customHeight="1" x14ac:dyDescent="0.3">
      <c r="A968" s="90" t="s">
        <v>245</v>
      </c>
      <c r="B968" s="84"/>
      <c r="C968" s="7" t="s">
        <v>244</v>
      </c>
      <c r="D968" s="85" t="s">
        <v>183</v>
      </c>
      <c r="E968" s="86" t="s">
        <v>106</v>
      </c>
      <c r="F968" s="158">
        <v>6</v>
      </c>
      <c r="G968" s="161">
        <v>8</v>
      </c>
      <c r="H968" s="158">
        <v>1</v>
      </c>
      <c r="I968" s="158">
        <v>4</v>
      </c>
      <c r="J968" s="158">
        <v>4</v>
      </c>
      <c r="K968" s="158" t="s">
        <v>73</v>
      </c>
      <c r="L968" s="158">
        <v>2010</v>
      </c>
    </row>
    <row r="969" spans="1:12" ht="20.25" customHeight="1" x14ac:dyDescent="0.3">
      <c r="A969" s="90" t="s">
        <v>504</v>
      </c>
      <c r="B969" s="84"/>
      <c r="C969" s="7" t="s">
        <v>503</v>
      </c>
      <c r="D969" s="85" t="s">
        <v>183</v>
      </c>
      <c r="E969" s="86" t="s">
        <v>106</v>
      </c>
      <c r="F969" s="158">
        <v>6</v>
      </c>
      <c r="G969" s="161">
        <v>9</v>
      </c>
      <c r="H969" s="158">
        <v>1</v>
      </c>
      <c r="I969" s="158">
        <v>5</v>
      </c>
      <c r="J969" s="158">
        <v>4</v>
      </c>
      <c r="K969" s="158" t="s">
        <v>73</v>
      </c>
      <c r="L969" s="158">
        <v>2010</v>
      </c>
    </row>
    <row r="970" spans="1:12" ht="20.25" customHeight="1" x14ac:dyDescent="0.3">
      <c r="A970" s="90" t="s">
        <v>402</v>
      </c>
      <c r="B970" s="84"/>
      <c r="C970" s="7" t="s">
        <v>401</v>
      </c>
      <c r="D970" s="85" t="s">
        <v>183</v>
      </c>
      <c r="E970" s="86" t="s">
        <v>106</v>
      </c>
      <c r="F970" s="158">
        <v>6</v>
      </c>
      <c r="G970" s="161">
        <v>9</v>
      </c>
      <c r="H970" s="158" t="s">
        <v>199</v>
      </c>
      <c r="I970" s="158">
        <v>5</v>
      </c>
      <c r="J970" s="158" t="s">
        <v>199</v>
      </c>
      <c r="K970" s="158" t="s">
        <v>73</v>
      </c>
      <c r="L970" s="158">
        <v>2010</v>
      </c>
    </row>
    <row r="971" spans="1:12" ht="20.25" customHeight="1" x14ac:dyDescent="0.3">
      <c r="A971" s="90" t="s">
        <v>245</v>
      </c>
      <c r="B971" s="84"/>
      <c r="C971" s="7" t="s">
        <v>244</v>
      </c>
      <c r="D971" s="85" t="s">
        <v>183</v>
      </c>
      <c r="E971" s="86" t="s">
        <v>106</v>
      </c>
      <c r="F971" s="158">
        <v>6</v>
      </c>
      <c r="G971" s="161">
        <v>7</v>
      </c>
      <c r="H971" s="158" t="s">
        <v>534</v>
      </c>
      <c r="I971" s="158">
        <v>4</v>
      </c>
      <c r="J971" s="158" t="s">
        <v>863</v>
      </c>
      <c r="K971" s="158" t="s">
        <v>73</v>
      </c>
      <c r="L971" s="158" t="s">
        <v>369</v>
      </c>
    </row>
    <row r="972" spans="1:12" ht="20.25" customHeight="1" x14ac:dyDescent="0.3">
      <c r="A972" s="90" t="s">
        <v>589</v>
      </c>
      <c r="B972" s="84"/>
      <c r="C972" s="7" t="s">
        <v>588</v>
      </c>
      <c r="D972" s="85" t="s">
        <v>183</v>
      </c>
      <c r="E972" s="86" t="s">
        <v>110</v>
      </c>
      <c r="F972" s="158">
        <v>6</v>
      </c>
      <c r="G972" s="161">
        <v>7</v>
      </c>
      <c r="H972" s="158" t="s">
        <v>443</v>
      </c>
      <c r="I972" s="158">
        <v>4</v>
      </c>
      <c r="J972" s="158" t="s">
        <v>841</v>
      </c>
      <c r="K972" s="158" t="s">
        <v>73</v>
      </c>
      <c r="L972" s="158" t="s">
        <v>537</v>
      </c>
    </row>
    <row r="973" spans="1:12" ht="20.25" customHeight="1" x14ac:dyDescent="0.3">
      <c r="A973" s="90" t="s">
        <v>1069</v>
      </c>
      <c r="B973" s="84"/>
      <c r="C973" s="7" t="s">
        <v>1077</v>
      </c>
      <c r="D973" s="85" t="s">
        <v>183</v>
      </c>
      <c r="E973" s="86" t="s">
        <v>105</v>
      </c>
      <c r="F973" s="158">
        <v>6</v>
      </c>
      <c r="G973" s="161">
        <v>7</v>
      </c>
      <c r="H973" s="158" t="s">
        <v>533</v>
      </c>
      <c r="I973" s="158">
        <v>4</v>
      </c>
      <c r="J973" s="158" t="s">
        <v>863</v>
      </c>
      <c r="K973" s="158" t="s">
        <v>73</v>
      </c>
      <c r="L973" s="158" t="s">
        <v>369</v>
      </c>
    </row>
    <row r="974" spans="1:12" ht="20.25" customHeight="1" x14ac:dyDescent="0.3">
      <c r="A974" s="90" t="s">
        <v>277</v>
      </c>
      <c r="B974" s="84"/>
      <c r="C974" s="7" t="s">
        <v>276</v>
      </c>
      <c r="D974" s="85" t="s">
        <v>183</v>
      </c>
      <c r="E974" s="86" t="s">
        <v>106</v>
      </c>
      <c r="F974" s="158">
        <v>6</v>
      </c>
      <c r="G974" s="161">
        <v>8</v>
      </c>
      <c r="H974" s="158" t="s">
        <v>861</v>
      </c>
      <c r="I974" s="158">
        <v>4</v>
      </c>
      <c r="J974" s="158" t="s">
        <v>350</v>
      </c>
      <c r="K974" s="158" t="s">
        <v>73</v>
      </c>
      <c r="L974" s="158" t="s">
        <v>369</v>
      </c>
    </row>
    <row r="975" spans="1:12" ht="20.25" customHeight="1" x14ac:dyDescent="0.3">
      <c r="A975" s="90" t="s">
        <v>846</v>
      </c>
      <c r="B975" s="84"/>
      <c r="C975" s="7" t="s">
        <v>845</v>
      </c>
      <c r="D975" s="85" t="s">
        <v>183</v>
      </c>
      <c r="E975" s="86" t="s">
        <v>105</v>
      </c>
      <c r="F975" s="158">
        <v>6</v>
      </c>
      <c r="G975" s="161">
        <v>8</v>
      </c>
      <c r="H975" s="158" t="s">
        <v>534</v>
      </c>
      <c r="I975" s="158">
        <v>4</v>
      </c>
      <c r="J975" s="158" t="s">
        <v>533</v>
      </c>
      <c r="K975" s="158" t="s">
        <v>73</v>
      </c>
      <c r="L975" s="158" t="s">
        <v>369</v>
      </c>
    </row>
    <row r="976" spans="1:12" ht="20.25" customHeight="1" x14ac:dyDescent="0.3">
      <c r="A976" s="90" t="s">
        <v>271</v>
      </c>
      <c r="B976" s="84"/>
      <c r="C976" s="7" t="s">
        <v>270</v>
      </c>
      <c r="D976" s="85" t="s">
        <v>183</v>
      </c>
      <c r="E976" s="86" t="s">
        <v>105</v>
      </c>
      <c r="F976" s="158">
        <v>6</v>
      </c>
      <c r="G976" s="161">
        <v>8</v>
      </c>
      <c r="H976" s="158" t="s">
        <v>533</v>
      </c>
      <c r="I976" s="158">
        <v>4</v>
      </c>
      <c r="J976" s="158" t="s">
        <v>533</v>
      </c>
      <c r="K976" s="158" t="s">
        <v>73</v>
      </c>
      <c r="L976" s="158" t="s">
        <v>369</v>
      </c>
    </row>
    <row r="977" spans="1:12" ht="20.25" customHeight="1" x14ac:dyDescent="0.3">
      <c r="A977" s="90" t="s">
        <v>521</v>
      </c>
      <c r="B977" s="84"/>
      <c r="C977" s="7" t="s">
        <v>520</v>
      </c>
      <c r="D977" s="85" t="s">
        <v>183</v>
      </c>
      <c r="E977" s="86" t="s">
        <v>110</v>
      </c>
      <c r="F977" s="158">
        <v>6</v>
      </c>
      <c r="G977" s="161">
        <v>8</v>
      </c>
      <c r="H977" s="158" t="s">
        <v>533</v>
      </c>
      <c r="I977" s="158">
        <v>4</v>
      </c>
      <c r="J977" s="158" t="s">
        <v>534</v>
      </c>
      <c r="K977" s="158" t="s">
        <v>73</v>
      </c>
      <c r="L977" s="158" t="s">
        <v>369</v>
      </c>
    </row>
    <row r="978" spans="1:12" ht="20.25" customHeight="1" x14ac:dyDescent="0.3">
      <c r="A978" s="90" t="s">
        <v>1594</v>
      </c>
      <c r="B978" s="84"/>
      <c r="C978" s="7" t="s">
        <v>1593</v>
      </c>
      <c r="D978" s="85" t="s">
        <v>183</v>
      </c>
      <c r="E978" s="86" t="s">
        <v>110</v>
      </c>
      <c r="F978" s="158">
        <v>6</v>
      </c>
      <c r="G978" s="161">
        <v>9</v>
      </c>
      <c r="H978" s="158" t="s">
        <v>534</v>
      </c>
      <c r="I978" s="158">
        <v>5</v>
      </c>
      <c r="J978" s="158" t="s">
        <v>863</v>
      </c>
      <c r="K978" s="158" t="s">
        <v>73</v>
      </c>
      <c r="L978" s="158" t="s">
        <v>369</v>
      </c>
    </row>
    <row r="979" spans="1:12" ht="20.25" customHeight="1" x14ac:dyDescent="0.3">
      <c r="A979" s="90" t="s">
        <v>290</v>
      </c>
      <c r="B979" s="84"/>
      <c r="C979" s="7" t="s">
        <v>289</v>
      </c>
      <c r="D979" s="85" t="s">
        <v>183</v>
      </c>
      <c r="E979" s="86" t="s">
        <v>105</v>
      </c>
      <c r="F979" s="158">
        <v>6</v>
      </c>
      <c r="G979" s="161">
        <v>7</v>
      </c>
      <c r="H979" s="158" t="s">
        <v>527</v>
      </c>
      <c r="I979" s="158">
        <v>4</v>
      </c>
      <c r="J979" s="158" t="s">
        <v>528</v>
      </c>
      <c r="K979" s="158" t="s">
        <v>73</v>
      </c>
      <c r="L979" s="158" t="s">
        <v>679</v>
      </c>
    </row>
    <row r="980" spans="1:12" ht="20.25" customHeight="1" x14ac:dyDescent="0.3">
      <c r="A980" s="90" t="s">
        <v>1598</v>
      </c>
      <c r="B980" s="84"/>
      <c r="C980" s="7" t="s">
        <v>1597</v>
      </c>
      <c r="D980" s="85" t="s">
        <v>183</v>
      </c>
      <c r="E980" s="86" t="s">
        <v>106</v>
      </c>
      <c r="F980" s="158">
        <v>6</v>
      </c>
      <c r="G980" s="161">
        <v>8</v>
      </c>
      <c r="H980" s="158" t="s">
        <v>528</v>
      </c>
      <c r="I980" s="158">
        <v>4</v>
      </c>
      <c r="J980" s="158" t="s">
        <v>850</v>
      </c>
      <c r="K980" s="158" t="s">
        <v>73</v>
      </c>
      <c r="L980" s="158" t="s">
        <v>679</v>
      </c>
    </row>
    <row r="981" spans="1:12" ht="20.25" customHeight="1" x14ac:dyDescent="0.3">
      <c r="A981" s="90" t="s">
        <v>115</v>
      </c>
      <c r="B981" s="84"/>
      <c r="C981" s="7" t="s">
        <v>1600</v>
      </c>
      <c r="D981" s="85" t="s">
        <v>183</v>
      </c>
      <c r="E981" s="86" t="s">
        <v>105</v>
      </c>
      <c r="F981" s="158">
        <v>8</v>
      </c>
      <c r="G981" s="161">
        <v>7</v>
      </c>
      <c r="H981" s="158" t="s">
        <v>842</v>
      </c>
      <c r="I981" s="158">
        <v>4</v>
      </c>
      <c r="J981" s="158" t="s">
        <v>344</v>
      </c>
      <c r="K981" s="158" t="s">
        <v>73</v>
      </c>
      <c r="L981" s="158" t="s">
        <v>361</v>
      </c>
    </row>
    <row r="982" spans="1:12" ht="20.25" customHeight="1" x14ac:dyDescent="0.3">
      <c r="A982" s="90" t="s">
        <v>251</v>
      </c>
      <c r="B982" s="84"/>
      <c r="C982" s="7" t="s">
        <v>250</v>
      </c>
      <c r="D982" s="85" t="s">
        <v>183</v>
      </c>
      <c r="E982" s="86" t="s">
        <v>110</v>
      </c>
      <c r="F982" s="158">
        <v>6</v>
      </c>
      <c r="G982" s="161">
        <v>7</v>
      </c>
      <c r="H982" s="158" t="s">
        <v>842</v>
      </c>
      <c r="I982" s="158">
        <v>4</v>
      </c>
      <c r="J982" s="158" t="s">
        <v>1607</v>
      </c>
      <c r="K982" s="158" t="s">
        <v>73</v>
      </c>
      <c r="L982" s="158" t="s">
        <v>361</v>
      </c>
    </row>
    <row r="983" spans="1:12" ht="20.25" customHeight="1" x14ac:dyDescent="0.3">
      <c r="A983" s="90" t="s">
        <v>1581</v>
      </c>
      <c r="B983" s="84"/>
      <c r="C983" s="7" t="s">
        <v>1580</v>
      </c>
      <c r="D983" s="85" t="s">
        <v>183</v>
      </c>
      <c r="E983" s="86" t="s">
        <v>110</v>
      </c>
      <c r="F983" s="158">
        <v>6</v>
      </c>
      <c r="G983" s="161">
        <v>7</v>
      </c>
      <c r="H983" s="158">
        <v>2</v>
      </c>
      <c r="I983" s="158">
        <v>4</v>
      </c>
      <c r="J983" s="158">
        <v>1</v>
      </c>
      <c r="K983" s="158" t="s">
        <v>73</v>
      </c>
      <c r="L983" s="158">
        <v>2013</v>
      </c>
    </row>
    <row r="984" spans="1:12" ht="20.25" customHeight="1" x14ac:dyDescent="0.3">
      <c r="A984" s="90" t="s">
        <v>624</v>
      </c>
      <c r="B984" s="84"/>
      <c r="C984" s="7" t="s">
        <v>623</v>
      </c>
      <c r="D984" s="85" t="s">
        <v>183</v>
      </c>
      <c r="E984" s="86" t="s">
        <v>110</v>
      </c>
      <c r="F984" s="158">
        <v>6</v>
      </c>
      <c r="G984" s="161">
        <v>7</v>
      </c>
      <c r="H984" s="158" t="s">
        <v>443</v>
      </c>
      <c r="I984" s="158">
        <v>4</v>
      </c>
      <c r="J984" s="158" t="s">
        <v>841</v>
      </c>
      <c r="K984" s="158" t="s">
        <v>73</v>
      </c>
      <c r="L984" s="158" t="s">
        <v>361</v>
      </c>
    </row>
    <row r="985" spans="1:12" ht="20.25" customHeight="1" x14ac:dyDescent="0.3">
      <c r="A985" s="90" t="s">
        <v>1602</v>
      </c>
      <c r="B985" s="84"/>
      <c r="C985" s="7" t="s">
        <v>1601</v>
      </c>
      <c r="D985" s="85" t="s">
        <v>183</v>
      </c>
      <c r="E985" s="86" t="s">
        <v>110</v>
      </c>
      <c r="F985" s="158">
        <v>6</v>
      </c>
      <c r="G985" s="161">
        <v>8</v>
      </c>
      <c r="H985" s="158" t="s">
        <v>199</v>
      </c>
      <c r="I985" s="158">
        <v>4</v>
      </c>
      <c r="J985" s="158" t="s">
        <v>1444</v>
      </c>
      <c r="K985" s="158" t="s">
        <v>73</v>
      </c>
      <c r="L985" s="158">
        <v>2013</v>
      </c>
    </row>
    <row r="986" spans="1:12" ht="20.25" customHeight="1" x14ac:dyDescent="0.3">
      <c r="A986" s="90" t="s">
        <v>510</v>
      </c>
      <c r="B986" s="84"/>
      <c r="C986" s="7" t="s">
        <v>509</v>
      </c>
      <c r="D986" s="85" t="s">
        <v>183</v>
      </c>
      <c r="E986" s="86" t="s">
        <v>110</v>
      </c>
      <c r="F986" s="158">
        <v>6</v>
      </c>
      <c r="G986" s="161">
        <v>9</v>
      </c>
      <c r="H986" s="158" t="s">
        <v>444</v>
      </c>
      <c r="I986" s="158">
        <v>5</v>
      </c>
      <c r="J986" s="158" t="s">
        <v>443</v>
      </c>
      <c r="K986" s="158" t="s">
        <v>73</v>
      </c>
      <c r="L986" s="158" t="s">
        <v>361</v>
      </c>
    </row>
    <row r="987" spans="1:12" ht="20.25" customHeight="1" x14ac:dyDescent="0.3">
      <c r="A987" s="90" t="s">
        <v>1604</v>
      </c>
      <c r="B987" s="84"/>
      <c r="C987" s="7" t="s">
        <v>1603</v>
      </c>
      <c r="D987" s="85" t="s">
        <v>183</v>
      </c>
      <c r="E987" s="86" t="s">
        <v>106</v>
      </c>
      <c r="F987" s="158">
        <v>4</v>
      </c>
      <c r="G987" s="161">
        <v>9</v>
      </c>
      <c r="H987" s="158" t="s">
        <v>443</v>
      </c>
      <c r="I987" s="158">
        <v>5</v>
      </c>
      <c r="J987" s="158" t="s">
        <v>841</v>
      </c>
      <c r="K987" s="158" t="s">
        <v>73</v>
      </c>
      <c r="L987" s="158" t="s">
        <v>361</v>
      </c>
    </row>
    <row r="988" spans="1:12" ht="20.25" customHeight="1" x14ac:dyDescent="0.3">
      <c r="A988" s="90" t="s">
        <v>1572</v>
      </c>
      <c r="B988" s="84"/>
      <c r="C988" s="7" t="s">
        <v>1606</v>
      </c>
      <c r="D988" s="85" t="s">
        <v>183</v>
      </c>
      <c r="E988" s="86" t="s">
        <v>106</v>
      </c>
      <c r="F988" s="158">
        <v>8</v>
      </c>
      <c r="G988" s="161">
        <v>8</v>
      </c>
      <c r="H988" s="158" t="s">
        <v>199</v>
      </c>
      <c r="I988" s="158">
        <v>4</v>
      </c>
      <c r="J988" s="158" t="s">
        <v>1180</v>
      </c>
      <c r="K988" s="158" t="s">
        <v>73</v>
      </c>
      <c r="L988" s="158">
        <v>2014</v>
      </c>
    </row>
    <row r="989" spans="1:12" ht="20.25" customHeight="1" x14ac:dyDescent="0.3">
      <c r="A989" s="90" t="s">
        <v>1107</v>
      </c>
      <c r="B989" s="84"/>
      <c r="C989" s="7" t="s">
        <v>1106</v>
      </c>
      <c r="D989" s="85" t="s">
        <v>183</v>
      </c>
      <c r="E989" s="86" t="s">
        <v>106</v>
      </c>
      <c r="F989" s="158">
        <v>6</v>
      </c>
      <c r="G989" s="161">
        <v>8</v>
      </c>
      <c r="H989" s="158">
        <v>2</v>
      </c>
      <c r="I989" s="158">
        <v>4</v>
      </c>
      <c r="J989" s="158">
        <v>4</v>
      </c>
      <c r="K989" s="158" t="s">
        <v>73</v>
      </c>
      <c r="L989" s="158">
        <v>2014</v>
      </c>
    </row>
    <row r="990" spans="1:12" ht="20.25" customHeight="1" x14ac:dyDescent="0.3">
      <c r="A990" s="90" t="s">
        <v>243</v>
      </c>
      <c r="B990" s="84"/>
      <c r="C990" s="7" t="s">
        <v>242</v>
      </c>
      <c r="D990" s="85" t="s">
        <v>183</v>
      </c>
      <c r="E990" s="86" t="s">
        <v>110</v>
      </c>
      <c r="F990" s="158">
        <v>12</v>
      </c>
      <c r="G990" s="161">
        <v>9</v>
      </c>
      <c r="H990" s="158" t="s">
        <v>199</v>
      </c>
      <c r="I990" s="158">
        <v>5</v>
      </c>
      <c r="J990" s="158" t="s">
        <v>332</v>
      </c>
      <c r="K990" s="158" t="s">
        <v>73</v>
      </c>
      <c r="L990" s="158">
        <v>2014</v>
      </c>
    </row>
    <row r="991" spans="1:12" ht="20.25" customHeight="1" x14ac:dyDescent="0.3">
      <c r="A991" s="90" t="s">
        <v>775</v>
      </c>
      <c r="B991" s="84"/>
      <c r="C991" s="7" t="s">
        <v>774</v>
      </c>
      <c r="D991" s="85" t="s">
        <v>183</v>
      </c>
      <c r="E991" s="86" t="s">
        <v>106</v>
      </c>
      <c r="F991" s="158">
        <v>6</v>
      </c>
      <c r="G991" s="161">
        <v>3</v>
      </c>
      <c r="H991" s="158" t="s">
        <v>851</v>
      </c>
      <c r="I991" s="158">
        <v>2</v>
      </c>
      <c r="J991" s="158" t="s">
        <v>1613</v>
      </c>
      <c r="K991" s="158" t="s">
        <v>73</v>
      </c>
      <c r="L991" s="158" t="s">
        <v>679</v>
      </c>
    </row>
    <row r="992" spans="1:12" ht="20.25" customHeight="1" x14ac:dyDescent="0.3">
      <c r="A992" s="90" t="s">
        <v>809</v>
      </c>
      <c r="B992" s="84"/>
      <c r="C992" s="7" t="s">
        <v>808</v>
      </c>
      <c r="D992" s="85" t="s">
        <v>183</v>
      </c>
      <c r="E992" s="86" t="s">
        <v>106</v>
      </c>
      <c r="F992" s="158">
        <v>6</v>
      </c>
      <c r="G992" s="161">
        <v>4</v>
      </c>
      <c r="H992" s="158" t="s">
        <v>851</v>
      </c>
      <c r="I992" s="158">
        <v>2</v>
      </c>
      <c r="J992" s="158" t="s">
        <v>939</v>
      </c>
      <c r="K992" s="158" t="s">
        <v>73</v>
      </c>
      <c r="L992" s="158" t="s">
        <v>679</v>
      </c>
    </row>
    <row r="993" spans="1:12" ht="20.25" customHeight="1" x14ac:dyDescent="0.3">
      <c r="A993" s="90" t="s">
        <v>115</v>
      </c>
      <c r="B993" s="84"/>
      <c r="C993" s="7" t="s">
        <v>1600</v>
      </c>
      <c r="D993" s="85" t="s">
        <v>183</v>
      </c>
      <c r="E993" s="86" t="s">
        <v>105</v>
      </c>
      <c r="F993" s="158">
        <v>8</v>
      </c>
      <c r="G993" s="161">
        <v>3</v>
      </c>
      <c r="H993" s="158" t="s">
        <v>842</v>
      </c>
      <c r="I993" s="158">
        <v>2</v>
      </c>
      <c r="J993" s="158" t="s">
        <v>344</v>
      </c>
      <c r="K993" s="158" t="s">
        <v>73</v>
      </c>
      <c r="L993" s="158" t="s">
        <v>361</v>
      </c>
    </row>
    <row r="994" spans="1:12" ht="20.25" customHeight="1" x14ac:dyDescent="0.3">
      <c r="A994" s="90" t="s">
        <v>129</v>
      </c>
      <c r="B994" s="84"/>
      <c r="C994" s="7" t="s">
        <v>128</v>
      </c>
      <c r="D994" s="85" t="s">
        <v>182</v>
      </c>
      <c r="E994" s="86" t="s">
        <v>105</v>
      </c>
      <c r="F994" s="158">
        <v>6</v>
      </c>
      <c r="G994" s="161">
        <v>1</v>
      </c>
      <c r="H994" s="158" t="s">
        <v>917</v>
      </c>
      <c r="I994" s="158">
        <v>1</v>
      </c>
      <c r="J994" s="158" t="s">
        <v>1683</v>
      </c>
      <c r="K994" s="158" t="s">
        <v>73</v>
      </c>
      <c r="L994" s="158" t="s">
        <v>362</v>
      </c>
    </row>
    <row r="995" spans="1:12" ht="20.25" customHeight="1" x14ac:dyDescent="0.3">
      <c r="A995" s="90" t="s">
        <v>1617</v>
      </c>
      <c r="B995" s="84"/>
      <c r="C995" s="7" t="s">
        <v>1616</v>
      </c>
      <c r="D995" s="85" t="s">
        <v>184</v>
      </c>
      <c r="E995" s="86" t="s">
        <v>105</v>
      </c>
      <c r="F995" s="158">
        <v>1</v>
      </c>
      <c r="G995" s="161">
        <v>1</v>
      </c>
      <c r="H995" s="158" t="s">
        <v>876</v>
      </c>
      <c r="I995" s="158">
        <v>1</v>
      </c>
      <c r="J995" s="158" t="s">
        <v>887</v>
      </c>
      <c r="K995" s="158" t="s">
        <v>73</v>
      </c>
      <c r="L995" s="158" t="s">
        <v>362</v>
      </c>
    </row>
    <row r="996" spans="1:12" ht="20.25" customHeight="1" x14ac:dyDescent="0.3">
      <c r="A996" s="90" t="s">
        <v>131</v>
      </c>
      <c r="B996" s="84"/>
      <c r="C996" s="7" t="s">
        <v>1618</v>
      </c>
      <c r="D996" s="85" t="s">
        <v>182</v>
      </c>
      <c r="E996" s="86" t="s">
        <v>105</v>
      </c>
      <c r="F996" s="158">
        <v>8</v>
      </c>
      <c r="G996" s="161">
        <v>1</v>
      </c>
      <c r="H996" s="158" t="s">
        <v>876</v>
      </c>
      <c r="I996" s="158">
        <v>1</v>
      </c>
      <c r="J996" s="158" t="s">
        <v>1684</v>
      </c>
      <c r="K996" s="158" t="s">
        <v>73</v>
      </c>
      <c r="L996" s="158" t="s">
        <v>362</v>
      </c>
    </row>
    <row r="997" spans="1:12" ht="20.25" customHeight="1" x14ac:dyDescent="0.3">
      <c r="A997" s="90" t="s">
        <v>1620</v>
      </c>
      <c r="B997" s="84"/>
      <c r="C997" s="7" t="s">
        <v>1619</v>
      </c>
      <c r="D997" s="85" t="s">
        <v>182</v>
      </c>
      <c r="E997" s="86" t="s">
        <v>105</v>
      </c>
      <c r="F997" s="158">
        <v>6</v>
      </c>
      <c r="G997" s="161">
        <v>1</v>
      </c>
      <c r="H997" s="158" t="s">
        <v>876</v>
      </c>
      <c r="I997" s="158">
        <v>1</v>
      </c>
      <c r="J997" s="158" t="s">
        <v>1685</v>
      </c>
      <c r="K997" s="158" t="s">
        <v>73</v>
      </c>
      <c r="L997" s="158" t="s">
        <v>362</v>
      </c>
    </row>
    <row r="998" spans="1:12" ht="20.25" customHeight="1" x14ac:dyDescent="0.3">
      <c r="A998" s="90" t="s">
        <v>117</v>
      </c>
      <c r="B998" s="84"/>
      <c r="C998" s="7" t="s">
        <v>116</v>
      </c>
      <c r="D998" s="85" t="s">
        <v>182</v>
      </c>
      <c r="E998" s="86" t="s">
        <v>105</v>
      </c>
      <c r="F998" s="158">
        <v>4</v>
      </c>
      <c r="G998" s="161">
        <v>1</v>
      </c>
      <c r="H998" s="158" t="s">
        <v>868</v>
      </c>
      <c r="I998" s="158">
        <v>1</v>
      </c>
      <c r="J998" s="158" t="s">
        <v>873</v>
      </c>
      <c r="K998" s="158" t="s">
        <v>73</v>
      </c>
      <c r="L998" s="158" t="s">
        <v>362</v>
      </c>
    </row>
    <row r="999" spans="1:12" ht="20.25" customHeight="1" x14ac:dyDescent="0.3">
      <c r="A999" s="90" t="s">
        <v>135</v>
      </c>
      <c r="B999" s="84"/>
      <c r="C999" s="7" t="s">
        <v>134</v>
      </c>
      <c r="D999" s="85" t="s">
        <v>182</v>
      </c>
      <c r="E999" s="86" t="s">
        <v>105</v>
      </c>
      <c r="F999" s="158">
        <v>6</v>
      </c>
      <c r="G999" s="161">
        <v>1</v>
      </c>
      <c r="H999" s="158" t="s">
        <v>873</v>
      </c>
      <c r="I999" s="158">
        <v>1</v>
      </c>
      <c r="J999" s="158" t="s">
        <v>873</v>
      </c>
      <c r="K999" s="158" t="s">
        <v>73</v>
      </c>
      <c r="L999" s="158" t="s">
        <v>362</v>
      </c>
    </row>
    <row r="1000" spans="1:12" ht="20.25" customHeight="1" x14ac:dyDescent="0.3">
      <c r="A1000" s="90" t="s">
        <v>1617</v>
      </c>
      <c r="B1000" s="84"/>
      <c r="C1000" s="7" t="s">
        <v>1616</v>
      </c>
      <c r="D1000" s="85" t="s">
        <v>184</v>
      </c>
      <c r="E1000" s="86" t="s">
        <v>105</v>
      </c>
      <c r="F1000" s="158">
        <v>1</v>
      </c>
      <c r="G1000" s="161">
        <v>2</v>
      </c>
      <c r="H1000" s="158" t="s">
        <v>876</v>
      </c>
      <c r="I1000" s="158">
        <v>1</v>
      </c>
      <c r="J1000" s="158" t="s">
        <v>887</v>
      </c>
      <c r="K1000" s="158" t="s">
        <v>73</v>
      </c>
      <c r="L1000" s="158" t="s">
        <v>362</v>
      </c>
    </row>
    <row r="1001" spans="1:12" ht="20.25" customHeight="1" x14ac:dyDescent="0.3">
      <c r="A1001" s="90" t="s">
        <v>282</v>
      </c>
      <c r="B1001" s="84"/>
      <c r="C1001" s="7" t="s">
        <v>281</v>
      </c>
      <c r="D1001" s="85" t="s">
        <v>184</v>
      </c>
      <c r="E1001" s="86" t="s">
        <v>105</v>
      </c>
      <c r="F1001" s="158">
        <v>2</v>
      </c>
      <c r="G1001" s="161">
        <v>2</v>
      </c>
      <c r="H1001" s="158" t="s">
        <v>876</v>
      </c>
      <c r="I1001" s="158">
        <v>1</v>
      </c>
      <c r="J1001" s="158" t="s">
        <v>887</v>
      </c>
      <c r="K1001" s="158" t="s">
        <v>73</v>
      </c>
      <c r="L1001" s="158" t="s">
        <v>362</v>
      </c>
    </row>
    <row r="1002" spans="1:12" ht="20.25" customHeight="1" x14ac:dyDescent="0.3">
      <c r="A1002" s="90" t="s">
        <v>1625</v>
      </c>
      <c r="B1002" s="84"/>
      <c r="C1002" s="7" t="s">
        <v>1624</v>
      </c>
      <c r="D1002" s="85" t="s">
        <v>184</v>
      </c>
      <c r="E1002" s="86" t="s">
        <v>105</v>
      </c>
      <c r="F1002" s="158" t="s">
        <v>1586</v>
      </c>
      <c r="G1002" s="161">
        <v>2</v>
      </c>
      <c r="H1002" s="158" t="s">
        <v>876</v>
      </c>
      <c r="I1002" s="158">
        <v>1</v>
      </c>
      <c r="J1002" s="158" t="s">
        <v>887</v>
      </c>
      <c r="K1002" s="158" t="s">
        <v>73</v>
      </c>
      <c r="L1002" s="158" t="s">
        <v>362</v>
      </c>
    </row>
    <row r="1003" spans="1:12" ht="20.25" customHeight="1" x14ac:dyDescent="0.3">
      <c r="A1003" s="90" t="s">
        <v>137</v>
      </c>
      <c r="B1003" s="84"/>
      <c r="C1003" s="7" t="s">
        <v>136</v>
      </c>
      <c r="D1003" s="85" t="s">
        <v>182</v>
      </c>
      <c r="E1003" s="86" t="s">
        <v>105</v>
      </c>
      <c r="F1003" s="158">
        <v>6</v>
      </c>
      <c r="G1003" s="161">
        <v>2</v>
      </c>
      <c r="H1003" s="158" t="s">
        <v>868</v>
      </c>
      <c r="I1003" s="158">
        <v>1</v>
      </c>
      <c r="J1003" s="158" t="s">
        <v>868</v>
      </c>
      <c r="K1003" s="158" t="s">
        <v>73</v>
      </c>
      <c r="L1003" s="158" t="s">
        <v>362</v>
      </c>
    </row>
    <row r="1004" spans="1:12" ht="20.25" customHeight="1" x14ac:dyDescent="0.3">
      <c r="A1004" s="90" t="s">
        <v>1627</v>
      </c>
      <c r="B1004" s="84"/>
      <c r="C1004" s="7" t="s">
        <v>1626</v>
      </c>
      <c r="D1004" s="85" t="s">
        <v>182</v>
      </c>
      <c r="E1004" s="86" t="s">
        <v>105</v>
      </c>
      <c r="F1004" s="158">
        <v>8</v>
      </c>
      <c r="G1004" s="161">
        <v>2</v>
      </c>
      <c r="H1004" s="158" t="s">
        <v>876</v>
      </c>
      <c r="I1004" s="158">
        <v>1</v>
      </c>
      <c r="J1004" s="158" t="s">
        <v>366</v>
      </c>
      <c r="K1004" s="158" t="s">
        <v>73</v>
      </c>
      <c r="L1004" s="158" t="s">
        <v>362</v>
      </c>
    </row>
    <row r="1005" spans="1:12" ht="20.25" customHeight="1" x14ac:dyDescent="0.3">
      <c r="A1005" s="90" t="s">
        <v>1629</v>
      </c>
      <c r="B1005" s="84"/>
      <c r="C1005" s="7" t="s">
        <v>1628</v>
      </c>
      <c r="D1005" s="85" t="s">
        <v>182</v>
      </c>
      <c r="E1005" s="86" t="s">
        <v>105</v>
      </c>
      <c r="F1005" s="158">
        <v>8</v>
      </c>
      <c r="G1005" s="161">
        <v>2</v>
      </c>
      <c r="H1005" s="158" t="s">
        <v>876</v>
      </c>
      <c r="I1005" s="158">
        <v>1</v>
      </c>
      <c r="J1005" s="158" t="s">
        <v>368</v>
      </c>
      <c r="K1005" s="158" t="s">
        <v>73</v>
      </c>
      <c r="L1005" s="158" t="s">
        <v>362</v>
      </c>
    </row>
    <row r="1006" spans="1:12" ht="20.25" customHeight="1" x14ac:dyDescent="0.3">
      <c r="A1006" s="90" t="s">
        <v>1631</v>
      </c>
      <c r="B1006" s="84"/>
      <c r="C1006" s="7" t="s">
        <v>1630</v>
      </c>
      <c r="D1006" s="85" t="s">
        <v>183</v>
      </c>
      <c r="E1006" s="86" t="s">
        <v>105</v>
      </c>
      <c r="F1006" s="158">
        <v>4</v>
      </c>
      <c r="G1006" s="161">
        <v>2</v>
      </c>
      <c r="H1006" s="158" t="s">
        <v>876</v>
      </c>
      <c r="I1006" s="158">
        <v>1</v>
      </c>
      <c r="J1006" s="158" t="s">
        <v>376</v>
      </c>
      <c r="K1006" s="158" t="s">
        <v>73</v>
      </c>
      <c r="L1006" s="158" t="s">
        <v>362</v>
      </c>
    </row>
    <row r="1007" spans="1:12" ht="20.25" customHeight="1" x14ac:dyDescent="0.3">
      <c r="A1007" s="90" t="s">
        <v>1633</v>
      </c>
      <c r="B1007" s="84"/>
      <c r="C1007" s="7" t="s">
        <v>1632</v>
      </c>
      <c r="D1007" s="85" t="s">
        <v>183</v>
      </c>
      <c r="E1007" s="86" t="s">
        <v>105</v>
      </c>
      <c r="F1007" s="158">
        <v>2</v>
      </c>
      <c r="G1007" s="161">
        <v>2</v>
      </c>
      <c r="H1007" s="158" t="s">
        <v>876</v>
      </c>
      <c r="I1007" s="158">
        <v>1</v>
      </c>
      <c r="J1007" s="158" t="s">
        <v>887</v>
      </c>
      <c r="K1007" s="158" t="s">
        <v>73</v>
      </c>
      <c r="L1007" s="158" t="s">
        <v>362</v>
      </c>
    </row>
    <row r="1008" spans="1:12" ht="20.25" customHeight="1" x14ac:dyDescent="0.3">
      <c r="A1008" s="90" t="s">
        <v>143</v>
      </c>
      <c r="B1008" s="84"/>
      <c r="C1008" s="7" t="s">
        <v>142</v>
      </c>
      <c r="D1008" s="85" t="s">
        <v>182</v>
      </c>
      <c r="E1008" s="86" t="s">
        <v>105</v>
      </c>
      <c r="F1008" s="158">
        <v>8</v>
      </c>
      <c r="G1008" s="161">
        <v>2</v>
      </c>
      <c r="H1008" s="158" t="s">
        <v>873</v>
      </c>
      <c r="I1008" s="158">
        <v>1</v>
      </c>
      <c r="J1008" s="158" t="s">
        <v>868</v>
      </c>
      <c r="K1008" s="158" t="s">
        <v>73</v>
      </c>
      <c r="L1008" s="158" t="s">
        <v>362</v>
      </c>
    </row>
    <row r="1009" spans="1:12" ht="20.25" customHeight="1" x14ac:dyDescent="0.3">
      <c r="A1009" s="90" t="s">
        <v>1625</v>
      </c>
      <c r="B1009" s="84"/>
      <c r="C1009" s="7" t="s">
        <v>1624</v>
      </c>
      <c r="D1009" s="85" t="s">
        <v>184</v>
      </c>
      <c r="E1009" s="86" t="s">
        <v>105</v>
      </c>
      <c r="F1009" s="158" t="s">
        <v>1586</v>
      </c>
      <c r="G1009" s="161">
        <v>3</v>
      </c>
      <c r="H1009" s="158" t="s">
        <v>876</v>
      </c>
      <c r="I1009" s="158">
        <v>2</v>
      </c>
      <c r="J1009" s="158" t="s">
        <v>887</v>
      </c>
      <c r="K1009" s="158" t="s">
        <v>73</v>
      </c>
      <c r="L1009" s="158" t="s">
        <v>362</v>
      </c>
    </row>
    <row r="1010" spans="1:12" ht="20.25" customHeight="1" x14ac:dyDescent="0.3">
      <c r="A1010" s="90" t="s">
        <v>1555</v>
      </c>
      <c r="B1010" s="84"/>
      <c r="C1010" s="7" t="s">
        <v>1554</v>
      </c>
      <c r="D1010" s="85" t="s">
        <v>184</v>
      </c>
      <c r="E1010" s="86" t="s">
        <v>105</v>
      </c>
      <c r="F1010" s="158" t="s">
        <v>1586</v>
      </c>
      <c r="G1010" s="161">
        <v>3</v>
      </c>
      <c r="H1010" s="158" t="s">
        <v>876</v>
      </c>
      <c r="I1010" s="158">
        <v>2</v>
      </c>
      <c r="J1010" s="158" t="s">
        <v>887</v>
      </c>
      <c r="K1010" s="158" t="s">
        <v>73</v>
      </c>
      <c r="L1010" s="158" t="s">
        <v>362</v>
      </c>
    </row>
    <row r="1011" spans="1:12" ht="20.25" customHeight="1" x14ac:dyDescent="0.3">
      <c r="A1011" s="90" t="s">
        <v>1636</v>
      </c>
      <c r="B1011" s="84"/>
      <c r="C1011" s="7" t="s">
        <v>1635</v>
      </c>
      <c r="D1011" s="85" t="s">
        <v>182</v>
      </c>
      <c r="E1011" s="86" t="s">
        <v>105</v>
      </c>
      <c r="F1011" s="158">
        <v>6</v>
      </c>
      <c r="G1011" s="161">
        <v>3</v>
      </c>
      <c r="H1011" s="158" t="s">
        <v>543</v>
      </c>
      <c r="I1011" s="158">
        <v>2</v>
      </c>
      <c r="J1011" s="158" t="s">
        <v>865</v>
      </c>
      <c r="K1011" s="158" t="s">
        <v>73</v>
      </c>
      <c r="L1011" s="158" t="s">
        <v>352</v>
      </c>
    </row>
    <row r="1012" spans="1:12" ht="20.25" customHeight="1" x14ac:dyDescent="0.3">
      <c r="A1012" s="90" t="s">
        <v>777</v>
      </c>
      <c r="B1012" s="84"/>
      <c r="C1012" s="7" t="s">
        <v>776</v>
      </c>
      <c r="D1012" s="85" t="s">
        <v>182</v>
      </c>
      <c r="E1012" s="86" t="s">
        <v>105</v>
      </c>
      <c r="F1012" s="158">
        <v>4</v>
      </c>
      <c r="G1012" s="161">
        <v>3</v>
      </c>
      <c r="H1012" s="158" t="s">
        <v>868</v>
      </c>
      <c r="I1012" s="158">
        <v>2</v>
      </c>
      <c r="J1012" s="158" t="s">
        <v>868</v>
      </c>
      <c r="K1012" s="158" t="s">
        <v>73</v>
      </c>
      <c r="L1012" s="158" t="s">
        <v>362</v>
      </c>
    </row>
    <row r="1013" spans="1:12" ht="20.25" customHeight="1" x14ac:dyDescent="0.3">
      <c r="A1013" s="90" t="s">
        <v>145</v>
      </c>
      <c r="B1013" s="84"/>
      <c r="C1013" s="7" t="s">
        <v>1637</v>
      </c>
      <c r="D1013" s="85" t="s">
        <v>182</v>
      </c>
      <c r="E1013" s="86" t="s">
        <v>105</v>
      </c>
      <c r="F1013" s="158">
        <v>2</v>
      </c>
      <c r="G1013" s="161">
        <v>3</v>
      </c>
      <c r="H1013" s="158" t="s">
        <v>868</v>
      </c>
      <c r="I1013" s="158">
        <v>2</v>
      </c>
      <c r="J1013" s="158" t="s">
        <v>1686</v>
      </c>
      <c r="K1013" s="158" t="s">
        <v>73</v>
      </c>
      <c r="L1013" s="158" t="s">
        <v>362</v>
      </c>
    </row>
    <row r="1014" spans="1:12" ht="20.25" customHeight="1" x14ac:dyDescent="0.3">
      <c r="A1014" s="90" t="s">
        <v>1639</v>
      </c>
      <c r="B1014" s="84"/>
      <c r="C1014" s="7" t="s">
        <v>1638</v>
      </c>
      <c r="D1014" s="85" t="s">
        <v>182</v>
      </c>
      <c r="E1014" s="86" t="s">
        <v>105</v>
      </c>
      <c r="F1014" s="158">
        <v>8</v>
      </c>
      <c r="G1014" s="161">
        <v>3</v>
      </c>
      <c r="H1014" s="158" t="s">
        <v>876</v>
      </c>
      <c r="I1014" s="158">
        <v>2</v>
      </c>
      <c r="J1014" s="158" t="s">
        <v>1687</v>
      </c>
      <c r="K1014" s="158" t="s">
        <v>73</v>
      </c>
      <c r="L1014" s="158" t="s">
        <v>362</v>
      </c>
    </row>
    <row r="1015" spans="1:12" ht="20.25" customHeight="1" x14ac:dyDescent="0.3">
      <c r="A1015" s="90" t="s">
        <v>797</v>
      </c>
      <c r="B1015" s="84"/>
      <c r="C1015" s="7" t="s">
        <v>796</v>
      </c>
      <c r="D1015" s="85" t="s">
        <v>182</v>
      </c>
      <c r="E1015" s="86" t="s">
        <v>106</v>
      </c>
      <c r="F1015" s="158">
        <v>8</v>
      </c>
      <c r="G1015" s="161">
        <v>3</v>
      </c>
      <c r="H1015" s="158" t="s">
        <v>443</v>
      </c>
      <c r="I1015" s="158">
        <v>2</v>
      </c>
      <c r="J1015" s="158" t="s">
        <v>444</v>
      </c>
      <c r="K1015" s="158" t="s">
        <v>73</v>
      </c>
      <c r="L1015" s="158" t="s">
        <v>338</v>
      </c>
    </row>
    <row r="1016" spans="1:12" ht="20.25" customHeight="1" x14ac:dyDescent="0.3">
      <c r="A1016" s="90" t="s">
        <v>1641</v>
      </c>
      <c r="B1016" s="84"/>
      <c r="C1016" s="7" t="s">
        <v>1640</v>
      </c>
      <c r="D1016" s="85" t="s">
        <v>182</v>
      </c>
      <c r="E1016" s="86" t="s">
        <v>105</v>
      </c>
      <c r="F1016" s="158">
        <v>4</v>
      </c>
      <c r="G1016" s="161">
        <v>3</v>
      </c>
      <c r="H1016" s="158" t="s">
        <v>873</v>
      </c>
      <c r="I1016" s="158">
        <v>2</v>
      </c>
      <c r="J1016" s="158" t="s">
        <v>873</v>
      </c>
      <c r="K1016" s="158" t="s">
        <v>73</v>
      </c>
      <c r="L1016" s="158" t="s">
        <v>362</v>
      </c>
    </row>
    <row r="1017" spans="1:12" ht="20.25" customHeight="1" x14ac:dyDescent="0.3">
      <c r="A1017" s="90" t="s">
        <v>1555</v>
      </c>
      <c r="B1017" s="84"/>
      <c r="C1017" s="7" t="s">
        <v>1554</v>
      </c>
      <c r="D1017" s="85" t="s">
        <v>184</v>
      </c>
      <c r="E1017" s="86" t="s">
        <v>105</v>
      </c>
      <c r="F1017" s="158" t="s">
        <v>1586</v>
      </c>
      <c r="G1017" s="161">
        <v>4</v>
      </c>
      <c r="H1017" s="158" t="s">
        <v>876</v>
      </c>
      <c r="I1017" s="158">
        <v>2</v>
      </c>
      <c r="J1017" s="158" t="s">
        <v>887</v>
      </c>
      <c r="K1017" s="158" t="s">
        <v>73</v>
      </c>
      <c r="L1017" s="158" t="s">
        <v>362</v>
      </c>
    </row>
    <row r="1018" spans="1:12" ht="20.25" customHeight="1" x14ac:dyDescent="0.3">
      <c r="A1018" s="90" t="s">
        <v>1643</v>
      </c>
      <c r="B1018" s="84"/>
      <c r="C1018" s="7" t="s">
        <v>1642</v>
      </c>
      <c r="D1018" s="85" t="s">
        <v>182</v>
      </c>
      <c r="E1018" s="86" t="s">
        <v>105</v>
      </c>
      <c r="F1018" s="158">
        <v>6</v>
      </c>
      <c r="G1018" s="161">
        <v>4</v>
      </c>
      <c r="H1018" s="158" t="s">
        <v>868</v>
      </c>
      <c r="I1018" s="158">
        <v>2</v>
      </c>
      <c r="J1018" s="158" t="s">
        <v>883</v>
      </c>
      <c r="K1018" s="158" t="s">
        <v>73</v>
      </c>
      <c r="L1018" s="158" t="s">
        <v>362</v>
      </c>
    </row>
    <row r="1019" spans="1:12" ht="20.25" customHeight="1" x14ac:dyDescent="0.3">
      <c r="A1019" s="90" t="s">
        <v>1645</v>
      </c>
      <c r="B1019" s="84"/>
      <c r="C1019" s="7" t="s">
        <v>1644</v>
      </c>
      <c r="D1019" s="85" t="s">
        <v>182</v>
      </c>
      <c r="E1019" s="86" t="s">
        <v>106</v>
      </c>
      <c r="F1019" s="158">
        <v>6</v>
      </c>
      <c r="G1019" s="161">
        <v>4</v>
      </c>
      <c r="H1019" s="158" t="s">
        <v>868</v>
      </c>
      <c r="I1019" s="158">
        <v>2</v>
      </c>
      <c r="J1019" s="158" t="s">
        <v>874</v>
      </c>
      <c r="K1019" s="158" t="s">
        <v>73</v>
      </c>
      <c r="L1019" s="158" t="s">
        <v>362</v>
      </c>
    </row>
    <row r="1020" spans="1:12" ht="20.25" customHeight="1" x14ac:dyDescent="0.3">
      <c r="A1020" s="90" t="s">
        <v>310</v>
      </c>
      <c r="B1020" s="84"/>
      <c r="C1020" s="7" t="s">
        <v>309</v>
      </c>
      <c r="D1020" s="85" t="s">
        <v>182</v>
      </c>
      <c r="E1020" s="86" t="s">
        <v>105</v>
      </c>
      <c r="F1020" s="158">
        <v>6</v>
      </c>
      <c r="G1020" s="161">
        <v>4</v>
      </c>
      <c r="H1020" s="158" t="s">
        <v>876</v>
      </c>
      <c r="I1020" s="158">
        <v>2</v>
      </c>
      <c r="J1020" s="158" t="s">
        <v>1688</v>
      </c>
      <c r="K1020" s="158" t="s">
        <v>73</v>
      </c>
      <c r="L1020" s="158" t="s">
        <v>362</v>
      </c>
    </row>
    <row r="1021" spans="1:12" ht="20.25" customHeight="1" x14ac:dyDescent="0.3">
      <c r="A1021" s="90" t="s">
        <v>1647</v>
      </c>
      <c r="B1021" s="84"/>
      <c r="C1021" s="7" t="s">
        <v>1646</v>
      </c>
      <c r="D1021" s="85" t="s">
        <v>182</v>
      </c>
      <c r="E1021" s="86" t="s">
        <v>105</v>
      </c>
      <c r="F1021" s="158">
        <v>4</v>
      </c>
      <c r="G1021" s="161">
        <v>4</v>
      </c>
      <c r="H1021" s="158" t="s">
        <v>873</v>
      </c>
      <c r="I1021" s="158">
        <v>2</v>
      </c>
      <c r="J1021" s="158" t="s">
        <v>874</v>
      </c>
      <c r="K1021" s="158" t="s">
        <v>73</v>
      </c>
      <c r="L1021" s="158" t="s">
        <v>362</v>
      </c>
    </row>
    <row r="1022" spans="1:12" ht="20.25" customHeight="1" x14ac:dyDescent="0.3">
      <c r="A1022" s="90" t="s">
        <v>1649</v>
      </c>
      <c r="B1022" s="84"/>
      <c r="C1022" s="7" t="s">
        <v>1648</v>
      </c>
      <c r="D1022" s="85" t="s">
        <v>182</v>
      </c>
      <c r="E1022" s="86" t="s">
        <v>106</v>
      </c>
      <c r="F1022" s="158">
        <v>8</v>
      </c>
      <c r="G1022" s="161">
        <v>4</v>
      </c>
      <c r="H1022" s="158" t="s">
        <v>873</v>
      </c>
      <c r="I1022" s="158">
        <v>2</v>
      </c>
      <c r="J1022" s="158" t="s">
        <v>873</v>
      </c>
      <c r="K1022" s="158" t="s">
        <v>73</v>
      </c>
      <c r="L1022" s="158" t="s">
        <v>362</v>
      </c>
    </row>
    <row r="1023" spans="1:12" ht="20.25" customHeight="1" x14ac:dyDescent="0.3">
      <c r="A1023" s="90" t="s">
        <v>1625</v>
      </c>
      <c r="B1023" s="84"/>
      <c r="C1023" s="7" t="s">
        <v>1624</v>
      </c>
      <c r="D1023" s="85" t="s">
        <v>184</v>
      </c>
      <c r="E1023" s="86" t="s">
        <v>105</v>
      </c>
      <c r="F1023" s="158" t="s">
        <v>1586</v>
      </c>
      <c r="G1023" s="161">
        <v>5</v>
      </c>
      <c r="H1023" s="158" t="s">
        <v>876</v>
      </c>
      <c r="I1023" s="158">
        <v>3</v>
      </c>
      <c r="J1023" s="158" t="s">
        <v>887</v>
      </c>
      <c r="K1023" s="158" t="s">
        <v>73</v>
      </c>
      <c r="L1023" s="158" t="s">
        <v>362</v>
      </c>
    </row>
    <row r="1024" spans="1:12" ht="20.25" customHeight="1" x14ac:dyDescent="0.3">
      <c r="A1024" s="90" t="s">
        <v>1555</v>
      </c>
      <c r="B1024" s="84"/>
      <c r="C1024" s="7" t="s">
        <v>1554</v>
      </c>
      <c r="D1024" s="85" t="s">
        <v>184</v>
      </c>
      <c r="E1024" s="86" t="s">
        <v>105</v>
      </c>
      <c r="F1024" s="158" t="s">
        <v>1586</v>
      </c>
      <c r="G1024" s="161">
        <v>5</v>
      </c>
      <c r="H1024" s="158" t="s">
        <v>876</v>
      </c>
      <c r="I1024" s="158">
        <v>3</v>
      </c>
      <c r="J1024" s="158" t="s">
        <v>887</v>
      </c>
      <c r="K1024" s="158" t="s">
        <v>73</v>
      </c>
      <c r="L1024" s="158" t="s">
        <v>362</v>
      </c>
    </row>
    <row r="1025" spans="1:12" ht="20.25" customHeight="1" x14ac:dyDescent="0.3">
      <c r="A1025" s="90" t="s">
        <v>1652</v>
      </c>
      <c r="B1025" s="84"/>
      <c r="C1025" s="7" t="s">
        <v>1651</v>
      </c>
      <c r="D1025" s="85" t="s">
        <v>182</v>
      </c>
      <c r="E1025" s="86" t="s">
        <v>106</v>
      </c>
      <c r="F1025" s="158">
        <v>4</v>
      </c>
      <c r="G1025" s="161">
        <v>5</v>
      </c>
      <c r="H1025" s="158" t="s">
        <v>868</v>
      </c>
      <c r="I1025" s="158">
        <v>3</v>
      </c>
      <c r="J1025" s="158" t="s">
        <v>874</v>
      </c>
      <c r="K1025" s="158" t="s">
        <v>73</v>
      </c>
      <c r="L1025" s="158" t="s">
        <v>362</v>
      </c>
    </row>
    <row r="1026" spans="1:12" ht="20.25" customHeight="1" x14ac:dyDescent="0.3">
      <c r="A1026" s="90" t="s">
        <v>1654</v>
      </c>
      <c r="B1026" s="84"/>
      <c r="C1026" s="7" t="s">
        <v>1653</v>
      </c>
      <c r="D1026" s="85" t="s">
        <v>182</v>
      </c>
      <c r="E1026" s="86" t="s">
        <v>110</v>
      </c>
      <c r="F1026" s="158">
        <v>8</v>
      </c>
      <c r="G1026" s="161">
        <v>5</v>
      </c>
      <c r="H1026" s="158" t="s">
        <v>534</v>
      </c>
      <c r="I1026" s="158">
        <v>3</v>
      </c>
      <c r="J1026" s="158" t="s">
        <v>534</v>
      </c>
      <c r="K1026" s="158" t="s">
        <v>73</v>
      </c>
      <c r="L1026" s="158" t="s">
        <v>347</v>
      </c>
    </row>
    <row r="1027" spans="1:12" ht="20.25" customHeight="1" x14ac:dyDescent="0.3">
      <c r="A1027" s="90" t="s">
        <v>1656</v>
      </c>
      <c r="B1027" s="84"/>
      <c r="C1027" s="7" t="s">
        <v>1655</v>
      </c>
      <c r="D1027" s="85" t="s">
        <v>182</v>
      </c>
      <c r="E1027" s="86" t="s">
        <v>106</v>
      </c>
      <c r="F1027" s="158">
        <v>8</v>
      </c>
      <c r="G1027" s="161">
        <v>5</v>
      </c>
      <c r="H1027" s="158" t="s">
        <v>876</v>
      </c>
      <c r="I1027" s="158">
        <v>3</v>
      </c>
      <c r="J1027" s="158" t="s">
        <v>366</v>
      </c>
      <c r="K1027" s="158" t="s">
        <v>73</v>
      </c>
      <c r="L1027" s="158" t="s">
        <v>362</v>
      </c>
    </row>
    <row r="1028" spans="1:12" ht="20.25" customHeight="1" x14ac:dyDescent="0.3">
      <c r="A1028" s="90" t="s">
        <v>303</v>
      </c>
      <c r="B1028" s="84"/>
      <c r="C1028" s="7" t="s">
        <v>302</v>
      </c>
      <c r="D1028" s="85" t="s">
        <v>183</v>
      </c>
      <c r="E1028" s="86" t="s">
        <v>105</v>
      </c>
      <c r="F1028" s="158">
        <v>6</v>
      </c>
      <c r="G1028" s="161">
        <v>5</v>
      </c>
      <c r="H1028" s="158" t="s">
        <v>864</v>
      </c>
      <c r="I1028" s="158">
        <v>3</v>
      </c>
      <c r="J1028" s="158" t="s">
        <v>909</v>
      </c>
      <c r="K1028" s="158" t="s">
        <v>73</v>
      </c>
      <c r="L1028" s="158" t="s">
        <v>352</v>
      </c>
    </row>
    <row r="1029" spans="1:12" ht="20.25" customHeight="1" x14ac:dyDescent="0.3">
      <c r="A1029" s="90" t="s">
        <v>1659</v>
      </c>
      <c r="B1029" s="84"/>
      <c r="C1029" s="7" t="s">
        <v>1658</v>
      </c>
      <c r="D1029" s="85" t="s">
        <v>182</v>
      </c>
      <c r="E1029" s="86" t="s">
        <v>106</v>
      </c>
      <c r="F1029" s="158">
        <v>6</v>
      </c>
      <c r="G1029" s="161">
        <v>5</v>
      </c>
      <c r="H1029" s="158" t="s">
        <v>533</v>
      </c>
      <c r="I1029" s="158">
        <v>3</v>
      </c>
      <c r="J1029" s="158" t="s">
        <v>534</v>
      </c>
      <c r="K1029" s="158" t="s">
        <v>73</v>
      </c>
      <c r="L1029" s="158" t="s">
        <v>347</v>
      </c>
    </row>
    <row r="1030" spans="1:12" ht="20.25" customHeight="1" x14ac:dyDescent="0.3">
      <c r="A1030" s="90" t="s">
        <v>378</v>
      </c>
      <c r="B1030" s="84"/>
      <c r="C1030" s="7" t="s">
        <v>377</v>
      </c>
      <c r="D1030" s="85" t="s">
        <v>182</v>
      </c>
      <c r="E1030" s="86" t="s">
        <v>106</v>
      </c>
      <c r="F1030" s="158">
        <v>4</v>
      </c>
      <c r="G1030" s="161">
        <v>5</v>
      </c>
      <c r="H1030" s="158" t="s">
        <v>527</v>
      </c>
      <c r="I1030" s="158">
        <v>3</v>
      </c>
      <c r="J1030" s="158" t="s">
        <v>854</v>
      </c>
      <c r="K1030" s="158" t="s">
        <v>73</v>
      </c>
      <c r="L1030" s="158" t="s">
        <v>526</v>
      </c>
    </row>
    <row r="1031" spans="1:12" ht="20.25" customHeight="1" x14ac:dyDescent="0.3">
      <c r="A1031" s="90" t="s">
        <v>1555</v>
      </c>
      <c r="B1031" s="84"/>
      <c r="C1031" s="7" t="s">
        <v>1554</v>
      </c>
      <c r="D1031" s="85" t="s">
        <v>184</v>
      </c>
      <c r="E1031" s="86" t="s">
        <v>105</v>
      </c>
      <c r="F1031" s="158" t="s">
        <v>1586</v>
      </c>
      <c r="G1031" s="161">
        <v>6</v>
      </c>
      <c r="H1031" s="158" t="s">
        <v>876</v>
      </c>
      <c r="I1031" s="158">
        <v>3</v>
      </c>
      <c r="J1031" s="158" t="s">
        <v>887</v>
      </c>
      <c r="K1031" s="158" t="s">
        <v>73</v>
      </c>
      <c r="L1031" s="158" t="s">
        <v>362</v>
      </c>
    </row>
    <row r="1032" spans="1:12" ht="20.25" customHeight="1" x14ac:dyDescent="0.3">
      <c r="A1032" s="90" t="s">
        <v>380</v>
      </c>
      <c r="B1032" s="84"/>
      <c r="C1032" s="7" t="s">
        <v>379</v>
      </c>
      <c r="D1032" s="85" t="s">
        <v>182</v>
      </c>
      <c r="E1032" s="86" t="s">
        <v>106</v>
      </c>
      <c r="F1032" s="158">
        <v>4</v>
      </c>
      <c r="G1032" s="161">
        <v>6</v>
      </c>
      <c r="H1032" s="158" t="s">
        <v>534</v>
      </c>
      <c r="I1032" s="158">
        <v>3</v>
      </c>
      <c r="J1032" s="158" t="s">
        <v>863</v>
      </c>
      <c r="K1032" s="158" t="s">
        <v>73</v>
      </c>
      <c r="L1032" s="158" t="s">
        <v>347</v>
      </c>
    </row>
    <row r="1033" spans="1:12" ht="20.25" customHeight="1" x14ac:dyDescent="0.3">
      <c r="A1033" s="90" t="s">
        <v>1661</v>
      </c>
      <c r="B1033" s="84"/>
      <c r="C1033" s="7" t="s">
        <v>1660</v>
      </c>
      <c r="D1033" s="85" t="s">
        <v>182</v>
      </c>
      <c r="E1033" s="86" t="s">
        <v>106</v>
      </c>
      <c r="F1033" s="158">
        <v>8</v>
      </c>
      <c r="G1033" s="161">
        <v>6</v>
      </c>
      <c r="H1033" s="158" t="s">
        <v>864</v>
      </c>
      <c r="I1033" s="158">
        <v>3</v>
      </c>
      <c r="J1033" s="158" t="s">
        <v>1674</v>
      </c>
      <c r="K1033" s="158" t="s">
        <v>73</v>
      </c>
      <c r="L1033" s="158" t="s">
        <v>352</v>
      </c>
    </row>
    <row r="1034" spans="1:12" ht="20.25" customHeight="1" x14ac:dyDescent="0.3">
      <c r="A1034" s="90" t="s">
        <v>47</v>
      </c>
      <c r="B1034" s="84"/>
      <c r="C1034" s="7" t="s">
        <v>1662</v>
      </c>
      <c r="D1034" s="85" t="s">
        <v>182</v>
      </c>
      <c r="E1034" s="86" t="s">
        <v>106</v>
      </c>
      <c r="F1034" s="158">
        <v>6</v>
      </c>
      <c r="G1034" s="161">
        <v>6</v>
      </c>
      <c r="H1034" s="158" t="s">
        <v>868</v>
      </c>
      <c r="I1034" s="158">
        <v>3</v>
      </c>
      <c r="J1034" s="158" t="s">
        <v>868</v>
      </c>
      <c r="K1034" s="158" t="s">
        <v>73</v>
      </c>
      <c r="L1034" s="158" t="s">
        <v>362</v>
      </c>
    </row>
    <row r="1035" spans="1:12" ht="20.25" customHeight="1" x14ac:dyDescent="0.3">
      <c r="A1035" s="90" t="s">
        <v>284</v>
      </c>
      <c r="B1035" s="84"/>
      <c r="C1035" s="7" t="s">
        <v>283</v>
      </c>
      <c r="D1035" s="85" t="s">
        <v>183</v>
      </c>
      <c r="E1035" s="86" t="s">
        <v>105</v>
      </c>
      <c r="F1035" s="158">
        <v>6</v>
      </c>
      <c r="G1035" s="161">
        <v>6</v>
      </c>
      <c r="H1035" s="158" t="s">
        <v>876</v>
      </c>
      <c r="I1035" s="158">
        <v>3</v>
      </c>
      <c r="J1035" s="158" t="s">
        <v>368</v>
      </c>
      <c r="K1035" s="158" t="s">
        <v>73</v>
      </c>
      <c r="L1035" s="158" t="s">
        <v>362</v>
      </c>
    </row>
    <row r="1036" spans="1:12" ht="20.25" customHeight="1" x14ac:dyDescent="0.3">
      <c r="A1036" s="90" t="s">
        <v>1665</v>
      </c>
      <c r="B1036" s="84"/>
      <c r="C1036" s="7" t="s">
        <v>1664</v>
      </c>
      <c r="D1036" s="85" t="s">
        <v>182</v>
      </c>
      <c r="E1036" s="86" t="s">
        <v>106</v>
      </c>
      <c r="F1036" s="158">
        <v>6</v>
      </c>
      <c r="G1036" s="161">
        <v>6</v>
      </c>
      <c r="H1036" s="158" t="s">
        <v>542</v>
      </c>
      <c r="I1036" s="158">
        <v>3</v>
      </c>
      <c r="J1036" s="158" t="s">
        <v>865</v>
      </c>
      <c r="K1036" s="158" t="s">
        <v>73</v>
      </c>
      <c r="L1036" s="158" t="s">
        <v>352</v>
      </c>
    </row>
    <row r="1037" spans="1:12" ht="20.25" customHeight="1" x14ac:dyDescent="0.3">
      <c r="A1037" s="90" t="s">
        <v>1133</v>
      </c>
      <c r="B1037" s="84"/>
      <c r="C1037" s="7" t="s">
        <v>1132</v>
      </c>
      <c r="D1037" s="85" t="s">
        <v>183</v>
      </c>
      <c r="E1037" s="86" t="s">
        <v>105</v>
      </c>
      <c r="F1037" s="158">
        <v>6</v>
      </c>
      <c r="G1037" s="161">
        <v>6</v>
      </c>
      <c r="H1037" s="158" t="s">
        <v>873</v>
      </c>
      <c r="I1037" s="158">
        <v>3</v>
      </c>
      <c r="J1037" s="158" t="s">
        <v>873</v>
      </c>
      <c r="K1037" s="158" t="s">
        <v>73</v>
      </c>
      <c r="L1037" s="158" t="s">
        <v>362</v>
      </c>
    </row>
    <row r="1038" spans="1:12" ht="20.25" customHeight="1" x14ac:dyDescent="0.3">
      <c r="A1038" s="90" t="s">
        <v>797</v>
      </c>
      <c r="B1038" s="84"/>
      <c r="C1038" s="7" t="s">
        <v>844</v>
      </c>
      <c r="D1038" s="85" t="s">
        <v>182</v>
      </c>
      <c r="E1038" s="86" t="s">
        <v>106</v>
      </c>
      <c r="F1038" s="158">
        <v>6</v>
      </c>
      <c r="G1038" s="161">
        <v>3</v>
      </c>
      <c r="H1038" s="158" t="s">
        <v>533</v>
      </c>
      <c r="I1038" s="158">
        <v>2</v>
      </c>
      <c r="J1038" s="158" t="s">
        <v>534</v>
      </c>
      <c r="K1038" s="158" t="s">
        <v>73</v>
      </c>
      <c r="L1038" s="158" t="s">
        <v>369</v>
      </c>
    </row>
    <row r="1039" spans="1:12" ht="20.25" customHeight="1" x14ac:dyDescent="0.3">
      <c r="A1039" s="90" t="s">
        <v>1477</v>
      </c>
      <c r="B1039" s="84"/>
      <c r="C1039" s="7" t="s">
        <v>1476</v>
      </c>
      <c r="D1039" s="85" t="s">
        <v>183</v>
      </c>
      <c r="E1039" s="86" t="s">
        <v>106</v>
      </c>
      <c r="F1039" s="158">
        <v>6</v>
      </c>
      <c r="G1039" s="161">
        <v>5</v>
      </c>
      <c r="H1039" s="158" t="s">
        <v>534</v>
      </c>
      <c r="I1039" s="158">
        <v>3</v>
      </c>
      <c r="J1039" s="158" t="s">
        <v>863</v>
      </c>
      <c r="K1039" s="158" t="s">
        <v>73</v>
      </c>
      <c r="L1039" s="158" t="s">
        <v>369</v>
      </c>
    </row>
    <row r="1040" spans="1:12" ht="20.25" customHeight="1" x14ac:dyDescent="0.3">
      <c r="A1040" s="90" t="s">
        <v>299</v>
      </c>
      <c r="B1040" s="84"/>
      <c r="C1040" s="7" t="s">
        <v>298</v>
      </c>
      <c r="D1040" s="85" t="s">
        <v>183</v>
      </c>
      <c r="E1040" s="86" t="s">
        <v>105</v>
      </c>
      <c r="F1040" s="158">
        <v>6</v>
      </c>
      <c r="G1040" s="161">
        <v>5</v>
      </c>
      <c r="H1040" s="158" t="s">
        <v>851</v>
      </c>
      <c r="I1040" s="158">
        <v>3</v>
      </c>
      <c r="J1040" s="158" t="s">
        <v>905</v>
      </c>
      <c r="K1040" s="158" t="s">
        <v>73</v>
      </c>
      <c r="L1040" s="158" t="s">
        <v>356</v>
      </c>
    </row>
    <row r="1041" spans="1:12" ht="20.25" customHeight="1" x14ac:dyDescent="0.3">
      <c r="A1041" s="90" t="s">
        <v>288</v>
      </c>
      <c r="B1041" s="84"/>
      <c r="C1041" s="7" t="s">
        <v>287</v>
      </c>
      <c r="D1041" s="85" t="s">
        <v>183</v>
      </c>
      <c r="E1041" s="86" t="s">
        <v>106</v>
      </c>
      <c r="F1041" s="158">
        <v>6</v>
      </c>
      <c r="G1041" s="161">
        <v>4</v>
      </c>
      <c r="H1041" s="158" t="s">
        <v>527</v>
      </c>
      <c r="I1041" s="158">
        <v>2</v>
      </c>
      <c r="J1041" s="158" t="s">
        <v>924</v>
      </c>
      <c r="K1041" s="158" t="s">
        <v>73</v>
      </c>
      <c r="L1041" s="158" t="s">
        <v>679</v>
      </c>
    </row>
    <row r="1042" spans="1:12" ht="20.25" customHeight="1" x14ac:dyDescent="0.3">
      <c r="A1042" s="90" t="s">
        <v>301</v>
      </c>
      <c r="B1042" s="84"/>
      <c r="C1042" s="7" t="s">
        <v>300</v>
      </c>
      <c r="D1042" s="85" t="s">
        <v>183</v>
      </c>
      <c r="E1042" s="86" t="s">
        <v>105</v>
      </c>
      <c r="F1042" s="158">
        <v>6</v>
      </c>
      <c r="G1042" s="161">
        <v>5</v>
      </c>
      <c r="H1042" s="158" t="s">
        <v>842</v>
      </c>
      <c r="I1042" s="158">
        <v>3</v>
      </c>
      <c r="J1042" s="158" t="s">
        <v>904</v>
      </c>
      <c r="K1042" s="158" t="s">
        <v>73</v>
      </c>
      <c r="L1042" s="158" t="s">
        <v>546</v>
      </c>
    </row>
    <row r="1043" spans="1:12" ht="20.25" customHeight="1" x14ac:dyDescent="0.3">
      <c r="A1043" s="90" t="s">
        <v>209</v>
      </c>
      <c r="B1043" s="84"/>
      <c r="C1043" s="7" t="s">
        <v>208</v>
      </c>
      <c r="D1043" s="85" t="s">
        <v>182</v>
      </c>
      <c r="E1043" s="86" t="s">
        <v>106</v>
      </c>
      <c r="F1043" s="158">
        <v>6</v>
      </c>
      <c r="G1043" s="161">
        <v>5</v>
      </c>
      <c r="H1043" s="158" t="s">
        <v>527</v>
      </c>
      <c r="I1043" s="158">
        <v>3</v>
      </c>
      <c r="J1043" s="158" t="s">
        <v>854</v>
      </c>
      <c r="K1043" s="158" t="s">
        <v>73</v>
      </c>
      <c r="L1043" s="158" t="s">
        <v>679</v>
      </c>
    </row>
    <row r="1044" spans="1:12" ht="20.25" customHeight="1" x14ac:dyDescent="0.3">
      <c r="A1044" s="90" t="s">
        <v>1654</v>
      </c>
      <c r="B1044" s="84"/>
      <c r="C1044" s="7" t="s">
        <v>1670</v>
      </c>
      <c r="D1044" s="85" t="s">
        <v>182</v>
      </c>
      <c r="E1044" s="86" t="s">
        <v>106</v>
      </c>
      <c r="F1044" s="158">
        <v>6</v>
      </c>
      <c r="G1044" s="161">
        <v>5</v>
      </c>
      <c r="H1044" s="158" t="s">
        <v>444</v>
      </c>
      <c r="I1044" s="158">
        <v>3</v>
      </c>
      <c r="J1044" s="158" t="s">
        <v>444</v>
      </c>
      <c r="K1044" s="158" t="s">
        <v>73</v>
      </c>
      <c r="L1044" s="158" t="s">
        <v>361</v>
      </c>
    </row>
    <row r="1045" spans="1:12" ht="20.25" customHeight="1" x14ac:dyDescent="0.3">
      <c r="A1045" s="90" t="s">
        <v>1665</v>
      </c>
      <c r="B1045" s="84"/>
      <c r="C1045" s="7" t="s">
        <v>1664</v>
      </c>
      <c r="D1045" s="85" t="s">
        <v>182</v>
      </c>
      <c r="E1045" s="86" t="s">
        <v>106</v>
      </c>
      <c r="F1045" s="158">
        <v>6</v>
      </c>
      <c r="G1045" s="161">
        <v>5</v>
      </c>
      <c r="H1045" s="158" t="s">
        <v>443</v>
      </c>
      <c r="I1045" s="158">
        <v>3</v>
      </c>
      <c r="J1045" s="158" t="s">
        <v>444</v>
      </c>
      <c r="K1045" s="158" t="s">
        <v>73</v>
      </c>
      <c r="L1045" s="158" t="s">
        <v>361</v>
      </c>
    </row>
    <row r="1046" spans="1:12" ht="20.25" customHeight="1" x14ac:dyDescent="0.3">
      <c r="A1046" s="90" t="s">
        <v>211</v>
      </c>
      <c r="B1046" s="84"/>
      <c r="C1046" s="7" t="s">
        <v>210</v>
      </c>
      <c r="D1046" s="85" t="s">
        <v>1689</v>
      </c>
      <c r="E1046" s="86" t="s">
        <v>106</v>
      </c>
      <c r="F1046" s="158">
        <v>4</v>
      </c>
      <c r="G1046" s="161">
        <v>6</v>
      </c>
      <c r="H1046" s="158" t="s">
        <v>928</v>
      </c>
      <c r="I1046" s="158">
        <v>3</v>
      </c>
      <c r="J1046" s="158" t="s">
        <v>841</v>
      </c>
      <c r="K1046" s="158" t="s">
        <v>73</v>
      </c>
      <c r="L1046" s="158" t="s">
        <v>361</v>
      </c>
    </row>
    <row r="1047" spans="1:12" ht="20.25" customHeight="1" x14ac:dyDescent="0.3">
      <c r="A1047" s="90" t="s">
        <v>617</v>
      </c>
      <c r="B1047" s="84"/>
      <c r="C1047" s="7" t="s">
        <v>616</v>
      </c>
      <c r="D1047" s="85" t="s">
        <v>183</v>
      </c>
      <c r="E1047" s="86" t="s">
        <v>105</v>
      </c>
      <c r="F1047" s="158">
        <v>2</v>
      </c>
      <c r="G1047" s="161">
        <v>2</v>
      </c>
      <c r="H1047" s="158" t="s">
        <v>199</v>
      </c>
      <c r="I1047" s="158">
        <v>1</v>
      </c>
      <c r="J1047" s="158" t="s">
        <v>222</v>
      </c>
      <c r="K1047" s="158" t="s">
        <v>73</v>
      </c>
      <c r="L1047" s="158">
        <v>2014</v>
      </c>
    </row>
    <row r="1048" spans="1:12" ht="20.25" customHeight="1" x14ac:dyDescent="0.3">
      <c r="A1048" s="90" t="s">
        <v>556</v>
      </c>
      <c r="B1048" s="84"/>
      <c r="C1048" s="7" t="s">
        <v>1675</v>
      </c>
      <c r="D1048" s="85" t="s">
        <v>182</v>
      </c>
      <c r="E1048" s="86" t="s">
        <v>105</v>
      </c>
      <c r="F1048" s="158">
        <v>6</v>
      </c>
      <c r="G1048" s="161">
        <v>3</v>
      </c>
      <c r="H1048" s="158">
        <v>1</v>
      </c>
      <c r="I1048" s="158">
        <v>2</v>
      </c>
      <c r="J1048" s="158">
        <v>3</v>
      </c>
      <c r="K1048" s="158" t="s">
        <v>73</v>
      </c>
      <c r="L1048" s="158">
        <v>2014</v>
      </c>
    </row>
    <row r="1049" spans="1:12" ht="20.25" customHeight="1" x14ac:dyDescent="0.3">
      <c r="A1049" s="90" t="s">
        <v>1677</v>
      </c>
      <c r="B1049" s="84"/>
      <c r="C1049" s="7" t="s">
        <v>1676</v>
      </c>
      <c r="D1049" s="85" t="s">
        <v>182</v>
      </c>
      <c r="E1049" s="86" t="s">
        <v>106</v>
      </c>
      <c r="F1049" s="158">
        <v>4</v>
      </c>
      <c r="G1049" s="161">
        <v>6</v>
      </c>
      <c r="H1049" s="158">
        <v>1</v>
      </c>
      <c r="I1049" s="158">
        <v>3</v>
      </c>
      <c r="J1049" s="158">
        <v>2</v>
      </c>
      <c r="K1049" s="158" t="s">
        <v>73</v>
      </c>
      <c r="L1049" s="158">
        <v>2014</v>
      </c>
    </row>
    <row r="1050" spans="1:12" ht="20.25" customHeight="1" x14ac:dyDescent="0.3">
      <c r="A1050" s="90" t="s">
        <v>1679</v>
      </c>
      <c r="B1050" s="84"/>
      <c r="C1050" s="7" t="s">
        <v>1678</v>
      </c>
      <c r="D1050" s="85" t="s">
        <v>1325</v>
      </c>
      <c r="E1050" s="86" t="s">
        <v>106</v>
      </c>
      <c r="F1050" s="158">
        <v>16</v>
      </c>
      <c r="G1050" s="161">
        <v>6</v>
      </c>
      <c r="H1050" s="158" t="s">
        <v>199</v>
      </c>
      <c r="I1050" s="158">
        <v>3</v>
      </c>
      <c r="J1050" s="158" t="s">
        <v>903</v>
      </c>
      <c r="K1050" s="158" t="s">
        <v>73</v>
      </c>
      <c r="L1050" s="158">
        <v>2014</v>
      </c>
    </row>
    <row r="1051" spans="1:12" ht="20.25" customHeight="1" x14ac:dyDescent="0.3">
      <c r="A1051" s="90" t="s">
        <v>916</v>
      </c>
      <c r="B1051" s="84"/>
      <c r="C1051" s="7" t="s">
        <v>915</v>
      </c>
      <c r="D1051" s="85" t="s">
        <v>1325</v>
      </c>
      <c r="E1051" s="86" t="s">
        <v>106</v>
      </c>
      <c r="F1051" s="158">
        <v>16</v>
      </c>
      <c r="G1051" s="161">
        <v>6</v>
      </c>
      <c r="H1051" s="158" t="s">
        <v>199</v>
      </c>
      <c r="I1051" s="158">
        <v>3</v>
      </c>
      <c r="J1051" s="158" t="s">
        <v>903</v>
      </c>
      <c r="K1051" s="158" t="s">
        <v>73</v>
      </c>
      <c r="L1051" s="158">
        <v>2014</v>
      </c>
    </row>
    <row r="1052" spans="1:12" ht="20.25" customHeight="1" x14ac:dyDescent="0.3">
      <c r="A1052" s="90" t="s">
        <v>1682</v>
      </c>
      <c r="B1052" s="84"/>
      <c r="C1052" s="7" t="s">
        <v>1681</v>
      </c>
      <c r="D1052" s="85" t="s">
        <v>1325</v>
      </c>
      <c r="E1052" s="86" t="s">
        <v>106</v>
      </c>
      <c r="F1052" s="158">
        <v>4</v>
      </c>
      <c r="G1052" s="161">
        <v>6</v>
      </c>
      <c r="H1052" s="158">
        <v>2</v>
      </c>
      <c r="I1052" s="158">
        <v>3</v>
      </c>
      <c r="J1052" s="158">
        <v>1</v>
      </c>
      <c r="K1052" s="158" t="s">
        <v>73</v>
      </c>
      <c r="L1052" s="158">
        <v>2014</v>
      </c>
    </row>
    <row r="1053" spans="1:12" ht="20.25" customHeight="1" x14ac:dyDescent="0.3">
      <c r="A1053" s="90" t="s">
        <v>1691</v>
      </c>
      <c r="B1053" s="84"/>
      <c r="C1053" s="7" t="s">
        <v>1690</v>
      </c>
      <c r="D1053" s="85" t="s">
        <v>193</v>
      </c>
      <c r="E1053" s="86" t="s">
        <v>110</v>
      </c>
      <c r="F1053" s="158">
        <v>6</v>
      </c>
      <c r="G1053" s="161">
        <v>7</v>
      </c>
      <c r="H1053" s="158" t="s">
        <v>876</v>
      </c>
      <c r="I1053" s="158">
        <v>4</v>
      </c>
      <c r="J1053" s="158" t="s">
        <v>1709</v>
      </c>
      <c r="K1053" s="158" t="s">
        <v>191</v>
      </c>
      <c r="L1053" s="158" t="s">
        <v>362</v>
      </c>
    </row>
    <row r="1054" spans="1:12" ht="20.25" customHeight="1" x14ac:dyDescent="0.3">
      <c r="A1054" s="90" t="s">
        <v>1693</v>
      </c>
      <c r="B1054" s="84"/>
      <c r="C1054" s="7" t="s">
        <v>1692</v>
      </c>
      <c r="D1054" s="85" t="s">
        <v>1723</v>
      </c>
      <c r="E1054" s="86" t="s">
        <v>110</v>
      </c>
      <c r="F1054" s="158">
        <v>6</v>
      </c>
      <c r="G1054" s="161">
        <v>7</v>
      </c>
      <c r="H1054" s="158" t="s">
        <v>1025</v>
      </c>
      <c r="I1054" s="158">
        <v>4</v>
      </c>
      <c r="J1054" s="158" t="s">
        <v>1030</v>
      </c>
      <c r="K1054" s="158" t="s">
        <v>191</v>
      </c>
      <c r="L1054" s="158" t="s">
        <v>362</v>
      </c>
    </row>
    <row r="1055" spans="1:12" ht="20.25" customHeight="1" x14ac:dyDescent="0.3">
      <c r="A1055" s="90" t="s">
        <v>147</v>
      </c>
      <c r="B1055" s="84"/>
      <c r="C1055" s="7" t="s">
        <v>146</v>
      </c>
      <c r="D1055" s="85" t="s">
        <v>1723</v>
      </c>
      <c r="E1055" s="86" t="s">
        <v>105</v>
      </c>
      <c r="F1055" s="158">
        <v>6</v>
      </c>
      <c r="G1055" s="161">
        <v>7</v>
      </c>
      <c r="H1055" s="158" t="s">
        <v>1020</v>
      </c>
      <c r="I1055" s="158">
        <v>4</v>
      </c>
      <c r="J1055" s="158" t="s">
        <v>1020</v>
      </c>
      <c r="K1055" s="158" t="s">
        <v>191</v>
      </c>
      <c r="L1055" s="158" t="s">
        <v>526</v>
      </c>
    </row>
    <row r="1056" spans="1:12" ht="20.25" customHeight="1" x14ac:dyDescent="0.3">
      <c r="A1056" s="90" t="s">
        <v>621</v>
      </c>
      <c r="B1056" s="84"/>
      <c r="C1056" s="7" t="s">
        <v>620</v>
      </c>
      <c r="D1056" s="85" t="s">
        <v>1723</v>
      </c>
      <c r="E1056" s="86" t="s">
        <v>110</v>
      </c>
      <c r="F1056" s="158">
        <v>6</v>
      </c>
      <c r="G1056" s="161">
        <v>7</v>
      </c>
      <c r="H1056" s="158" t="s">
        <v>1025</v>
      </c>
      <c r="I1056" s="158">
        <v>4</v>
      </c>
      <c r="J1056" s="158" t="s">
        <v>1031</v>
      </c>
      <c r="K1056" s="158" t="s">
        <v>191</v>
      </c>
      <c r="L1056" s="158" t="s">
        <v>362</v>
      </c>
    </row>
    <row r="1057" spans="1:12" ht="20.25" customHeight="1" x14ac:dyDescent="0.3">
      <c r="A1057" s="90" t="s">
        <v>1133</v>
      </c>
      <c r="B1057" s="84"/>
      <c r="C1057" s="7" t="s">
        <v>1132</v>
      </c>
      <c r="D1057" s="85" t="s">
        <v>1723</v>
      </c>
      <c r="E1057" s="86" t="s">
        <v>105</v>
      </c>
      <c r="F1057" s="158">
        <v>6</v>
      </c>
      <c r="G1057" s="161">
        <v>7</v>
      </c>
      <c r="H1057" s="158" t="s">
        <v>1025</v>
      </c>
      <c r="I1057" s="158">
        <v>4</v>
      </c>
      <c r="J1057" s="158" t="s">
        <v>1030</v>
      </c>
      <c r="K1057" s="158" t="s">
        <v>191</v>
      </c>
      <c r="L1057" s="158" t="s">
        <v>362</v>
      </c>
    </row>
    <row r="1058" spans="1:12" ht="20.25" customHeight="1" x14ac:dyDescent="0.3">
      <c r="A1058" s="90" t="s">
        <v>1585</v>
      </c>
      <c r="B1058" s="84"/>
      <c r="C1058" s="7" t="s">
        <v>1584</v>
      </c>
      <c r="D1058" s="85" t="s">
        <v>193</v>
      </c>
      <c r="E1058" s="86" t="s">
        <v>110</v>
      </c>
      <c r="F1058" s="158">
        <v>6</v>
      </c>
      <c r="G1058" s="161">
        <v>7</v>
      </c>
      <c r="H1058" s="158">
        <v>1</v>
      </c>
      <c r="I1058" s="158">
        <v>4</v>
      </c>
      <c r="J1058" s="158">
        <v>1</v>
      </c>
      <c r="K1058" s="158" t="s">
        <v>191</v>
      </c>
      <c r="L1058" s="158">
        <v>2009</v>
      </c>
    </row>
    <row r="1059" spans="1:12" ht="20.25" customHeight="1" x14ac:dyDescent="0.3">
      <c r="A1059" s="90" t="s">
        <v>589</v>
      </c>
      <c r="B1059" s="84"/>
      <c r="C1059" s="7" t="s">
        <v>588</v>
      </c>
      <c r="D1059" s="85" t="s">
        <v>1723</v>
      </c>
      <c r="E1059" s="86" t="s">
        <v>110</v>
      </c>
      <c r="F1059" s="158">
        <v>6</v>
      </c>
      <c r="G1059" s="161">
        <v>7</v>
      </c>
      <c r="H1059" s="158" t="s">
        <v>1022</v>
      </c>
      <c r="I1059" s="158">
        <v>4</v>
      </c>
      <c r="J1059" s="158" t="s">
        <v>1729</v>
      </c>
      <c r="K1059" s="158" t="s">
        <v>191</v>
      </c>
      <c r="L1059" s="158" t="s">
        <v>347</v>
      </c>
    </row>
    <row r="1060" spans="1:12" ht="20.25" customHeight="1" x14ac:dyDescent="0.3">
      <c r="A1060" s="90" t="s">
        <v>1695</v>
      </c>
      <c r="B1060" s="84"/>
      <c r="C1060" s="7" t="s">
        <v>1694</v>
      </c>
      <c r="D1060" s="85" t="s">
        <v>193</v>
      </c>
      <c r="E1060" s="86" t="s">
        <v>110</v>
      </c>
      <c r="F1060" s="158">
        <v>6</v>
      </c>
      <c r="G1060" s="161">
        <v>7</v>
      </c>
      <c r="H1060" s="158" t="s">
        <v>873</v>
      </c>
      <c r="I1060" s="158">
        <v>4</v>
      </c>
      <c r="J1060" s="158" t="s">
        <v>868</v>
      </c>
      <c r="K1060" s="158" t="s">
        <v>191</v>
      </c>
      <c r="L1060" s="158" t="s">
        <v>362</v>
      </c>
    </row>
    <row r="1061" spans="1:12" ht="20.25" customHeight="1" x14ac:dyDescent="0.3">
      <c r="A1061" s="90" t="s">
        <v>593</v>
      </c>
      <c r="B1061" s="84"/>
      <c r="C1061" s="7" t="s">
        <v>592</v>
      </c>
      <c r="D1061" s="85" t="s">
        <v>1723</v>
      </c>
      <c r="E1061" s="86" t="s">
        <v>110</v>
      </c>
      <c r="F1061" s="158">
        <v>6</v>
      </c>
      <c r="G1061" s="161">
        <v>7</v>
      </c>
      <c r="H1061" s="158" t="s">
        <v>1030</v>
      </c>
      <c r="I1061" s="158">
        <v>4</v>
      </c>
      <c r="J1061" s="158" t="s">
        <v>1026</v>
      </c>
      <c r="K1061" s="158" t="s">
        <v>191</v>
      </c>
      <c r="L1061" s="158" t="s">
        <v>362</v>
      </c>
    </row>
    <row r="1062" spans="1:12" ht="20.25" customHeight="1" x14ac:dyDescent="0.3">
      <c r="A1062" s="90" t="s">
        <v>400</v>
      </c>
      <c r="B1062" s="84"/>
      <c r="C1062" s="7" t="s">
        <v>399</v>
      </c>
      <c r="D1062" s="85" t="s">
        <v>1723</v>
      </c>
      <c r="E1062" s="86" t="s">
        <v>110</v>
      </c>
      <c r="F1062" s="158">
        <v>6</v>
      </c>
      <c r="G1062" s="161">
        <v>7</v>
      </c>
      <c r="H1062" s="158" t="s">
        <v>1030</v>
      </c>
      <c r="I1062" s="158">
        <v>4</v>
      </c>
      <c r="J1062" s="158" t="s">
        <v>1026</v>
      </c>
      <c r="K1062" s="158" t="s">
        <v>191</v>
      </c>
      <c r="L1062" s="158" t="s">
        <v>362</v>
      </c>
    </row>
    <row r="1063" spans="1:12" ht="20.25" customHeight="1" x14ac:dyDescent="0.3">
      <c r="A1063" s="90" t="s">
        <v>597</v>
      </c>
      <c r="B1063" s="84"/>
      <c r="C1063" s="7" t="s">
        <v>596</v>
      </c>
      <c r="D1063" s="85" t="s">
        <v>1723</v>
      </c>
      <c r="E1063" s="86" t="s">
        <v>110</v>
      </c>
      <c r="F1063" s="158">
        <v>6</v>
      </c>
      <c r="G1063" s="161">
        <v>7</v>
      </c>
      <c r="H1063" s="158" t="s">
        <v>1030</v>
      </c>
      <c r="I1063" s="158">
        <v>4</v>
      </c>
      <c r="J1063" s="158" t="s">
        <v>1026</v>
      </c>
      <c r="K1063" s="158" t="s">
        <v>191</v>
      </c>
      <c r="L1063" s="158" t="s">
        <v>362</v>
      </c>
    </row>
    <row r="1064" spans="1:12" ht="20.25" customHeight="1" x14ac:dyDescent="0.3">
      <c r="A1064" s="90" t="s">
        <v>601</v>
      </c>
      <c r="B1064" s="84"/>
      <c r="C1064" s="7" t="s">
        <v>600</v>
      </c>
      <c r="D1064" s="85" t="s">
        <v>193</v>
      </c>
      <c r="E1064" s="86" t="s">
        <v>110</v>
      </c>
      <c r="F1064" s="158">
        <v>6</v>
      </c>
      <c r="G1064" s="161">
        <v>8</v>
      </c>
      <c r="H1064" s="158" t="s">
        <v>868</v>
      </c>
      <c r="I1064" s="158">
        <v>4</v>
      </c>
      <c r="J1064" s="158" t="s">
        <v>873</v>
      </c>
      <c r="K1064" s="158" t="s">
        <v>191</v>
      </c>
      <c r="L1064" s="158" t="s">
        <v>362</v>
      </c>
    </row>
    <row r="1065" spans="1:12" ht="20.25" customHeight="1" x14ac:dyDescent="0.3">
      <c r="A1065" s="90" t="s">
        <v>1697</v>
      </c>
      <c r="B1065" s="84"/>
      <c r="C1065" s="7" t="s">
        <v>1696</v>
      </c>
      <c r="D1065" s="85" t="s">
        <v>193</v>
      </c>
      <c r="E1065" s="86" t="s">
        <v>110</v>
      </c>
      <c r="F1065" s="158">
        <v>6</v>
      </c>
      <c r="G1065" s="161">
        <v>8</v>
      </c>
      <c r="H1065" s="158" t="s">
        <v>868</v>
      </c>
      <c r="I1065" s="158">
        <v>4</v>
      </c>
      <c r="J1065" s="158" t="s">
        <v>868</v>
      </c>
      <c r="K1065" s="158" t="s">
        <v>191</v>
      </c>
      <c r="L1065" s="158" t="s">
        <v>362</v>
      </c>
    </row>
    <row r="1066" spans="1:12" ht="20.25" customHeight="1" x14ac:dyDescent="0.3">
      <c r="A1066" s="90" t="s">
        <v>1699</v>
      </c>
      <c r="B1066" s="84"/>
      <c r="C1066" s="7" t="s">
        <v>1698</v>
      </c>
      <c r="D1066" s="85" t="s">
        <v>193</v>
      </c>
      <c r="E1066" s="86" t="s">
        <v>110</v>
      </c>
      <c r="F1066" s="158">
        <v>6</v>
      </c>
      <c r="G1066" s="161">
        <v>8</v>
      </c>
      <c r="H1066" s="158" t="s">
        <v>864</v>
      </c>
      <c r="I1066" s="158">
        <v>4</v>
      </c>
      <c r="J1066" s="158" t="s">
        <v>1448</v>
      </c>
      <c r="K1066" s="158" t="s">
        <v>191</v>
      </c>
      <c r="L1066" s="158" t="s">
        <v>352</v>
      </c>
    </row>
    <row r="1067" spans="1:12" ht="20.25" customHeight="1" x14ac:dyDescent="0.3">
      <c r="A1067" s="90" t="s">
        <v>1701</v>
      </c>
      <c r="B1067" s="84"/>
      <c r="C1067" s="7" t="s">
        <v>1700</v>
      </c>
      <c r="D1067" s="85" t="s">
        <v>193</v>
      </c>
      <c r="E1067" s="86" t="s">
        <v>110</v>
      </c>
      <c r="F1067" s="158">
        <v>6</v>
      </c>
      <c r="G1067" s="161">
        <v>8</v>
      </c>
      <c r="H1067" s="158" t="s">
        <v>873</v>
      </c>
      <c r="I1067" s="158">
        <v>4</v>
      </c>
      <c r="J1067" s="158" t="s">
        <v>883</v>
      </c>
      <c r="K1067" s="158" t="s">
        <v>191</v>
      </c>
      <c r="L1067" s="158" t="s">
        <v>362</v>
      </c>
    </row>
    <row r="1068" spans="1:12" ht="20.25" customHeight="1" x14ac:dyDescent="0.3">
      <c r="A1068" s="90" t="s">
        <v>607</v>
      </c>
      <c r="B1068" s="84"/>
      <c r="C1068" s="7" t="s">
        <v>606</v>
      </c>
      <c r="D1068" s="85" t="s">
        <v>193</v>
      </c>
      <c r="E1068" s="86" t="s">
        <v>110</v>
      </c>
      <c r="F1068" s="158">
        <v>6</v>
      </c>
      <c r="G1068" s="161">
        <v>8</v>
      </c>
      <c r="H1068" s="158">
        <v>2</v>
      </c>
      <c r="I1068" s="158">
        <v>4</v>
      </c>
      <c r="J1068" s="158">
        <v>1</v>
      </c>
      <c r="K1068" s="158" t="s">
        <v>191</v>
      </c>
      <c r="L1068" s="158">
        <v>2009</v>
      </c>
    </row>
    <row r="1069" spans="1:12" ht="20.25" customHeight="1" x14ac:dyDescent="0.3">
      <c r="A1069" s="90" t="s">
        <v>277</v>
      </c>
      <c r="B1069" s="84"/>
      <c r="C1069" s="7" t="s">
        <v>902</v>
      </c>
      <c r="D1069" s="85" t="s">
        <v>1723</v>
      </c>
      <c r="E1069" s="86" t="s">
        <v>106</v>
      </c>
      <c r="F1069" s="158">
        <v>6</v>
      </c>
      <c r="G1069" s="161">
        <v>9</v>
      </c>
      <c r="H1069" s="158" t="s">
        <v>1724</v>
      </c>
      <c r="I1069" s="158">
        <v>5</v>
      </c>
      <c r="J1069" s="158" t="s">
        <v>737</v>
      </c>
      <c r="K1069" s="158" t="s">
        <v>191</v>
      </c>
      <c r="L1069" s="158" t="s">
        <v>338</v>
      </c>
    </row>
    <row r="1070" spans="1:12" ht="20.25" customHeight="1" x14ac:dyDescent="0.3">
      <c r="A1070" s="90" t="s">
        <v>1594</v>
      </c>
      <c r="B1070" s="84"/>
      <c r="C1070" s="7" t="s">
        <v>1593</v>
      </c>
      <c r="D1070" s="85" t="s">
        <v>193</v>
      </c>
      <c r="E1070" s="86" t="s">
        <v>110</v>
      </c>
      <c r="F1070" s="158">
        <v>6</v>
      </c>
      <c r="G1070" s="161">
        <v>9</v>
      </c>
      <c r="H1070" s="158" t="s">
        <v>868</v>
      </c>
      <c r="I1070" s="158">
        <v>5</v>
      </c>
      <c r="J1070" s="158" t="s">
        <v>883</v>
      </c>
      <c r="K1070" s="158" t="s">
        <v>191</v>
      </c>
      <c r="L1070" s="158" t="s">
        <v>362</v>
      </c>
    </row>
    <row r="1071" spans="1:12" ht="20.25" customHeight="1" x14ac:dyDescent="0.3">
      <c r="A1071" s="90" t="s">
        <v>1311</v>
      </c>
      <c r="B1071" s="84"/>
      <c r="C1071" s="7" t="s">
        <v>1310</v>
      </c>
      <c r="D1071" s="85" t="s">
        <v>1723</v>
      </c>
      <c r="E1071" s="86" t="s">
        <v>110</v>
      </c>
      <c r="F1071" s="158">
        <v>6</v>
      </c>
      <c r="G1071" s="161">
        <v>9</v>
      </c>
      <c r="H1071" s="158" t="s">
        <v>1025</v>
      </c>
      <c r="I1071" s="158">
        <v>5</v>
      </c>
      <c r="J1071" s="158" t="s">
        <v>1736</v>
      </c>
      <c r="K1071" s="158" t="s">
        <v>191</v>
      </c>
      <c r="L1071" s="158" t="s">
        <v>362</v>
      </c>
    </row>
    <row r="1072" spans="1:12" ht="20.25" customHeight="1" x14ac:dyDescent="0.3">
      <c r="A1072" s="90" t="s">
        <v>1656</v>
      </c>
      <c r="B1072" s="84"/>
      <c r="C1072" s="7" t="s">
        <v>1655</v>
      </c>
      <c r="D1072" s="85" t="s">
        <v>1723</v>
      </c>
      <c r="E1072" s="86" t="s">
        <v>106</v>
      </c>
      <c r="F1072" s="158">
        <v>8</v>
      </c>
      <c r="G1072" s="161">
        <v>9</v>
      </c>
      <c r="H1072" s="158" t="s">
        <v>1350</v>
      </c>
      <c r="I1072" s="158">
        <v>5</v>
      </c>
      <c r="J1072" s="158" t="s">
        <v>1739</v>
      </c>
      <c r="K1072" s="158" t="s">
        <v>191</v>
      </c>
      <c r="L1072" s="158" t="s">
        <v>362</v>
      </c>
    </row>
    <row r="1073" spans="1:12" ht="20.25" customHeight="1" x14ac:dyDescent="0.3">
      <c r="A1073" s="90" t="s">
        <v>1133</v>
      </c>
      <c r="B1073" s="84"/>
      <c r="C1073" s="7" t="s">
        <v>1132</v>
      </c>
      <c r="D1073" s="85" t="s">
        <v>1723</v>
      </c>
      <c r="E1073" s="86" t="s">
        <v>105</v>
      </c>
      <c r="F1073" s="158">
        <v>6</v>
      </c>
      <c r="G1073" s="161">
        <v>9</v>
      </c>
      <c r="H1073" s="158" t="s">
        <v>1025</v>
      </c>
      <c r="I1073" s="158">
        <v>5</v>
      </c>
      <c r="J1073" s="158" t="s">
        <v>1030</v>
      </c>
      <c r="K1073" s="158" t="s">
        <v>191</v>
      </c>
      <c r="L1073" s="158" t="s">
        <v>362</v>
      </c>
    </row>
    <row r="1074" spans="1:12" ht="20.25" customHeight="1" x14ac:dyDescent="0.3">
      <c r="A1074" s="90" t="s">
        <v>1477</v>
      </c>
      <c r="B1074" s="84"/>
      <c r="C1074" s="7" t="s">
        <v>1476</v>
      </c>
      <c r="D1074" s="85" t="s">
        <v>193</v>
      </c>
      <c r="E1074" s="86" t="s">
        <v>106</v>
      </c>
      <c r="F1074" s="158">
        <v>6</v>
      </c>
      <c r="G1074" s="161">
        <v>9</v>
      </c>
      <c r="H1074" s="158" t="s">
        <v>868</v>
      </c>
      <c r="I1074" s="158">
        <v>5</v>
      </c>
      <c r="J1074" s="158" t="s">
        <v>926</v>
      </c>
      <c r="K1074" s="158" t="s">
        <v>191</v>
      </c>
      <c r="L1074" s="158" t="s">
        <v>362</v>
      </c>
    </row>
    <row r="1075" spans="1:12" ht="20.25" customHeight="1" x14ac:dyDescent="0.3">
      <c r="A1075" s="90" t="s">
        <v>783</v>
      </c>
      <c r="B1075" s="84"/>
      <c r="C1075" s="7" t="s">
        <v>782</v>
      </c>
      <c r="D1075" s="85" t="s">
        <v>1723</v>
      </c>
      <c r="E1075" s="86" t="s">
        <v>106</v>
      </c>
      <c r="F1075" s="158">
        <v>6</v>
      </c>
      <c r="G1075" s="161">
        <v>9</v>
      </c>
      <c r="H1075" s="158" t="s">
        <v>1348</v>
      </c>
      <c r="I1075" s="158">
        <v>5</v>
      </c>
      <c r="J1075" s="158" t="s">
        <v>1410</v>
      </c>
      <c r="K1075" s="158" t="s">
        <v>191</v>
      </c>
      <c r="L1075" s="158" t="s">
        <v>362</v>
      </c>
    </row>
    <row r="1076" spans="1:12" ht="20.25" customHeight="1" x14ac:dyDescent="0.3">
      <c r="A1076" s="90" t="s">
        <v>392</v>
      </c>
      <c r="B1076" s="84"/>
      <c r="C1076" s="7" t="s">
        <v>391</v>
      </c>
      <c r="D1076" s="85" t="s">
        <v>1723</v>
      </c>
      <c r="E1076" s="86" t="s">
        <v>110</v>
      </c>
      <c r="F1076" s="158">
        <v>6</v>
      </c>
      <c r="G1076" s="161">
        <v>9</v>
      </c>
      <c r="H1076" s="158" t="s">
        <v>1025</v>
      </c>
      <c r="I1076" s="158">
        <v>5</v>
      </c>
      <c r="J1076" s="158" t="s">
        <v>1031</v>
      </c>
      <c r="K1076" s="158" t="s">
        <v>191</v>
      </c>
      <c r="L1076" s="158" t="s">
        <v>362</v>
      </c>
    </row>
    <row r="1077" spans="1:12" ht="20.25" customHeight="1" x14ac:dyDescent="0.3">
      <c r="A1077" s="90" t="s">
        <v>1703</v>
      </c>
      <c r="B1077" s="84"/>
      <c r="C1077" s="7" t="s">
        <v>1702</v>
      </c>
      <c r="D1077" s="85" t="s">
        <v>193</v>
      </c>
      <c r="E1077" s="86" t="s">
        <v>110</v>
      </c>
      <c r="F1077" s="158">
        <v>6</v>
      </c>
      <c r="G1077" s="161">
        <v>9</v>
      </c>
      <c r="H1077" s="158" t="s">
        <v>873</v>
      </c>
      <c r="I1077" s="158">
        <v>5</v>
      </c>
      <c r="J1077" s="158" t="s">
        <v>1419</v>
      </c>
      <c r="K1077" s="158" t="s">
        <v>191</v>
      </c>
      <c r="L1077" s="158" t="s">
        <v>362</v>
      </c>
    </row>
    <row r="1078" spans="1:12" ht="20.25" customHeight="1" x14ac:dyDescent="0.3">
      <c r="A1078" s="90" t="s">
        <v>797</v>
      </c>
      <c r="B1078" s="84"/>
      <c r="C1078" s="7" t="s">
        <v>796</v>
      </c>
      <c r="D1078" s="85" t="s">
        <v>1723</v>
      </c>
      <c r="E1078" s="86" t="s">
        <v>106</v>
      </c>
      <c r="F1078" s="158">
        <v>8</v>
      </c>
      <c r="G1078" s="161">
        <v>9</v>
      </c>
      <c r="H1078" s="158" t="s">
        <v>1019</v>
      </c>
      <c r="I1078" s="158">
        <v>5</v>
      </c>
      <c r="J1078" s="158" t="s">
        <v>1017</v>
      </c>
      <c r="K1078" s="158" t="s">
        <v>191</v>
      </c>
      <c r="L1078" s="158" t="s">
        <v>338</v>
      </c>
    </row>
    <row r="1079" spans="1:12" ht="20.25" customHeight="1" x14ac:dyDescent="0.3">
      <c r="A1079" s="90" t="s">
        <v>396</v>
      </c>
      <c r="B1079" s="84"/>
      <c r="C1079" s="7" t="s">
        <v>395</v>
      </c>
      <c r="D1079" s="85" t="s">
        <v>1723</v>
      </c>
      <c r="E1079" s="86" t="s">
        <v>110</v>
      </c>
      <c r="F1079" s="158">
        <v>6</v>
      </c>
      <c r="G1079" s="161">
        <v>9</v>
      </c>
      <c r="H1079" s="158" t="s">
        <v>1030</v>
      </c>
      <c r="I1079" s="158">
        <v>5</v>
      </c>
      <c r="J1079" s="158" t="s">
        <v>1025</v>
      </c>
      <c r="K1079" s="158" t="s">
        <v>191</v>
      </c>
      <c r="L1079" s="158" t="s">
        <v>362</v>
      </c>
    </row>
    <row r="1080" spans="1:12" ht="20.25" customHeight="1" x14ac:dyDescent="0.3">
      <c r="A1080" s="90" t="s">
        <v>591</v>
      </c>
      <c r="B1080" s="84"/>
      <c r="C1080" s="7" t="s">
        <v>590</v>
      </c>
      <c r="D1080" s="85" t="s">
        <v>1723</v>
      </c>
      <c r="E1080" s="86" t="s">
        <v>110</v>
      </c>
      <c r="F1080" s="158">
        <v>6</v>
      </c>
      <c r="G1080" s="161">
        <v>9</v>
      </c>
      <c r="H1080" s="158" t="s">
        <v>1022</v>
      </c>
      <c r="I1080" s="158">
        <v>5</v>
      </c>
      <c r="J1080" s="158" t="s">
        <v>1024</v>
      </c>
      <c r="K1080" s="158" t="s">
        <v>191</v>
      </c>
      <c r="L1080" s="158" t="s">
        <v>347</v>
      </c>
    </row>
    <row r="1081" spans="1:12" ht="20.25" customHeight="1" x14ac:dyDescent="0.3">
      <c r="A1081" s="90" t="s">
        <v>612</v>
      </c>
      <c r="B1081" s="84"/>
      <c r="C1081" s="7" t="s">
        <v>611</v>
      </c>
      <c r="D1081" s="85" t="s">
        <v>193</v>
      </c>
      <c r="E1081" s="86" t="s">
        <v>110</v>
      </c>
      <c r="F1081" s="158">
        <v>6</v>
      </c>
      <c r="G1081" s="161">
        <v>8</v>
      </c>
      <c r="H1081" s="158" t="s">
        <v>542</v>
      </c>
      <c r="I1081" s="158">
        <v>4</v>
      </c>
      <c r="J1081" s="158" t="s">
        <v>543</v>
      </c>
      <c r="K1081" s="158" t="s">
        <v>191</v>
      </c>
      <c r="L1081" s="158" t="s">
        <v>367</v>
      </c>
    </row>
    <row r="1082" spans="1:12" ht="20.25" customHeight="1" x14ac:dyDescent="0.3">
      <c r="A1082" s="90" t="s">
        <v>817</v>
      </c>
      <c r="B1082" s="84"/>
      <c r="C1082" s="7" t="s">
        <v>816</v>
      </c>
      <c r="D1082" s="85" t="s">
        <v>193</v>
      </c>
      <c r="E1082" s="86" t="s">
        <v>105</v>
      </c>
      <c r="F1082" s="158">
        <v>6</v>
      </c>
      <c r="G1082" s="161">
        <v>9</v>
      </c>
      <c r="H1082" s="158">
        <v>1</v>
      </c>
      <c r="I1082" s="158">
        <v>5</v>
      </c>
      <c r="J1082" s="158">
        <v>2</v>
      </c>
      <c r="K1082" s="158" t="s">
        <v>191</v>
      </c>
      <c r="L1082" s="158">
        <v>2010</v>
      </c>
    </row>
    <row r="1083" spans="1:12" ht="20.25" customHeight="1" x14ac:dyDescent="0.3">
      <c r="A1083" s="90" t="s">
        <v>1069</v>
      </c>
      <c r="B1083" s="84"/>
      <c r="C1083" s="7" t="s">
        <v>1068</v>
      </c>
      <c r="D1083" s="85" t="s">
        <v>1723</v>
      </c>
      <c r="E1083" s="86" t="s">
        <v>105</v>
      </c>
      <c r="F1083" s="158">
        <v>6</v>
      </c>
      <c r="G1083" s="161">
        <v>9</v>
      </c>
      <c r="H1083" s="158" t="s">
        <v>443</v>
      </c>
      <c r="I1083" s="158">
        <v>5</v>
      </c>
      <c r="J1083" s="158" t="s">
        <v>841</v>
      </c>
      <c r="K1083" s="158" t="s">
        <v>191</v>
      </c>
      <c r="L1083" s="158">
        <v>2010</v>
      </c>
    </row>
    <row r="1084" spans="1:12" ht="20.25" customHeight="1" x14ac:dyDescent="0.3">
      <c r="A1084" s="90" t="s">
        <v>277</v>
      </c>
      <c r="B1084" s="84"/>
      <c r="C1084" s="7" t="s">
        <v>276</v>
      </c>
      <c r="D1084" s="85" t="s">
        <v>1723</v>
      </c>
      <c r="E1084" s="86" t="s">
        <v>106</v>
      </c>
      <c r="F1084" s="158">
        <v>6</v>
      </c>
      <c r="G1084" s="161">
        <v>9</v>
      </c>
      <c r="H1084" s="158" t="s">
        <v>1249</v>
      </c>
      <c r="I1084" s="158">
        <v>5</v>
      </c>
      <c r="J1084" s="158" t="s">
        <v>1737</v>
      </c>
      <c r="K1084" s="158" t="s">
        <v>191</v>
      </c>
      <c r="L1084" s="158" t="s">
        <v>369</v>
      </c>
    </row>
    <row r="1085" spans="1:12" ht="20.25" customHeight="1" x14ac:dyDescent="0.3">
      <c r="A1085" s="90" t="s">
        <v>846</v>
      </c>
      <c r="B1085" s="84"/>
      <c r="C1085" s="7" t="s">
        <v>845</v>
      </c>
      <c r="D1085" s="85" t="s">
        <v>193</v>
      </c>
      <c r="E1085" s="86" t="s">
        <v>105</v>
      </c>
      <c r="F1085" s="158">
        <v>6</v>
      </c>
      <c r="G1085" s="161">
        <v>9</v>
      </c>
      <c r="H1085" s="158" t="s">
        <v>534</v>
      </c>
      <c r="I1085" s="158">
        <v>5</v>
      </c>
      <c r="J1085" s="158" t="s">
        <v>533</v>
      </c>
      <c r="K1085" s="158" t="s">
        <v>191</v>
      </c>
      <c r="L1085" s="158" t="s">
        <v>369</v>
      </c>
    </row>
    <row r="1086" spans="1:12" ht="20.25" customHeight="1" x14ac:dyDescent="0.3">
      <c r="A1086" s="90" t="s">
        <v>797</v>
      </c>
      <c r="B1086" s="84"/>
      <c r="C1086" s="7" t="s">
        <v>844</v>
      </c>
      <c r="D1086" s="85" t="s">
        <v>1723</v>
      </c>
      <c r="E1086" s="86" t="s">
        <v>106</v>
      </c>
      <c r="F1086" s="158">
        <v>6</v>
      </c>
      <c r="G1086" s="161">
        <v>9</v>
      </c>
      <c r="H1086" s="158" t="s">
        <v>1022</v>
      </c>
      <c r="I1086" s="158">
        <v>5</v>
      </c>
      <c r="J1086" s="158" t="s">
        <v>1024</v>
      </c>
      <c r="K1086" s="158" t="s">
        <v>191</v>
      </c>
      <c r="L1086" s="158" t="s">
        <v>369</v>
      </c>
    </row>
    <row r="1087" spans="1:12" ht="20.25" customHeight="1" x14ac:dyDescent="0.3">
      <c r="A1087" s="90" t="s">
        <v>1069</v>
      </c>
      <c r="B1087" s="84"/>
      <c r="C1087" s="7" t="s">
        <v>1077</v>
      </c>
      <c r="D1087" s="85" t="s">
        <v>1723</v>
      </c>
      <c r="E1087" s="86" t="s">
        <v>105</v>
      </c>
      <c r="F1087" s="158">
        <v>6</v>
      </c>
      <c r="G1087" s="161">
        <v>9</v>
      </c>
      <c r="H1087" s="158" t="s">
        <v>1022</v>
      </c>
      <c r="I1087" s="158">
        <v>5</v>
      </c>
      <c r="J1087" s="158" t="s">
        <v>1729</v>
      </c>
      <c r="K1087" s="158" t="s">
        <v>191</v>
      </c>
      <c r="L1087" s="158" t="s">
        <v>369</v>
      </c>
    </row>
    <row r="1088" spans="1:12" ht="20.25" customHeight="1" x14ac:dyDescent="0.3">
      <c r="A1088" s="90" t="s">
        <v>48</v>
      </c>
      <c r="B1088" s="84"/>
      <c r="C1088" s="7" t="s">
        <v>237</v>
      </c>
      <c r="D1088" s="85" t="s">
        <v>193</v>
      </c>
      <c r="E1088" s="86" t="s">
        <v>105</v>
      </c>
      <c r="F1088" s="158">
        <v>6</v>
      </c>
      <c r="G1088" s="161">
        <v>9</v>
      </c>
      <c r="H1088" s="158" t="s">
        <v>533</v>
      </c>
      <c r="I1088" s="158">
        <v>5</v>
      </c>
      <c r="J1088" s="158" t="s">
        <v>863</v>
      </c>
      <c r="K1088" s="158" t="s">
        <v>191</v>
      </c>
      <c r="L1088" s="158" t="s">
        <v>369</v>
      </c>
    </row>
    <row r="1089" spans="1:12" ht="20.25" customHeight="1" x14ac:dyDescent="0.3">
      <c r="A1089" s="90" t="s">
        <v>1097</v>
      </c>
      <c r="B1089" s="84"/>
      <c r="C1089" s="7" t="s">
        <v>1096</v>
      </c>
      <c r="D1089" s="85" t="s">
        <v>1723</v>
      </c>
      <c r="E1089" s="86" t="s">
        <v>106</v>
      </c>
      <c r="F1089" s="158">
        <v>6</v>
      </c>
      <c r="G1089" s="161">
        <v>7</v>
      </c>
      <c r="H1089" s="158" t="s">
        <v>1020</v>
      </c>
      <c r="I1089" s="158">
        <v>4</v>
      </c>
      <c r="J1089" s="158" t="s">
        <v>1020</v>
      </c>
      <c r="K1089" s="158" t="s">
        <v>191</v>
      </c>
      <c r="L1089" s="158" t="s">
        <v>679</v>
      </c>
    </row>
    <row r="1090" spans="1:12" ht="20.25" customHeight="1" x14ac:dyDescent="0.3">
      <c r="A1090" s="90" t="s">
        <v>299</v>
      </c>
      <c r="B1090" s="84"/>
      <c r="C1090" s="7" t="s">
        <v>298</v>
      </c>
      <c r="D1090" s="85" t="s">
        <v>193</v>
      </c>
      <c r="E1090" s="86" t="s">
        <v>105</v>
      </c>
      <c r="F1090" s="158">
        <v>6</v>
      </c>
      <c r="G1090" s="161">
        <v>7</v>
      </c>
      <c r="H1090" s="158" t="s">
        <v>842</v>
      </c>
      <c r="I1090" s="158">
        <v>4</v>
      </c>
      <c r="J1090" s="158" t="s">
        <v>904</v>
      </c>
      <c r="K1090" s="158" t="s">
        <v>191</v>
      </c>
      <c r="L1090" s="158" t="s">
        <v>546</v>
      </c>
    </row>
    <row r="1091" spans="1:12" ht="20.25" customHeight="1" x14ac:dyDescent="0.3">
      <c r="A1091" s="90" t="s">
        <v>301</v>
      </c>
      <c r="B1091" s="84"/>
      <c r="C1091" s="7" t="s">
        <v>300</v>
      </c>
      <c r="D1091" s="85" t="s">
        <v>193</v>
      </c>
      <c r="E1091" s="86" t="s">
        <v>105</v>
      </c>
      <c r="F1091" s="158">
        <v>6</v>
      </c>
      <c r="G1091" s="161">
        <v>7</v>
      </c>
      <c r="H1091" s="158" t="s">
        <v>842</v>
      </c>
      <c r="I1091" s="158">
        <v>4</v>
      </c>
      <c r="J1091" s="158" t="s">
        <v>904</v>
      </c>
      <c r="K1091" s="158" t="s">
        <v>191</v>
      </c>
      <c r="L1091" s="158" t="s">
        <v>546</v>
      </c>
    </row>
    <row r="1092" spans="1:12" ht="20.25" customHeight="1" x14ac:dyDescent="0.3">
      <c r="A1092" s="90" t="s">
        <v>303</v>
      </c>
      <c r="B1092" s="84"/>
      <c r="C1092" s="7" t="s">
        <v>302</v>
      </c>
      <c r="D1092" s="85" t="s">
        <v>193</v>
      </c>
      <c r="E1092" s="86" t="s">
        <v>105</v>
      </c>
      <c r="F1092" s="158">
        <v>6</v>
      </c>
      <c r="G1092" s="161">
        <v>7</v>
      </c>
      <c r="H1092" s="158" t="s">
        <v>842</v>
      </c>
      <c r="I1092" s="158">
        <v>4</v>
      </c>
      <c r="J1092" s="158" t="s">
        <v>904</v>
      </c>
      <c r="K1092" s="158" t="s">
        <v>191</v>
      </c>
      <c r="L1092" s="158" t="s">
        <v>546</v>
      </c>
    </row>
    <row r="1093" spans="1:12" ht="20.25" customHeight="1" x14ac:dyDescent="0.3">
      <c r="A1093" s="90" t="s">
        <v>624</v>
      </c>
      <c r="B1093" s="84"/>
      <c r="C1093" s="7" t="s">
        <v>623</v>
      </c>
      <c r="D1093" s="85" t="s">
        <v>1723</v>
      </c>
      <c r="E1093" s="86" t="s">
        <v>110</v>
      </c>
      <c r="F1093" s="158">
        <v>6</v>
      </c>
      <c r="G1093" s="161">
        <v>7</v>
      </c>
      <c r="H1093" s="158" t="s">
        <v>1019</v>
      </c>
      <c r="I1093" s="158">
        <v>4</v>
      </c>
      <c r="J1093" s="158" t="s">
        <v>1733</v>
      </c>
      <c r="K1093" s="158" t="s">
        <v>191</v>
      </c>
      <c r="L1093" s="158" t="s">
        <v>361</v>
      </c>
    </row>
    <row r="1094" spans="1:12" ht="20.25" customHeight="1" x14ac:dyDescent="0.3">
      <c r="A1094" s="90" t="s">
        <v>626</v>
      </c>
      <c r="B1094" s="84"/>
      <c r="C1094" s="7" t="s">
        <v>625</v>
      </c>
      <c r="D1094" s="85" t="s">
        <v>1723</v>
      </c>
      <c r="E1094" s="86" t="s">
        <v>110</v>
      </c>
      <c r="F1094" s="158">
        <v>6</v>
      </c>
      <c r="G1094" s="161">
        <v>9</v>
      </c>
      <c r="H1094" s="158" t="s">
        <v>443</v>
      </c>
      <c r="I1094" s="158">
        <v>5</v>
      </c>
      <c r="J1094" s="158" t="s">
        <v>444</v>
      </c>
      <c r="K1094" s="158" t="s">
        <v>191</v>
      </c>
      <c r="L1094" s="158">
        <v>2013</v>
      </c>
    </row>
    <row r="1095" spans="1:12" ht="20.25" customHeight="1" x14ac:dyDescent="0.3">
      <c r="A1095" s="90" t="s">
        <v>1067</v>
      </c>
      <c r="B1095" s="84"/>
      <c r="C1095" s="7" t="s">
        <v>1066</v>
      </c>
      <c r="D1095" s="85" t="s">
        <v>1723</v>
      </c>
      <c r="E1095" s="86" t="s">
        <v>106</v>
      </c>
      <c r="F1095" s="158">
        <v>6</v>
      </c>
      <c r="G1095" s="161">
        <v>9</v>
      </c>
      <c r="H1095" s="158" t="s">
        <v>1019</v>
      </c>
      <c r="I1095" s="158">
        <v>5</v>
      </c>
      <c r="J1095" s="158" t="s">
        <v>1019</v>
      </c>
      <c r="K1095" s="158" t="s">
        <v>191</v>
      </c>
      <c r="L1095" s="158" t="s">
        <v>361</v>
      </c>
    </row>
    <row r="1096" spans="1:12" ht="20.25" customHeight="1" x14ac:dyDescent="0.3">
      <c r="A1096" s="90" t="s">
        <v>1707</v>
      </c>
      <c r="B1096" s="84"/>
      <c r="C1096" s="7" t="s">
        <v>1706</v>
      </c>
      <c r="D1096" s="85" t="s">
        <v>1723</v>
      </c>
      <c r="E1096" s="86" t="s">
        <v>105</v>
      </c>
      <c r="F1096" s="158">
        <v>6</v>
      </c>
      <c r="G1096" s="161">
        <v>7</v>
      </c>
      <c r="H1096" s="158" t="s">
        <v>443</v>
      </c>
      <c r="I1096" s="158">
        <v>4</v>
      </c>
      <c r="J1096" s="158" t="s">
        <v>839</v>
      </c>
      <c r="K1096" s="158" t="s">
        <v>191</v>
      </c>
      <c r="L1096" s="158">
        <v>2014</v>
      </c>
    </row>
    <row r="1097" spans="1:12" ht="20.25" customHeight="1" x14ac:dyDescent="0.3">
      <c r="A1097" s="90" t="s">
        <v>1705</v>
      </c>
      <c r="B1097" s="84"/>
      <c r="C1097" s="7" t="s">
        <v>1708</v>
      </c>
      <c r="D1097" s="85" t="s">
        <v>193</v>
      </c>
      <c r="E1097" s="86" t="s">
        <v>110</v>
      </c>
      <c r="F1097" s="158">
        <v>6</v>
      </c>
      <c r="G1097" s="161">
        <v>8</v>
      </c>
      <c r="H1097" s="158" t="s">
        <v>199</v>
      </c>
      <c r="I1097" s="158">
        <v>4</v>
      </c>
      <c r="J1097" s="158" t="s">
        <v>1444</v>
      </c>
      <c r="K1097" s="158" t="s">
        <v>191</v>
      </c>
      <c r="L1097" s="158">
        <v>2014</v>
      </c>
    </row>
    <row r="1098" spans="1:12" ht="20.25" customHeight="1" x14ac:dyDescent="0.3">
      <c r="A1098" s="90" t="s">
        <v>1711</v>
      </c>
      <c r="B1098" s="84"/>
      <c r="C1098" s="7" t="s">
        <v>1710</v>
      </c>
      <c r="D1098" s="85" t="s">
        <v>192</v>
      </c>
      <c r="E1098" s="86" t="s">
        <v>110</v>
      </c>
      <c r="F1098" s="158">
        <v>6</v>
      </c>
      <c r="G1098" s="161">
        <v>7</v>
      </c>
      <c r="H1098" s="158" t="s">
        <v>543</v>
      </c>
      <c r="I1098" s="158">
        <v>4</v>
      </c>
      <c r="J1098" s="158" t="s">
        <v>1003</v>
      </c>
      <c r="K1098" s="158" t="s">
        <v>191</v>
      </c>
      <c r="L1098" s="158" t="s">
        <v>352</v>
      </c>
    </row>
    <row r="1099" spans="1:12" ht="20.25" customHeight="1" x14ac:dyDescent="0.3">
      <c r="A1099" s="90" t="s">
        <v>1713</v>
      </c>
      <c r="B1099" s="84"/>
      <c r="C1099" s="7" t="s">
        <v>1712</v>
      </c>
      <c r="D1099" s="85" t="s">
        <v>192</v>
      </c>
      <c r="E1099" s="86" t="s">
        <v>110</v>
      </c>
      <c r="F1099" s="158">
        <v>6</v>
      </c>
      <c r="G1099" s="161">
        <v>7</v>
      </c>
      <c r="H1099" s="158" t="s">
        <v>873</v>
      </c>
      <c r="I1099" s="158">
        <v>4</v>
      </c>
      <c r="J1099" s="158" t="s">
        <v>868</v>
      </c>
      <c r="K1099" s="158" t="s">
        <v>191</v>
      </c>
      <c r="L1099" s="158" t="s">
        <v>362</v>
      </c>
    </row>
    <row r="1100" spans="1:12" ht="20.25" customHeight="1" x14ac:dyDescent="0.3">
      <c r="A1100" s="90" t="s">
        <v>1715</v>
      </c>
      <c r="B1100" s="84"/>
      <c r="C1100" s="7" t="s">
        <v>1714</v>
      </c>
      <c r="D1100" s="85" t="s">
        <v>192</v>
      </c>
      <c r="E1100" s="86" t="s">
        <v>110</v>
      </c>
      <c r="F1100" s="158">
        <v>6</v>
      </c>
      <c r="G1100" s="161">
        <v>8</v>
      </c>
      <c r="H1100" s="158" t="s">
        <v>876</v>
      </c>
      <c r="I1100" s="158">
        <v>4</v>
      </c>
      <c r="J1100" s="158" t="s">
        <v>1734</v>
      </c>
      <c r="K1100" s="158" t="s">
        <v>191</v>
      </c>
      <c r="L1100" s="158" t="s">
        <v>362</v>
      </c>
    </row>
    <row r="1101" spans="1:12" ht="20.25" customHeight="1" x14ac:dyDescent="0.3">
      <c r="A1101" s="90" t="s">
        <v>1717</v>
      </c>
      <c r="B1101" s="84"/>
      <c r="C1101" s="7" t="s">
        <v>1716</v>
      </c>
      <c r="D1101" s="85" t="s">
        <v>192</v>
      </c>
      <c r="E1101" s="86" t="s">
        <v>110</v>
      </c>
      <c r="F1101" s="158">
        <v>6</v>
      </c>
      <c r="G1101" s="161">
        <v>8</v>
      </c>
      <c r="H1101" s="158" t="s">
        <v>868</v>
      </c>
      <c r="I1101" s="158">
        <v>4</v>
      </c>
      <c r="J1101" s="158" t="s">
        <v>883</v>
      </c>
      <c r="K1101" s="158" t="s">
        <v>191</v>
      </c>
      <c r="L1101" s="158" t="s">
        <v>362</v>
      </c>
    </row>
    <row r="1102" spans="1:12" ht="20.25" customHeight="1" x14ac:dyDescent="0.3">
      <c r="A1102" s="90" t="s">
        <v>605</v>
      </c>
      <c r="B1102" s="84"/>
      <c r="C1102" s="7" t="s">
        <v>604</v>
      </c>
      <c r="D1102" s="85" t="s">
        <v>192</v>
      </c>
      <c r="E1102" s="86" t="s">
        <v>110</v>
      </c>
      <c r="F1102" s="158">
        <v>6</v>
      </c>
      <c r="G1102" s="161">
        <v>8</v>
      </c>
      <c r="H1102" s="158" t="s">
        <v>528</v>
      </c>
      <c r="I1102" s="158">
        <v>4</v>
      </c>
      <c r="J1102" s="158" t="s">
        <v>1728</v>
      </c>
      <c r="K1102" s="158" t="s">
        <v>191</v>
      </c>
      <c r="L1102" s="158" t="s">
        <v>526</v>
      </c>
    </row>
    <row r="1103" spans="1:12" ht="20.25" customHeight="1" x14ac:dyDescent="0.3">
      <c r="A1103" s="90" t="s">
        <v>1719</v>
      </c>
      <c r="B1103" s="84"/>
      <c r="C1103" s="7" t="s">
        <v>1718</v>
      </c>
      <c r="D1103" s="85" t="s">
        <v>192</v>
      </c>
      <c r="E1103" s="86" t="s">
        <v>110</v>
      </c>
      <c r="F1103" s="158">
        <v>6</v>
      </c>
      <c r="G1103" s="161">
        <v>8</v>
      </c>
      <c r="H1103" s="158" t="s">
        <v>873</v>
      </c>
      <c r="I1103" s="158">
        <v>4</v>
      </c>
      <c r="J1103" s="158" t="s">
        <v>1735</v>
      </c>
      <c r="K1103" s="158" t="s">
        <v>191</v>
      </c>
      <c r="L1103" s="158" t="s">
        <v>362</v>
      </c>
    </row>
    <row r="1104" spans="1:12" ht="20.25" customHeight="1" x14ac:dyDescent="0.3">
      <c r="A1104" s="90" t="s">
        <v>1721</v>
      </c>
      <c r="B1104" s="84"/>
      <c r="C1104" s="7" t="s">
        <v>1720</v>
      </c>
      <c r="D1104" s="85" t="s">
        <v>192</v>
      </c>
      <c r="E1104" s="86" t="s">
        <v>110</v>
      </c>
      <c r="F1104" s="158">
        <v>6</v>
      </c>
      <c r="G1104" s="161">
        <v>8</v>
      </c>
      <c r="H1104" s="158" t="s">
        <v>873</v>
      </c>
      <c r="I1104" s="158">
        <v>4</v>
      </c>
      <c r="J1104" s="158" t="s">
        <v>873</v>
      </c>
      <c r="K1104" s="158" t="s">
        <v>191</v>
      </c>
      <c r="L1104" s="158" t="s">
        <v>362</v>
      </c>
    </row>
    <row r="1105" spans="1:12" ht="20.25" customHeight="1" x14ac:dyDescent="0.3">
      <c r="A1105" s="90" t="s">
        <v>587</v>
      </c>
      <c r="B1105" s="84"/>
      <c r="C1105" s="7" t="s">
        <v>586</v>
      </c>
      <c r="D1105" s="85" t="s">
        <v>192</v>
      </c>
      <c r="E1105" s="86" t="s">
        <v>110</v>
      </c>
      <c r="F1105" s="158">
        <v>6</v>
      </c>
      <c r="G1105" s="161">
        <v>9</v>
      </c>
      <c r="H1105" s="158" t="s">
        <v>868</v>
      </c>
      <c r="I1105" s="158">
        <v>5</v>
      </c>
      <c r="J1105" s="158" t="s">
        <v>868</v>
      </c>
      <c r="K1105" s="158" t="s">
        <v>191</v>
      </c>
      <c r="L1105" s="158" t="s">
        <v>362</v>
      </c>
    </row>
    <row r="1106" spans="1:12" ht="20.25" customHeight="1" x14ac:dyDescent="0.3">
      <c r="A1106" s="90" t="s">
        <v>609</v>
      </c>
      <c r="B1106" s="84"/>
      <c r="C1106" s="7" t="s">
        <v>608</v>
      </c>
      <c r="D1106" s="85" t="s">
        <v>192</v>
      </c>
      <c r="E1106" s="86" t="s">
        <v>110</v>
      </c>
      <c r="F1106" s="158">
        <v>6</v>
      </c>
      <c r="G1106" s="161">
        <v>9</v>
      </c>
      <c r="H1106" s="158">
        <v>2</v>
      </c>
      <c r="I1106" s="158">
        <v>5</v>
      </c>
      <c r="J1106" s="158" t="s">
        <v>1722</v>
      </c>
      <c r="K1106" s="158" t="s">
        <v>191</v>
      </c>
      <c r="L1106" s="158">
        <v>2009</v>
      </c>
    </row>
    <row r="1107" spans="1:12" ht="20.25" customHeight="1" x14ac:dyDescent="0.3">
      <c r="A1107" s="90" t="s">
        <v>817</v>
      </c>
      <c r="B1107" s="84"/>
      <c r="C1107" s="7" t="s">
        <v>816</v>
      </c>
      <c r="D1107" s="85" t="s">
        <v>192</v>
      </c>
      <c r="E1107" s="86" t="s">
        <v>105</v>
      </c>
      <c r="F1107" s="158">
        <v>6</v>
      </c>
      <c r="G1107" s="161">
        <v>7</v>
      </c>
      <c r="H1107" s="158">
        <v>1</v>
      </c>
      <c r="I1107" s="158">
        <v>4</v>
      </c>
      <c r="J1107" s="158">
        <v>2</v>
      </c>
      <c r="K1107" s="158" t="s">
        <v>191</v>
      </c>
      <c r="L1107" s="158">
        <v>2010</v>
      </c>
    </row>
    <row r="1108" spans="1:12" ht="20.25" customHeight="1" x14ac:dyDescent="0.3">
      <c r="A1108" s="90" t="s">
        <v>614</v>
      </c>
      <c r="B1108" s="84"/>
      <c r="C1108" s="7" t="s">
        <v>613</v>
      </c>
      <c r="D1108" s="85" t="s">
        <v>192</v>
      </c>
      <c r="E1108" s="86" t="s">
        <v>110</v>
      </c>
      <c r="F1108" s="158">
        <v>6</v>
      </c>
      <c r="G1108" s="161">
        <v>9</v>
      </c>
      <c r="H1108" s="158" t="s">
        <v>542</v>
      </c>
      <c r="I1108" s="158">
        <v>5</v>
      </c>
      <c r="J1108" s="158" t="s">
        <v>1738</v>
      </c>
      <c r="K1108" s="158" t="s">
        <v>191</v>
      </c>
      <c r="L1108" s="158" t="s">
        <v>367</v>
      </c>
    </row>
    <row r="1109" spans="1:12" ht="20.25" customHeight="1" x14ac:dyDescent="0.3">
      <c r="A1109" s="90" t="s">
        <v>846</v>
      </c>
      <c r="B1109" s="84"/>
      <c r="C1109" s="7" t="s">
        <v>845</v>
      </c>
      <c r="D1109" s="85" t="s">
        <v>192</v>
      </c>
      <c r="E1109" s="86" t="s">
        <v>105</v>
      </c>
      <c r="F1109" s="158">
        <v>6</v>
      </c>
      <c r="G1109" s="161">
        <v>7</v>
      </c>
      <c r="H1109" s="158" t="s">
        <v>534</v>
      </c>
      <c r="I1109" s="158">
        <v>4</v>
      </c>
      <c r="J1109" s="158" t="s">
        <v>533</v>
      </c>
      <c r="K1109" s="158" t="s">
        <v>191</v>
      </c>
      <c r="L1109" s="158" t="s">
        <v>369</v>
      </c>
    </row>
    <row r="1110" spans="1:12" ht="20.25" customHeight="1" x14ac:dyDescent="0.3">
      <c r="A1110" s="90" t="s">
        <v>1726</v>
      </c>
      <c r="B1110" s="84"/>
      <c r="C1110" s="7" t="s">
        <v>1725</v>
      </c>
      <c r="D1110" s="85" t="s">
        <v>192</v>
      </c>
      <c r="E1110" s="86" t="s">
        <v>110</v>
      </c>
      <c r="F1110" s="158" t="s">
        <v>1727</v>
      </c>
      <c r="G1110" s="161">
        <v>7</v>
      </c>
      <c r="H1110" s="158" t="s">
        <v>861</v>
      </c>
      <c r="I1110" s="158">
        <v>4</v>
      </c>
      <c r="J1110" s="158" t="s">
        <v>861</v>
      </c>
      <c r="K1110" s="158" t="s">
        <v>191</v>
      </c>
      <c r="L1110" s="158" t="s">
        <v>369</v>
      </c>
    </row>
    <row r="1111" spans="1:12" ht="20.25" customHeight="1" x14ac:dyDescent="0.3">
      <c r="A1111" s="90" t="s">
        <v>783</v>
      </c>
      <c r="B1111" s="84"/>
      <c r="C1111" s="7" t="s">
        <v>782</v>
      </c>
      <c r="D1111" s="85" t="s">
        <v>192</v>
      </c>
      <c r="E1111" s="86" t="s">
        <v>106</v>
      </c>
      <c r="F1111" s="158">
        <v>6</v>
      </c>
      <c r="G1111" s="161">
        <v>8</v>
      </c>
      <c r="H1111" s="158" t="s">
        <v>528</v>
      </c>
      <c r="I1111" s="158">
        <v>4</v>
      </c>
      <c r="J1111" s="158" t="s">
        <v>850</v>
      </c>
      <c r="K1111" s="158" t="s">
        <v>191</v>
      </c>
      <c r="L1111" s="158" t="s">
        <v>679</v>
      </c>
    </row>
    <row r="1112" spans="1:12" ht="20.25" customHeight="1" x14ac:dyDescent="0.3">
      <c r="A1112" s="90" t="s">
        <v>1731</v>
      </c>
      <c r="B1112" s="84"/>
      <c r="C1112" s="7" t="s">
        <v>1730</v>
      </c>
      <c r="D1112" s="85" t="s">
        <v>192</v>
      </c>
      <c r="E1112" s="86" t="s">
        <v>110</v>
      </c>
      <c r="F1112" s="158">
        <v>6</v>
      </c>
      <c r="G1112" s="161">
        <v>9</v>
      </c>
      <c r="H1112" s="158" t="s">
        <v>443</v>
      </c>
      <c r="I1112" s="158">
        <v>5</v>
      </c>
      <c r="J1112" s="158" t="s">
        <v>841</v>
      </c>
      <c r="K1112" s="158" t="s">
        <v>191</v>
      </c>
      <c r="L1112" s="158" t="s">
        <v>361</v>
      </c>
    </row>
    <row r="1113" spans="1:12" ht="20.25" customHeight="1" x14ac:dyDescent="0.3">
      <c r="A1113" s="90" t="s">
        <v>1711</v>
      </c>
      <c r="B1113" s="84"/>
      <c r="C1113" s="7" t="s">
        <v>1732</v>
      </c>
      <c r="D1113" s="85" t="s">
        <v>192</v>
      </c>
      <c r="E1113" s="86" t="s">
        <v>110</v>
      </c>
      <c r="F1113" s="158">
        <v>6</v>
      </c>
      <c r="G1113" s="161">
        <v>7</v>
      </c>
      <c r="H1113" s="158">
        <v>1</v>
      </c>
      <c r="I1113" s="158">
        <v>4</v>
      </c>
      <c r="J1113" s="158">
        <v>4</v>
      </c>
      <c r="K1113" s="158" t="s">
        <v>191</v>
      </c>
      <c r="L1113" s="158">
        <v>2014</v>
      </c>
    </row>
    <row r="1114" spans="1:12" ht="20.25" customHeight="1" x14ac:dyDescent="0.3">
      <c r="A1114" s="90" t="s">
        <v>523</v>
      </c>
      <c r="B1114" s="84"/>
      <c r="C1114" s="7" t="s">
        <v>522</v>
      </c>
      <c r="D1114" s="85" t="s">
        <v>192</v>
      </c>
      <c r="E1114" s="86" t="s">
        <v>110</v>
      </c>
      <c r="F1114" s="158">
        <v>6</v>
      </c>
      <c r="G1114" s="161">
        <v>9</v>
      </c>
      <c r="H1114" s="158">
        <v>1</v>
      </c>
      <c r="I1114" s="158">
        <v>5</v>
      </c>
      <c r="J1114" s="158">
        <v>1</v>
      </c>
      <c r="K1114" s="158" t="s">
        <v>191</v>
      </c>
      <c r="L1114" s="158">
        <v>2014</v>
      </c>
    </row>
    <row r="1115" spans="1:12" ht="20.25" customHeight="1" x14ac:dyDescent="0.3">
      <c r="A1115" s="90" t="s">
        <v>129</v>
      </c>
      <c r="B1115" s="84"/>
      <c r="C1115" s="7" t="s">
        <v>128</v>
      </c>
      <c r="D1115" s="85" t="s">
        <v>182</v>
      </c>
      <c r="E1115" s="86" t="s">
        <v>105</v>
      </c>
      <c r="F1115" s="158">
        <v>6</v>
      </c>
      <c r="G1115" s="161">
        <v>1</v>
      </c>
      <c r="H1115" s="158" t="s">
        <v>1783</v>
      </c>
      <c r="I1115" s="158">
        <v>1</v>
      </c>
      <c r="J1115" s="158" t="s">
        <v>1784</v>
      </c>
      <c r="K1115" s="158" t="s">
        <v>191</v>
      </c>
      <c r="L1115" s="158">
        <v>2009</v>
      </c>
    </row>
    <row r="1116" spans="1:12" ht="20.25" customHeight="1" x14ac:dyDescent="0.3">
      <c r="A1116" s="90" t="s">
        <v>1741</v>
      </c>
      <c r="B1116" s="84"/>
      <c r="C1116" s="7" t="s">
        <v>1740</v>
      </c>
      <c r="D1116" s="85" t="s">
        <v>182</v>
      </c>
      <c r="E1116" s="86" t="s">
        <v>105</v>
      </c>
      <c r="F1116" s="158">
        <v>6</v>
      </c>
      <c r="G1116" s="161">
        <v>1</v>
      </c>
      <c r="H1116" s="158" t="s">
        <v>1808</v>
      </c>
      <c r="I1116" s="158">
        <v>1</v>
      </c>
      <c r="J1116" s="158" t="s">
        <v>1809</v>
      </c>
      <c r="K1116" s="158" t="s">
        <v>191</v>
      </c>
      <c r="L1116" s="158" t="s">
        <v>362</v>
      </c>
    </row>
    <row r="1117" spans="1:12" ht="20.25" customHeight="1" x14ac:dyDescent="0.3">
      <c r="A1117" s="90" t="s">
        <v>131</v>
      </c>
      <c r="B1117" s="84"/>
      <c r="C1117" s="7" t="s">
        <v>1742</v>
      </c>
      <c r="D1117" s="85" t="s">
        <v>182</v>
      </c>
      <c r="E1117" s="86" t="s">
        <v>105</v>
      </c>
      <c r="F1117" s="158">
        <v>6</v>
      </c>
      <c r="G1117" s="161">
        <v>1</v>
      </c>
      <c r="H1117" s="158" t="s">
        <v>1785</v>
      </c>
      <c r="I1117" s="158">
        <v>1</v>
      </c>
      <c r="J1117" s="158" t="s">
        <v>1786</v>
      </c>
      <c r="K1117" s="158" t="s">
        <v>191</v>
      </c>
      <c r="L1117" s="158">
        <v>2009</v>
      </c>
    </row>
    <row r="1118" spans="1:12" ht="20.25" customHeight="1" x14ac:dyDescent="0.3">
      <c r="A1118" s="90" t="s">
        <v>1744</v>
      </c>
      <c r="B1118" s="84"/>
      <c r="C1118" s="7" t="s">
        <v>1743</v>
      </c>
      <c r="D1118" s="85" t="s">
        <v>182</v>
      </c>
      <c r="E1118" s="86" t="s">
        <v>105</v>
      </c>
      <c r="F1118" s="158">
        <v>6</v>
      </c>
      <c r="G1118" s="161">
        <v>1</v>
      </c>
      <c r="H1118" s="158" t="s">
        <v>1810</v>
      </c>
      <c r="I1118" s="158">
        <v>1</v>
      </c>
      <c r="J1118" s="158" t="s">
        <v>1809</v>
      </c>
      <c r="K1118" s="158" t="s">
        <v>191</v>
      </c>
      <c r="L1118" s="158" t="s">
        <v>362</v>
      </c>
    </row>
    <row r="1119" spans="1:12" ht="20.25" customHeight="1" x14ac:dyDescent="0.3">
      <c r="A1119" s="90" t="s">
        <v>1746</v>
      </c>
      <c r="B1119" s="84"/>
      <c r="C1119" s="7" t="s">
        <v>1745</v>
      </c>
      <c r="D1119" s="85" t="s">
        <v>182</v>
      </c>
      <c r="E1119" s="86" t="s">
        <v>105</v>
      </c>
      <c r="F1119" s="158">
        <v>3</v>
      </c>
      <c r="G1119" s="161">
        <v>1</v>
      </c>
      <c r="H1119" s="158">
        <v>2</v>
      </c>
      <c r="I1119" s="158">
        <v>1</v>
      </c>
      <c r="J1119" s="158">
        <v>1</v>
      </c>
      <c r="K1119" s="158" t="s">
        <v>191</v>
      </c>
      <c r="L1119" s="158">
        <v>2009</v>
      </c>
    </row>
    <row r="1120" spans="1:12" ht="20.25" customHeight="1" x14ac:dyDescent="0.3">
      <c r="A1120" s="90" t="s">
        <v>1748</v>
      </c>
      <c r="B1120" s="84"/>
      <c r="C1120" s="7" t="s">
        <v>1747</v>
      </c>
      <c r="D1120" s="85" t="s">
        <v>182</v>
      </c>
      <c r="E1120" s="86" t="s">
        <v>105</v>
      </c>
      <c r="F1120" s="158">
        <v>6</v>
      </c>
      <c r="G1120" s="161">
        <v>1</v>
      </c>
      <c r="H1120" s="158" t="s">
        <v>873</v>
      </c>
      <c r="I1120" s="158">
        <v>1</v>
      </c>
      <c r="J1120" s="158" t="s">
        <v>1814</v>
      </c>
      <c r="K1120" s="158" t="s">
        <v>191</v>
      </c>
      <c r="L1120" s="158" t="s">
        <v>362</v>
      </c>
    </row>
    <row r="1121" spans="1:12" ht="20.25" customHeight="1" x14ac:dyDescent="0.3">
      <c r="A1121" s="90" t="s">
        <v>273</v>
      </c>
      <c r="B1121" s="84"/>
      <c r="C1121" s="7" t="s">
        <v>1750</v>
      </c>
      <c r="D1121" s="85" t="s">
        <v>182</v>
      </c>
      <c r="E1121" s="86" t="s">
        <v>105</v>
      </c>
      <c r="F1121" s="158">
        <v>6</v>
      </c>
      <c r="G1121" s="161">
        <v>2</v>
      </c>
      <c r="H1121" s="158" t="s">
        <v>929</v>
      </c>
      <c r="I1121" s="158">
        <v>1</v>
      </c>
      <c r="J1121" s="158" t="s">
        <v>1749</v>
      </c>
      <c r="K1121" s="158" t="s">
        <v>191</v>
      </c>
      <c r="L1121" s="158">
        <v>2009</v>
      </c>
    </row>
    <row r="1122" spans="1:12" ht="20.25" customHeight="1" x14ac:dyDescent="0.3">
      <c r="A1122" s="90" t="s">
        <v>135</v>
      </c>
      <c r="B1122" s="84"/>
      <c r="C1122" s="7" t="s">
        <v>134</v>
      </c>
      <c r="D1122" s="85" t="s">
        <v>182</v>
      </c>
      <c r="E1122" s="86" t="s">
        <v>105</v>
      </c>
      <c r="F1122" s="158">
        <v>6</v>
      </c>
      <c r="G1122" s="161">
        <v>2</v>
      </c>
      <c r="H1122" s="158" t="s">
        <v>1816</v>
      </c>
      <c r="I1122" s="158">
        <v>1</v>
      </c>
      <c r="J1122" s="158" t="s">
        <v>1817</v>
      </c>
      <c r="K1122" s="158" t="s">
        <v>191</v>
      </c>
      <c r="L1122" s="158" t="s">
        <v>362</v>
      </c>
    </row>
    <row r="1123" spans="1:12" ht="20.25" customHeight="1" x14ac:dyDescent="0.3">
      <c r="A1123" s="90" t="s">
        <v>1620</v>
      </c>
      <c r="B1123" s="84"/>
      <c r="C1123" s="7" t="s">
        <v>1751</v>
      </c>
      <c r="D1123" s="85" t="s">
        <v>182</v>
      </c>
      <c r="E1123" s="86" t="s">
        <v>105</v>
      </c>
      <c r="F1123" s="158">
        <v>6</v>
      </c>
      <c r="G1123" s="161">
        <v>2</v>
      </c>
      <c r="H1123" s="158" t="s">
        <v>1820</v>
      </c>
      <c r="I1123" s="158">
        <v>1</v>
      </c>
      <c r="J1123" s="158" t="s">
        <v>1821</v>
      </c>
      <c r="K1123" s="158" t="s">
        <v>191</v>
      </c>
      <c r="L1123" s="158" t="s">
        <v>362</v>
      </c>
    </row>
    <row r="1124" spans="1:12" ht="20.25" customHeight="1" x14ac:dyDescent="0.3">
      <c r="A1124" s="90" t="s">
        <v>282</v>
      </c>
      <c r="B1124" s="84"/>
      <c r="C1124" s="7" t="s">
        <v>281</v>
      </c>
      <c r="D1124" s="85" t="s">
        <v>183</v>
      </c>
      <c r="E1124" s="86" t="s">
        <v>105</v>
      </c>
      <c r="F1124" s="158">
        <v>2</v>
      </c>
      <c r="G1124" s="161">
        <v>2</v>
      </c>
      <c r="H1124" s="158" t="s">
        <v>1820</v>
      </c>
      <c r="I1124" s="158">
        <v>1</v>
      </c>
      <c r="J1124" s="158" t="s">
        <v>1822</v>
      </c>
      <c r="K1124" s="158" t="s">
        <v>191</v>
      </c>
      <c r="L1124" s="158" t="s">
        <v>362</v>
      </c>
    </row>
    <row r="1125" spans="1:12" ht="20.25" customHeight="1" x14ac:dyDescent="0.3">
      <c r="A1125" s="90" t="s">
        <v>137</v>
      </c>
      <c r="B1125" s="84"/>
      <c r="C1125" s="7" t="s">
        <v>136</v>
      </c>
      <c r="D1125" s="85" t="s">
        <v>182</v>
      </c>
      <c r="E1125" s="86" t="s">
        <v>105</v>
      </c>
      <c r="F1125" s="158">
        <v>6</v>
      </c>
      <c r="G1125" s="161">
        <v>2</v>
      </c>
      <c r="H1125" s="158" t="s">
        <v>873</v>
      </c>
      <c r="I1125" s="158">
        <v>1</v>
      </c>
      <c r="J1125" s="158" t="s">
        <v>1819</v>
      </c>
      <c r="K1125" s="158" t="s">
        <v>191</v>
      </c>
      <c r="L1125" s="158" t="s">
        <v>362</v>
      </c>
    </row>
    <row r="1126" spans="1:12" ht="20.25" customHeight="1" x14ac:dyDescent="0.3">
      <c r="A1126" s="90" t="s">
        <v>1753</v>
      </c>
      <c r="B1126" s="84"/>
      <c r="C1126" s="7" t="s">
        <v>1752</v>
      </c>
      <c r="D1126" s="85" t="s">
        <v>182</v>
      </c>
      <c r="E1126" s="86" t="s">
        <v>105</v>
      </c>
      <c r="F1126" s="158">
        <v>4</v>
      </c>
      <c r="G1126" s="161">
        <v>2</v>
      </c>
      <c r="H1126" s="158">
        <v>2</v>
      </c>
      <c r="I1126" s="158">
        <v>1</v>
      </c>
      <c r="J1126" s="158">
        <v>1</v>
      </c>
      <c r="K1126" s="158" t="s">
        <v>191</v>
      </c>
      <c r="L1126" s="158">
        <v>2009</v>
      </c>
    </row>
    <row r="1127" spans="1:12" ht="20.25" customHeight="1" x14ac:dyDescent="0.3">
      <c r="A1127" s="90" t="s">
        <v>1755</v>
      </c>
      <c r="B1127" s="84"/>
      <c r="C1127" s="7" t="s">
        <v>1754</v>
      </c>
      <c r="D1127" s="85" t="s">
        <v>182</v>
      </c>
      <c r="E1127" s="86" t="s">
        <v>105</v>
      </c>
      <c r="F1127" s="158">
        <v>6</v>
      </c>
      <c r="G1127" s="161">
        <v>3</v>
      </c>
      <c r="H1127" s="158" t="s">
        <v>534</v>
      </c>
      <c r="I1127" s="158">
        <v>2</v>
      </c>
      <c r="J1127" s="158" t="s">
        <v>1798</v>
      </c>
      <c r="K1127" s="158" t="s">
        <v>191</v>
      </c>
      <c r="L1127" s="158" t="s">
        <v>866</v>
      </c>
    </row>
    <row r="1128" spans="1:12" ht="20.25" customHeight="1" x14ac:dyDescent="0.3">
      <c r="A1128" s="90" t="s">
        <v>1757</v>
      </c>
      <c r="B1128" s="84"/>
      <c r="C1128" s="7" t="s">
        <v>1756</v>
      </c>
      <c r="D1128" s="85" t="s">
        <v>182</v>
      </c>
      <c r="E1128" s="86" t="s">
        <v>105</v>
      </c>
      <c r="F1128" s="158">
        <v>6</v>
      </c>
      <c r="G1128" s="161">
        <v>3</v>
      </c>
      <c r="H1128" s="158">
        <v>1</v>
      </c>
      <c r="I1128" s="158">
        <v>2</v>
      </c>
      <c r="J1128" s="158" t="s">
        <v>1758</v>
      </c>
      <c r="K1128" s="158" t="s">
        <v>191</v>
      </c>
      <c r="L1128" s="158">
        <v>2009</v>
      </c>
    </row>
    <row r="1129" spans="1:12" ht="20.25" customHeight="1" x14ac:dyDescent="0.3">
      <c r="A1129" s="90" t="s">
        <v>1760</v>
      </c>
      <c r="B1129" s="84"/>
      <c r="C1129" s="7" t="s">
        <v>1759</v>
      </c>
      <c r="D1129" s="85" t="s">
        <v>182</v>
      </c>
      <c r="E1129" s="86" t="s">
        <v>105</v>
      </c>
      <c r="F1129" s="158">
        <v>6</v>
      </c>
      <c r="G1129" s="161">
        <v>3</v>
      </c>
      <c r="H1129" s="158" t="s">
        <v>542</v>
      </c>
      <c r="I1129" s="158">
        <v>2</v>
      </c>
      <c r="J1129" s="158" t="s">
        <v>1799</v>
      </c>
      <c r="K1129" s="158" t="s">
        <v>191</v>
      </c>
      <c r="L1129" s="158" t="s">
        <v>352</v>
      </c>
    </row>
    <row r="1130" spans="1:12" ht="20.25" customHeight="1" x14ac:dyDescent="0.3">
      <c r="A1130" s="90" t="s">
        <v>1762</v>
      </c>
      <c r="B1130" s="84"/>
      <c r="C1130" s="7" t="s">
        <v>1761</v>
      </c>
      <c r="D1130" s="85" t="s">
        <v>182</v>
      </c>
      <c r="E1130" s="86" t="s">
        <v>105</v>
      </c>
      <c r="F1130" s="158">
        <v>6</v>
      </c>
      <c r="G1130" s="161">
        <v>3</v>
      </c>
      <c r="H1130" s="158" t="s">
        <v>443</v>
      </c>
      <c r="I1130" s="158">
        <v>2</v>
      </c>
      <c r="J1130" s="158" t="s">
        <v>444</v>
      </c>
      <c r="K1130" s="158" t="s">
        <v>191</v>
      </c>
      <c r="L1130" s="158" t="s">
        <v>338</v>
      </c>
    </row>
    <row r="1131" spans="1:12" ht="20.25" customHeight="1" x14ac:dyDescent="0.3">
      <c r="A1131" s="90" t="s">
        <v>1764</v>
      </c>
      <c r="B1131" s="84"/>
      <c r="C1131" s="7" t="s">
        <v>1763</v>
      </c>
      <c r="D1131" s="85" t="s">
        <v>182</v>
      </c>
      <c r="E1131" s="86" t="s">
        <v>105</v>
      </c>
      <c r="F1131" s="158">
        <v>6</v>
      </c>
      <c r="G1131" s="161">
        <v>3</v>
      </c>
      <c r="H1131" s="158" t="s">
        <v>873</v>
      </c>
      <c r="I1131" s="158">
        <v>2</v>
      </c>
      <c r="J1131" s="158" t="s">
        <v>874</v>
      </c>
      <c r="K1131" s="158" t="s">
        <v>191</v>
      </c>
      <c r="L1131" s="158" t="s">
        <v>362</v>
      </c>
    </row>
    <row r="1132" spans="1:12" ht="20.25" customHeight="1" x14ac:dyDescent="0.3">
      <c r="A1132" s="90" t="s">
        <v>1766</v>
      </c>
      <c r="B1132" s="84"/>
      <c r="C1132" s="7" t="s">
        <v>1765</v>
      </c>
      <c r="D1132" s="85" t="s">
        <v>182</v>
      </c>
      <c r="E1132" s="86" t="s">
        <v>106</v>
      </c>
      <c r="F1132" s="158">
        <v>6</v>
      </c>
      <c r="G1132" s="161">
        <v>4</v>
      </c>
      <c r="H1132" s="158" t="s">
        <v>1795</v>
      </c>
      <c r="I1132" s="158">
        <v>2</v>
      </c>
      <c r="J1132" s="158" t="s">
        <v>1796</v>
      </c>
      <c r="K1132" s="158" t="s">
        <v>191</v>
      </c>
      <c r="L1132" s="158" t="s">
        <v>526</v>
      </c>
    </row>
    <row r="1133" spans="1:12" ht="20.25" customHeight="1" x14ac:dyDescent="0.3">
      <c r="A1133" s="90" t="s">
        <v>1768</v>
      </c>
      <c r="B1133" s="84"/>
      <c r="C1133" s="7" t="s">
        <v>1767</v>
      </c>
      <c r="D1133" s="85" t="s">
        <v>182</v>
      </c>
      <c r="E1133" s="86" t="s">
        <v>106</v>
      </c>
      <c r="F1133" s="158">
        <v>6</v>
      </c>
      <c r="G1133" s="161">
        <v>4</v>
      </c>
      <c r="H1133" s="158" t="s">
        <v>1820</v>
      </c>
      <c r="I1133" s="158">
        <v>2</v>
      </c>
      <c r="J1133" s="158" t="s">
        <v>1825</v>
      </c>
      <c r="K1133" s="158" t="s">
        <v>191</v>
      </c>
      <c r="L1133" s="158" t="s">
        <v>362</v>
      </c>
    </row>
    <row r="1134" spans="1:12" ht="20.25" customHeight="1" x14ac:dyDescent="0.3">
      <c r="A1134" s="90" t="s">
        <v>275</v>
      </c>
      <c r="B1134" s="84"/>
      <c r="C1134" s="7" t="s">
        <v>1769</v>
      </c>
      <c r="D1134" s="85" t="s">
        <v>182</v>
      </c>
      <c r="E1134" s="86" t="s">
        <v>105</v>
      </c>
      <c r="F1134" s="158">
        <v>6</v>
      </c>
      <c r="G1134" s="161">
        <v>4</v>
      </c>
      <c r="H1134" s="158" t="s">
        <v>1782</v>
      </c>
      <c r="I1134" s="158">
        <v>2</v>
      </c>
      <c r="J1134" s="158" t="s">
        <v>1749</v>
      </c>
      <c r="K1134" s="158" t="s">
        <v>191</v>
      </c>
      <c r="L1134" s="158">
        <v>2009</v>
      </c>
    </row>
    <row r="1135" spans="1:12" ht="20.25" customHeight="1" x14ac:dyDescent="0.3">
      <c r="A1135" s="90" t="s">
        <v>1771</v>
      </c>
      <c r="B1135" s="84"/>
      <c r="C1135" s="7" t="s">
        <v>1770</v>
      </c>
      <c r="D1135" s="85" t="s">
        <v>182</v>
      </c>
      <c r="E1135" s="86" t="s">
        <v>105</v>
      </c>
      <c r="F1135" s="158">
        <v>6</v>
      </c>
      <c r="G1135" s="161">
        <v>4</v>
      </c>
      <c r="H1135" s="158" t="s">
        <v>1543</v>
      </c>
      <c r="I1135" s="158">
        <v>2</v>
      </c>
      <c r="J1135" s="158" t="s">
        <v>1797</v>
      </c>
      <c r="K1135" s="158" t="s">
        <v>191</v>
      </c>
      <c r="L1135" s="158" t="s">
        <v>526</v>
      </c>
    </row>
    <row r="1136" spans="1:12" ht="20.25" customHeight="1" x14ac:dyDescent="0.3">
      <c r="A1136" s="90" t="s">
        <v>1773</v>
      </c>
      <c r="B1136" s="84"/>
      <c r="C1136" s="7" t="s">
        <v>1772</v>
      </c>
      <c r="D1136" s="85" t="s">
        <v>182</v>
      </c>
      <c r="E1136" s="86" t="s">
        <v>106</v>
      </c>
      <c r="F1136" s="158">
        <v>6</v>
      </c>
      <c r="G1136" s="161">
        <v>4</v>
      </c>
      <c r="H1136" s="158" t="s">
        <v>873</v>
      </c>
      <c r="I1136" s="158">
        <v>2</v>
      </c>
      <c r="J1136" s="158" t="s">
        <v>1824</v>
      </c>
      <c r="K1136" s="158" t="s">
        <v>191</v>
      </c>
      <c r="L1136" s="158" t="s">
        <v>362</v>
      </c>
    </row>
    <row r="1137" spans="1:12" ht="20.25" customHeight="1" x14ac:dyDescent="0.3">
      <c r="A1137" s="90" t="s">
        <v>1555</v>
      </c>
      <c r="B1137" s="84"/>
      <c r="C1137" s="7" t="s">
        <v>1554</v>
      </c>
      <c r="D1137" s="85" t="s">
        <v>184</v>
      </c>
      <c r="E1137" s="86" t="s">
        <v>105</v>
      </c>
      <c r="F1137" s="158" t="s">
        <v>1586</v>
      </c>
      <c r="G1137" s="161">
        <v>5</v>
      </c>
      <c r="H1137" s="158" t="s">
        <v>876</v>
      </c>
      <c r="I1137" s="158">
        <v>3</v>
      </c>
      <c r="J1137" s="158" t="s">
        <v>887</v>
      </c>
      <c r="K1137" s="158" t="s">
        <v>191</v>
      </c>
      <c r="L1137" s="158" t="s">
        <v>362</v>
      </c>
    </row>
    <row r="1138" spans="1:12" ht="20.25" customHeight="1" x14ac:dyDescent="0.3">
      <c r="A1138" s="90" t="s">
        <v>1775</v>
      </c>
      <c r="B1138" s="84"/>
      <c r="C1138" s="7" t="s">
        <v>1774</v>
      </c>
      <c r="D1138" s="85" t="s">
        <v>182</v>
      </c>
      <c r="E1138" s="86" t="s">
        <v>106</v>
      </c>
      <c r="F1138" s="158">
        <v>6</v>
      </c>
      <c r="G1138" s="161">
        <v>5</v>
      </c>
      <c r="H1138" s="158" t="s">
        <v>528</v>
      </c>
      <c r="I1138" s="158">
        <v>3</v>
      </c>
      <c r="J1138" s="158" t="s">
        <v>850</v>
      </c>
      <c r="K1138" s="158" t="s">
        <v>191</v>
      </c>
      <c r="L1138" s="158" t="s">
        <v>526</v>
      </c>
    </row>
    <row r="1139" spans="1:12" ht="20.25" customHeight="1" x14ac:dyDescent="0.3">
      <c r="A1139" s="90" t="s">
        <v>1777</v>
      </c>
      <c r="B1139" s="84"/>
      <c r="C1139" s="7" t="s">
        <v>1776</v>
      </c>
      <c r="D1139" s="85" t="s">
        <v>182</v>
      </c>
      <c r="E1139" s="86" t="s">
        <v>106</v>
      </c>
      <c r="F1139" s="158">
        <v>6</v>
      </c>
      <c r="G1139" s="161">
        <v>5</v>
      </c>
      <c r="H1139" s="158" t="s">
        <v>861</v>
      </c>
      <c r="I1139" s="158">
        <v>3</v>
      </c>
      <c r="J1139" s="158" t="s">
        <v>1669</v>
      </c>
      <c r="K1139" s="158" t="s">
        <v>191</v>
      </c>
      <c r="L1139" s="158" t="s">
        <v>347</v>
      </c>
    </row>
    <row r="1140" spans="1:12" ht="20.25" customHeight="1" x14ac:dyDescent="0.3">
      <c r="A1140" s="90" t="s">
        <v>619</v>
      </c>
      <c r="B1140" s="84"/>
      <c r="C1140" s="7" t="s">
        <v>618</v>
      </c>
      <c r="D1140" s="85" t="s">
        <v>182</v>
      </c>
      <c r="E1140" s="86" t="s">
        <v>106</v>
      </c>
      <c r="F1140" s="158">
        <v>6</v>
      </c>
      <c r="G1140" s="161">
        <v>5</v>
      </c>
      <c r="H1140" s="158" t="s">
        <v>868</v>
      </c>
      <c r="I1140" s="158">
        <v>3</v>
      </c>
      <c r="J1140" s="158" t="s">
        <v>1809</v>
      </c>
      <c r="K1140" s="158" t="s">
        <v>191</v>
      </c>
      <c r="L1140" s="158" t="s">
        <v>362</v>
      </c>
    </row>
    <row r="1141" spans="1:12" ht="20.25" customHeight="1" x14ac:dyDescent="0.3">
      <c r="A1141" s="90" t="s">
        <v>1779</v>
      </c>
      <c r="B1141" s="84"/>
      <c r="C1141" s="7" t="s">
        <v>1778</v>
      </c>
      <c r="D1141" s="85" t="s">
        <v>182</v>
      </c>
      <c r="E1141" s="86" t="s">
        <v>106</v>
      </c>
      <c r="F1141" s="158">
        <v>6</v>
      </c>
      <c r="G1141" s="161">
        <v>5</v>
      </c>
      <c r="H1141" s="158" t="s">
        <v>1826</v>
      </c>
      <c r="I1141" s="158">
        <v>3</v>
      </c>
      <c r="J1141" s="158" t="s">
        <v>1827</v>
      </c>
      <c r="K1141" s="158" t="s">
        <v>191</v>
      </c>
      <c r="L1141" s="158" t="s">
        <v>362</v>
      </c>
    </row>
    <row r="1142" spans="1:12" ht="20.25" customHeight="1" x14ac:dyDescent="0.3">
      <c r="A1142" s="90" t="s">
        <v>595</v>
      </c>
      <c r="B1142" s="84"/>
      <c r="C1142" s="7" t="s">
        <v>594</v>
      </c>
      <c r="D1142" s="85" t="s">
        <v>182</v>
      </c>
      <c r="E1142" s="86" t="s">
        <v>106</v>
      </c>
      <c r="F1142" s="158">
        <v>6</v>
      </c>
      <c r="G1142" s="161">
        <v>5</v>
      </c>
      <c r="H1142" s="158" t="s">
        <v>873</v>
      </c>
      <c r="I1142" s="158">
        <v>3</v>
      </c>
      <c r="J1142" s="158" t="s">
        <v>1828</v>
      </c>
      <c r="K1142" s="158" t="s">
        <v>191</v>
      </c>
      <c r="L1142" s="158" t="s">
        <v>362</v>
      </c>
    </row>
    <row r="1143" spans="1:12" ht="20.25" customHeight="1" x14ac:dyDescent="0.3">
      <c r="A1143" s="90" t="s">
        <v>1555</v>
      </c>
      <c r="B1143" s="84"/>
      <c r="C1143" s="7" t="s">
        <v>1554</v>
      </c>
      <c r="D1143" s="85" t="s">
        <v>184</v>
      </c>
      <c r="E1143" s="86" t="s">
        <v>105</v>
      </c>
      <c r="F1143" s="158" t="s">
        <v>1586</v>
      </c>
      <c r="G1143" s="161">
        <v>6</v>
      </c>
      <c r="H1143" s="158" t="s">
        <v>876</v>
      </c>
      <c r="I1143" s="158">
        <v>3</v>
      </c>
      <c r="J1143" s="158" t="s">
        <v>887</v>
      </c>
      <c r="K1143" s="158" t="s">
        <v>191</v>
      </c>
      <c r="L1143" s="158" t="s">
        <v>362</v>
      </c>
    </row>
    <row r="1144" spans="1:12" ht="20.25" customHeight="1" x14ac:dyDescent="0.3">
      <c r="A1144" s="90" t="s">
        <v>1707</v>
      </c>
      <c r="B1144" s="84"/>
      <c r="C1144" s="7" t="s">
        <v>1706</v>
      </c>
      <c r="D1144" s="85" t="s">
        <v>182</v>
      </c>
      <c r="E1144" s="86" t="s">
        <v>105</v>
      </c>
      <c r="F1144" s="158">
        <v>6</v>
      </c>
      <c r="G1144" s="161">
        <v>6</v>
      </c>
      <c r="H1144" s="158" t="s">
        <v>543</v>
      </c>
      <c r="I1144" s="158">
        <v>3</v>
      </c>
      <c r="J1144" s="158" t="s">
        <v>1003</v>
      </c>
      <c r="K1144" s="158" t="s">
        <v>191</v>
      </c>
      <c r="L1144" s="158" t="s">
        <v>352</v>
      </c>
    </row>
    <row r="1145" spans="1:12" ht="20.25" customHeight="1" x14ac:dyDescent="0.3">
      <c r="A1145" s="90" t="s">
        <v>76</v>
      </c>
      <c r="B1145" s="84"/>
      <c r="C1145" s="7" t="s">
        <v>1780</v>
      </c>
      <c r="D1145" s="85" t="s">
        <v>182</v>
      </c>
      <c r="E1145" s="86" t="s">
        <v>106</v>
      </c>
      <c r="F1145" s="158">
        <v>6</v>
      </c>
      <c r="G1145" s="161">
        <v>6</v>
      </c>
      <c r="H1145" s="158" t="s">
        <v>1800</v>
      </c>
      <c r="I1145" s="158">
        <v>3</v>
      </c>
      <c r="J1145" s="158" t="s">
        <v>1801</v>
      </c>
      <c r="K1145" s="158" t="s">
        <v>191</v>
      </c>
      <c r="L1145" s="158" t="s">
        <v>352</v>
      </c>
    </row>
    <row r="1146" spans="1:12" ht="20.25" customHeight="1" x14ac:dyDescent="0.3">
      <c r="A1146" s="90" t="s">
        <v>603</v>
      </c>
      <c r="B1146" s="84"/>
      <c r="C1146" s="7" t="s">
        <v>602</v>
      </c>
      <c r="D1146" s="85" t="s">
        <v>182</v>
      </c>
      <c r="E1146" s="86" t="s">
        <v>110</v>
      </c>
      <c r="F1146" s="158">
        <v>6</v>
      </c>
      <c r="G1146" s="161">
        <v>6</v>
      </c>
      <c r="H1146" s="158" t="s">
        <v>534</v>
      </c>
      <c r="I1146" s="158">
        <v>3</v>
      </c>
      <c r="J1146" s="158" t="s">
        <v>863</v>
      </c>
      <c r="K1146" s="158" t="s">
        <v>191</v>
      </c>
      <c r="L1146" s="158" t="s">
        <v>347</v>
      </c>
    </row>
    <row r="1147" spans="1:12" ht="20.25" customHeight="1" x14ac:dyDescent="0.3">
      <c r="A1147" s="90" t="s">
        <v>47</v>
      </c>
      <c r="B1147" s="84"/>
      <c r="C1147" s="7" t="s">
        <v>1781</v>
      </c>
      <c r="D1147" s="85" t="s">
        <v>182</v>
      </c>
      <c r="E1147" s="86" t="s">
        <v>106</v>
      </c>
      <c r="F1147" s="158">
        <v>6</v>
      </c>
      <c r="G1147" s="161">
        <v>6</v>
      </c>
      <c r="H1147" s="158" t="s">
        <v>873</v>
      </c>
      <c r="I1147" s="158">
        <v>3</v>
      </c>
      <c r="J1147" s="158" t="s">
        <v>868</v>
      </c>
      <c r="K1147" s="158" t="s">
        <v>191</v>
      </c>
      <c r="L1147" s="158" t="s">
        <v>362</v>
      </c>
    </row>
    <row r="1148" spans="1:12" ht="20.25" customHeight="1" x14ac:dyDescent="0.3">
      <c r="A1148" s="90" t="s">
        <v>312</v>
      </c>
      <c r="B1148" s="84"/>
      <c r="C1148" s="7" t="s">
        <v>311</v>
      </c>
      <c r="D1148" s="85" t="s">
        <v>182</v>
      </c>
      <c r="E1148" s="86" t="s">
        <v>106</v>
      </c>
      <c r="F1148" s="158">
        <v>6</v>
      </c>
      <c r="G1148" s="161">
        <v>6</v>
      </c>
      <c r="H1148" s="158" t="s">
        <v>1415</v>
      </c>
      <c r="I1148" s="158">
        <v>3</v>
      </c>
      <c r="J1148" s="158" t="s">
        <v>1416</v>
      </c>
      <c r="K1148" s="158" t="s">
        <v>191</v>
      </c>
      <c r="L1148" s="158" t="s">
        <v>352</v>
      </c>
    </row>
    <row r="1149" spans="1:12" ht="20.25" customHeight="1" x14ac:dyDescent="0.3">
      <c r="A1149" s="90" t="s">
        <v>129</v>
      </c>
      <c r="B1149" s="84"/>
      <c r="C1149" s="7" t="s">
        <v>1787</v>
      </c>
      <c r="D1149" s="85" t="s">
        <v>182</v>
      </c>
      <c r="E1149" s="86" t="s">
        <v>105</v>
      </c>
      <c r="F1149" s="158">
        <v>6</v>
      </c>
      <c r="G1149" s="161">
        <v>1</v>
      </c>
      <c r="H1149" s="158" t="s">
        <v>1811</v>
      </c>
      <c r="I1149" s="158">
        <v>1</v>
      </c>
      <c r="J1149" s="158" t="s">
        <v>1812</v>
      </c>
      <c r="K1149" s="158" t="s">
        <v>191</v>
      </c>
      <c r="L1149" s="158" t="s">
        <v>367</v>
      </c>
    </row>
    <row r="1150" spans="1:12" ht="20.25" customHeight="1" x14ac:dyDescent="0.3">
      <c r="A1150" s="90" t="s">
        <v>1789</v>
      </c>
      <c r="B1150" s="84"/>
      <c r="C1150" s="7" t="s">
        <v>1788</v>
      </c>
      <c r="D1150" s="85" t="s">
        <v>182</v>
      </c>
      <c r="E1150" s="86" t="s">
        <v>105</v>
      </c>
      <c r="F1150" s="158">
        <v>6</v>
      </c>
      <c r="G1150" s="161">
        <v>1</v>
      </c>
      <c r="H1150" s="158" t="s">
        <v>542</v>
      </c>
      <c r="I1150" s="158">
        <v>1</v>
      </c>
      <c r="J1150" s="158" t="s">
        <v>1813</v>
      </c>
      <c r="K1150" s="158" t="s">
        <v>191</v>
      </c>
      <c r="L1150" s="158" t="s">
        <v>367</v>
      </c>
    </row>
    <row r="1151" spans="1:12" ht="20.25" customHeight="1" x14ac:dyDescent="0.3">
      <c r="A1151" s="90" t="s">
        <v>273</v>
      </c>
      <c r="B1151" s="84"/>
      <c r="C1151" s="7" t="s">
        <v>272</v>
      </c>
      <c r="D1151" s="85" t="s">
        <v>182</v>
      </c>
      <c r="E1151" s="86" t="s">
        <v>105</v>
      </c>
      <c r="F1151" s="158">
        <v>6</v>
      </c>
      <c r="G1151" s="161">
        <v>2</v>
      </c>
      <c r="H1151" s="158" t="s">
        <v>543</v>
      </c>
      <c r="I1151" s="158">
        <v>1</v>
      </c>
      <c r="J1151" s="158" t="s">
        <v>1815</v>
      </c>
      <c r="K1151" s="158" t="s">
        <v>191</v>
      </c>
      <c r="L1151" s="158" t="s">
        <v>367</v>
      </c>
    </row>
    <row r="1152" spans="1:12" ht="20.25" customHeight="1" x14ac:dyDescent="0.3">
      <c r="A1152" s="90" t="s">
        <v>1757</v>
      </c>
      <c r="B1152" s="84"/>
      <c r="C1152" s="7" t="s">
        <v>1790</v>
      </c>
      <c r="D1152" s="85" t="s">
        <v>182</v>
      </c>
      <c r="E1152" s="86" t="s">
        <v>105</v>
      </c>
      <c r="F1152" s="158">
        <v>4</v>
      </c>
      <c r="G1152" s="161">
        <v>2</v>
      </c>
      <c r="H1152" s="158">
        <v>2</v>
      </c>
      <c r="I1152" s="158">
        <v>1</v>
      </c>
      <c r="J1152" s="158" t="s">
        <v>1722</v>
      </c>
      <c r="K1152" s="158" t="s">
        <v>191</v>
      </c>
      <c r="L1152" s="158">
        <v>2010</v>
      </c>
    </row>
    <row r="1153" spans="1:12" ht="20.25" customHeight="1" x14ac:dyDescent="0.3">
      <c r="A1153" s="90" t="s">
        <v>1753</v>
      </c>
      <c r="B1153" s="84"/>
      <c r="C1153" s="7" t="s">
        <v>1791</v>
      </c>
      <c r="D1153" s="85" t="s">
        <v>182</v>
      </c>
      <c r="E1153" s="86" t="s">
        <v>105</v>
      </c>
      <c r="F1153" s="158">
        <v>6</v>
      </c>
      <c r="G1153" s="161">
        <v>3</v>
      </c>
      <c r="H1153" s="158" t="s">
        <v>543</v>
      </c>
      <c r="I1153" s="158">
        <v>2</v>
      </c>
      <c r="J1153" s="158" t="s">
        <v>1823</v>
      </c>
      <c r="K1153" s="158" t="s">
        <v>191</v>
      </c>
      <c r="L1153" s="158" t="s">
        <v>367</v>
      </c>
    </row>
    <row r="1154" spans="1:12" ht="20.25" customHeight="1" x14ac:dyDescent="0.3">
      <c r="A1154" s="90" t="s">
        <v>275</v>
      </c>
      <c r="B1154" s="84"/>
      <c r="C1154" s="7" t="s">
        <v>274</v>
      </c>
      <c r="D1154" s="85" t="s">
        <v>182</v>
      </c>
      <c r="E1154" s="86" t="s">
        <v>105</v>
      </c>
      <c r="F1154" s="158">
        <v>6</v>
      </c>
      <c r="G1154" s="161">
        <v>4</v>
      </c>
      <c r="H1154" s="158" t="s">
        <v>928</v>
      </c>
      <c r="I1154" s="158">
        <v>2</v>
      </c>
      <c r="J1154" s="158" t="s">
        <v>1792</v>
      </c>
      <c r="K1154" s="158" t="s">
        <v>191</v>
      </c>
      <c r="L1154" s="158" t="s">
        <v>532</v>
      </c>
    </row>
    <row r="1155" spans="1:12" ht="20.25" customHeight="1" x14ac:dyDescent="0.3">
      <c r="A1155" s="90" t="s">
        <v>275</v>
      </c>
      <c r="B1155" s="84"/>
      <c r="C1155" s="7" t="s">
        <v>274</v>
      </c>
      <c r="D1155" s="85" t="s">
        <v>182</v>
      </c>
      <c r="E1155" s="86" t="s">
        <v>105</v>
      </c>
      <c r="F1155" s="158">
        <v>6</v>
      </c>
      <c r="G1155" s="161">
        <v>2</v>
      </c>
      <c r="H1155" s="158" t="s">
        <v>533</v>
      </c>
      <c r="I1155" s="158">
        <v>1</v>
      </c>
      <c r="J1155" s="158" t="s">
        <v>1818</v>
      </c>
      <c r="K1155" s="158" t="s">
        <v>191</v>
      </c>
      <c r="L1155" s="158" t="s">
        <v>369</v>
      </c>
    </row>
    <row r="1156" spans="1:12" ht="20.25" customHeight="1" x14ac:dyDescent="0.3">
      <c r="A1156" s="90" t="s">
        <v>1771</v>
      </c>
      <c r="B1156" s="84"/>
      <c r="C1156" s="7" t="s">
        <v>1770</v>
      </c>
      <c r="D1156" s="85" t="s">
        <v>182</v>
      </c>
      <c r="E1156" s="86" t="s">
        <v>105</v>
      </c>
      <c r="F1156" s="158">
        <v>6</v>
      </c>
      <c r="G1156" s="161">
        <v>3</v>
      </c>
      <c r="H1156" s="158">
        <v>1</v>
      </c>
      <c r="I1156" s="158">
        <v>2</v>
      </c>
      <c r="J1156" s="158">
        <v>3</v>
      </c>
      <c r="K1156" s="158" t="s">
        <v>191</v>
      </c>
      <c r="L1156" s="158">
        <v>2011</v>
      </c>
    </row>
    <row r="1157" spans="1:12" ht="20.25" customHeight="1" x14ac:dyDescent="0.3">
      <c r="A1157" s="90" t="s">
        <v>131</v>
      </c>
      <c r="B1157" s="84"/>
      <c r="C1157" s="7" t="s">
        <v>1742</v>
      </c>
      <c r="D1157" s="85" t="s">
        <v>182</v>
      </c>
      <c r="E1157" s="86" t="s">
        <v>105</v>
      </c>
      <c r="F1157" s="158">
        <v>6</v>
      </c>
      <c r="G1157" s="161">
        <v>3</v>
      </c>
      <c r="H1157" s="158" t="s">
        <v>861</v>
      </c>
      <c r="I1157" s="158">
        <v>2</v>
      </c>
      <c r="J1157" s="158" t="s">
        <v>1199</v>
      </c>
      <c r="K1157" s="158" t="s">
        <v>191</v>
      </c>
      <c r="L1157" s="158" t="s">
        <v>369</v>
      </c>
    </row>
    <row r="1158" spans="1:12" ht="20.25" customHeight="1" x14ac:dyDescent="0.3">
      <c r="A1158" s="90" t="s">
        <v>1762</v>
      </c>
      <c r="B1158" s="84"/>
      <c r="C1158" s="7" t="s">
        <v>1761</v>
      </c>
      <c r="D1158" s="85" t="s">
        <v>182</v>
      </c>
      <c r="E1158" s="86" t="s">
        <v>105</v>
      </c>
      <c r="F1158" s="158">
        <v>6</v>
      </c>
      <c r="G1158" s="161">
        <v>4</v>
      </c>
      <c r="H1158" s="158" t="s">
        <v>528</v>
      </c>
      <c r="I1158" s="158">
        <v>2</v>
      </c>
      <c r="J1158" s="158" t="s">
        <v>528</v>
      </c>
      <c r="K1158" s="158" t="s">
        <v>191</v>
      </c>
      <c r="L1158" s="158" t="s">
        <v>679</v>
      </c>
    </row>
    <row r="1159" spans="1:12" ht="20.25" customHeight="1" x14ac:dyDescent="0.3">
      <c r="A1159" s="90" t="s">
        <v>1755</v>
      </c>
      <c r="B1159" s="84"/>
      <c r="C1159" s="7" t="s">
        <v>1754</v>
      </c>
      <c r="D1159" s="85" t="s">
        <v>182</v>
      </c>
      <c r="E1159" s="86" t="s">
        <v>105</v>
      </c>
      <c r="F1159" s="158">
        <v>6</v>
      </c>
      <c r="G1159" s="161">
        <v>4</v>
      </c>
      <c r="H1159" s="158">
        <v>1</v>
      </c>
      <c r="I1159" s="158">
        <v>2</v>
      </c>
      <c r="J1159" s="158">
        <v>3</v>
      </c>
      <c r="K1159" s="158" t="s">
        <v>191</v>
      </c>
      <c r="L1159" s="158">
        <v>2012</v>
      </c>
    </row>
    <row r="1160" spans="1:12" ht="20.25" customHeight="1" x14ac:dyDescent="0.3">
      <c r="A1160" s="90" t="s">
        <v>1775</v>
      </c>
      <c r="B1160" s="84"/>
      <c r="C1160" s="7" t="s">
        <v>1774</v>
      </c>
      <c r="D1160" s="85" t="s">
        <v>182</v>
      </c>
      <c r="E1160" s="86" t="s">
        <v>106</v>
      </c>
      <c r="F1160" s="158">
        <v>6</v>
      </c>
      <c r="G1160" s="161">
        <v>4</v>
      </c>
      <c r="H1160" s="158" t="s">
        <v>443</v>
      </c>
      <c r="I1160" s="158">
        <v>2</v>
      </c>
      <c r="J1160" s="158" t="s">
        <v>839</v>
      </c>
      <c r="K1160" s="158" t="s">
        <v>191</v>
      </c>
      <c r="L1160" s="158" t="s">
        <v>546</v>
      </c>
    </row>
    <row r="1161" spans="1:12" ht="20.25" customHeight="1" x14ac:dyDescent="0.3">
      <c r="A1161" s="90" t="s">
        <v>288</v>
      </c>
      <c r="B1161" s="84"/>
      <c r="C1161" s="7" t="s">
        <v>287</v>
      </c>
      <c r="D1161" s="85" t="s">
        <v>183</v>
      </c>
      <c r="E1161" s="86" t="s">
        <v>106</v>
      </c>
      <c r="F1161" s="158">
        <v>6</v>
      </c>
      <c r="G1161" s="161">
        <v>4</v>
      </c>
      <c r="H1161" s="158" t="s">
        <v>527</v>
      </c>
      <c r="I1161" s="158">
        <v>2</v>
      </c>
      <c r="J1161" s="158" t="s">
        <v>924</v>
      </c>
      <c r="K1161" s="158" t="s">
        <v>191</v>
      </c>
      <c r="L1161" s="158" t="s">
        <v>679</v>
      </c>
    </row>
    <row r="1162" spans="1:12" ht="20.25" customHeight="1" x14ac:dyDescent="0.3">
      <c r="A1162" s="90" t="s">
        <v>1766</v>
      </c>
      <c r="B1162" s="84"/>
      <c r="C1162" s="7" t="s">
        <v>1765</v>
      </c>
      <c r="D1162" s="85" t="s">
        <v>182</v>
      </c>
      <c r="E1162" s="86" t="s">
        <v>106</v>
      </c>
      <c r="F1162" s="158">
        <v>6</v>
      </c>
      <c r="G1162" s="161">
        <v>5</v>
      </c>
      <c r="H1162" s="158" t="s">
        <v>527</v>
      </c>
      <c r="I1162" s="158">
        <v>3</v>
      </c>
      <c r="J1162" s="158" t="s">
        <v>527</v>
      </c>
      <c r="K1162" s="158" t="s">
        <v>191</v>
      </c>
      <c r="L1162" s="158" t="s">
        <v>679</v>
      </c>
    </row>
    <row r="1163" spans="1:12" ht="20.25" customHeight="1" x14ac:dyDescent="0.3">
      <c r="A1163" s="90" t="s">
        <v>1777</v>
      </c>
      <c r="B1163" s="84"/>
      <c r="C1163" s="7" t="s">
        <v>1776</v>
      </c>
      <c r="D1163" s="85" t="s">
        <v>182</v>
      </c>
      <c r="E1163" s="86" t="s">
        <v>106</v>
      </c>
      <c r="F1163" s="158">
        <v>6</v>
      </c>
      <c r="G1163" s="161">
        <v>4</v>
      </c>
      <c r="H1163" s="158" t="s">
        <v>444</v>
      </c>
      <c r="I1163" s="158">
        <v>2</v>
      </c>
      <c r="J1163" s="158" t="s">
        <v>841</v>
      </c>
      <c r="K1163" s="158" t="s">
        <v>191</v>
      </c>
      <c r="L1163" s="158" t="s">
        <v>361</v>
      </c>
    </row>
    <row r="1164" spans="1:12" ht="20.25" customHeight="1" x14ac:dyDescent="0.3">
      <c r="A1164" s="90" t="s">
        <v>76</v>
      </c>
      <c r="B1164" s="84"/>
      <c r="C1164" s="7" t="s">
        <v>1780</v>
      </c>
      <c r="D1164" s="85" t="s">
        <v>182</v>
      </c>
      <c r="E1164" s="86" t="s">
        <v>106</v>
      </c>
      <c r="F1164" s="158">
        <v>6</v>
      </c>
      <c r="G1164" s="161">
        <v>5</v>
      </c>
      <c r="H1164" s="158" t="s">
        <v>842</v>
      </c>
      <c r="I1164" s="158">
        <v>3</v>
      </c>
      <c r="J1164" s="158" t="s">
        <v>344</v>
      </c>
      <c r="K1164" s="158" t="s">
        <v>191</v>
      </c>
      <c r="L1164" s="158" t="s">
        <v>361</v>
      </c>
    </row>
    <row r="1165" spans="1:12" ht="20.25" customHeight="1" x14ac:dyDescent="0.3">
      <c r="A1165" s="90" t="s">
        <v>603</v>
      </c>
      <c r="B1165" s="84"/>
      <c r="C1165" s="7" t="s">
        <v>627</v>
      </c>
      <c r="D1165" s="85" t="s">
        <v>182</v>
      </c>
      <c r="E1165" s="86" t="s">
        <v>106</v>
      </c>
      <c r="F1165" s="158">
        <v>6</v>
      </c>
      <c r="G1165" s="161">
        <v>6</v>
      </c>
      <c r="H1165" s="158" t="s">
        <v>444</v>
      </c>
      <c r="I1165" s="158">
        <v>3</v>
      </c>
      <c r="J1165" s="158" t="s">
        <v>1829</v>
      </c>
      <c r="K1165" s="158" t="s">
        <v>191</v>
      </c>
      <c r="L1165" s="158" t="s">
        <v>361</v>
      </c>
    </row>
    <row r="1166" spans="1:12" ht="20.25" customHeight="1" x14ac:dyDescent="0.3">
      <c r="A1166" s="90" t="s">
        <v>1803</v>
      </c>
      <c r="B1166" s="84"/>
      <c r="C1166" s="7" t="s">
        <v>1802</v>
      </c>
      <c r="D1166" s="85" t="s">
        <v>182</v>
      </c>
      <c r="E1166" s="86" t="s">
        <v>105</v>
      </c>
      <c r="F1166" s="158">
        <v>6</v>
      </c>
      <c r="G1166" s="161">
        <v>3</v>
      </c>
      <c r="H1166" s="158">
        <v>1</v>
      </c>
      <c r="I1166" s="158">
        <v>2</v>
      </c>
      <c r="J1166" s="158">
        <v>2</v>
      </c>
      <c r="K1166" s="158" t="s">
        <v>191</v>
      </c>
      <c r="L1166" s="158">
        <v>2014</v>
      </c>
    </row>
    <row r="1167" spans="1:12" ht="20.25" customHeight="1" x14ac:dyDescent="0.3">
      <c r="A1167" s="90" t="s">
        <v>634</v>
      </c>
      <c r="B1167" s="84"/>
      <c r="C1167" s="7" t="s">
        <v>633</v>
      </c>
      <c r="D1167" s="85" t="s">
        <v>182</v>
      </c>
      <c r="E1167" s="86" t="s">
        <v>105</v>
      </c>
      <c r="F1167" s="158">
        <v>6</v>
      </c>
      <c r="G1167" s="161">
        <v>3</v>
      </c>
      <c r="H1167" s="158">
        <v>2</v>
      </c>
      <c r="I1167" s="158">
        <v>2</v>
      </c>
      <c r="J1167" s="158" t="s">
        <v>1794</v>
      </c>
      <c r="K1167" s="158" t="s">
        <v>191</v>
      </c>
      <c r="L1167" s="158">
        <v>2014</v>
      </c>
    </row>
    <row r="1168" spans="1:12" ht="20.25" customHeight="1" x14ac:dyDescent="0.3">
      <c r="A1168" s="90" t="s">
        <v>1805</v>
      </c>
      <c r="B1168" s="84"/>
      <c r="C1168" s="7" t="s">
        <v>1804</v>
      </c>
      <c r="D1168" s="85" t="s">
        <v>182</v>
      </c>
      <c r="E1168" s="86" t="s">
        <v>106</v>
      </c>
      <c r="F1168" s="158">
        <v>6</v>
      </c>
      <c r="G1168" s="161">
        <v>4</v>
      </c>
      <c r="H1168" s="158">
        <v>2</v>
      </c>
      <c r="I1168" s="158">
        <v>2</v>
      </c>
      <c r="J1168" s="158">
        <v>4</v>
      </c>
      <c r="K1168" s="158" t="s">
        <v>191</v>
      </c>
      <c r="L1168" s="158">
        <v>2014</v>
      </c>
    </row>
    <row r="1169" spans="1:12" ht="20.25" customHeight="1" x14ac:dyDescent="0.3">
      <c r="A1169" s="90" t="s">
        <v>145</v>
      </c>
      <c r="B1169" s="84"/>
      <c r="C1169" s="7" t="s">
        <v>1637</v>
      </c>
      <c r="D1169" s="85" t="s">
        <v>183</v>
      </c>
      <c r="E1169" s="86" t="s">
        <v>105</v>
      </c>
      <c r="F1169" s="158">
        <v>2</v>
      </c>
      <c r="G1169" s="161">
        <v>5</v>
      </c>
      <c r="H1169" s="158">
        <v>1</v>
      </c>
      <c r="I1169" s="158">
        <v>3</v>
      </c>
      <c r="J1169" s="158" t="s">
        <v>234</v>
      </c>
      <c r="K1169" s="158" t="s">
        <v>191</v>
      </c>
      <c r="L1169" s="158">
        <v>2014</v>
      </c>
    </row>
    <row r="1170" spans="1:12" ht="20.25" customHeight="1" x14ac:dyDescent="0.3">
      <c r="A1170" s="90" t="s">
        <v>638</v>
      </c>
      <c r="B1170" s="84"/>
      <c r="C1170" s="7" t="s">
        <v>637</v>
      </c>
      <c r="D1170" s="85" t="s">
        <v>182</v>
      </c>
      <c r="E1170" s="86" t="s">
        <v>106</v>
      </c>
      <c r="F1170" s="158">
        <v>2</v>
      </c>
      <c r="G1170" s="161">
        <v>6</v>
      </c>
      <c r="H1170" s="158">
        <v>1</v>
      </c>
      <c r="I1170" s="158">
        <v>3</v>
      </c>
      <c r="J1170" s="158">
        <v>3</v>
      </c>
      <c r="K1170" s="158" t="s">
        <v>191</v>
      </c>
      <c r="L1170" s="158">
        <v>2014</v>
      </c>
    </row>
    <row r="1171" spans="1:12" ht="20.25" customHeight="1" x14ac:dyDescent="0.3">
      <c r="A1171" s="90" t="s">
        <v>1807</v>
      </c>
      <c r="B1171" s="84"/>
      <c r="C1171" s="7" t="s">
        <v>1806</v>
      </c>
      <c r="D1171" s="85" t="s">
        <v>182</v>
      </c>
      <c r="E1171" s="86" t="s">
        <v>106</v>
      </c>
      <c r="F1171" s="158">
        <v>16</v>
      </c>
      <c r="G1171" s="161">
        <v>6</v>
      </c>
      <c r="H1171" s="158" t="s">
        <v>199</v>
      </c>
      <c r="I1171" s="158">
        <v>3</v>
      </c>
      <c r="J1171" s="158" t="s">
        <v>1830</v>
      </c>
      <c r="K1171" s="158" t="s">
        <v>191</v>
      </c>
      <c r="L1171" s="158">
        <v>2014</v>
      </c>
    </row>
    <row r="1172" spans="1:12" ht="20.25" customHeight="1" x14ac:dyDescent="0.3">
      <c r="A1172" s="90" t="s">
        <v>1834</v>
      </c>
      <c r="B1172" s="84"/>
      <c r="C1172" s="7" t="s">
        <v>1833</v>
      </c>
      <c r="D1172" s="85" t="s">
        <v>418</v>
      </c>
      <c r="E1172" s="86" t="s">
        <v>110</v>
      </c>
      <c r="F1172" s="158">
        <v>12</v>
      </c>
      <c r="G1172" s="161">
        <v>7</v>
      </c>
      <c r="H1172" s="158" t="s">
        <v>864</v>
      </c>
      <c r="I1172" s="158">
        <v>4</v>
      </c>
      <c r="J1172" s="158" t="s">
        <v>1855</v>
      </c>
      <c r="K1172" s="158" t="s">
        <v>1831</v>
      </c>
      <c r="L1172" s="158" t="s">
        <v>1072</v>
      </c>
    </row>
    <row r="1173" spans="1:12" ht="20.25" customHeight="1" x14ac:dyDescent="0.3">
      <c r="A1173" s="90" t="s">
        <v>1836</v>
      </c>
      <c r="B1173" s="84"/>
      <c r="C1173" s="7" t="s">
        <v>1835</v>
      </c>
      <c r="D1173" s="85" t="s">
        <v>418</v>
      </c>
      <c r="E1173" s="86" t="s">
        <v>110</v>
      </c>
      <c r="F1173" s="158">
        <v>6</v>
      </c>
      <c r="G1173" s="161">
        <v>7</v>
      </c>
      <c r="H1173" s="158" t="s">
        <v>443</v>
      </c>
      <c r="I1173" s="158">
        <v>4</v>
      </c>
      <c r="J1173" s="158" t="s">
        <v>839</v>
      </c>
      <c r="K1173" s="158" t="s">
        <v>1831</v>
      </c>
      <c r="L1173" s="158" t="s">
        <v>1885</v>
      </c>
    </row>
    <row r="1174" spans="1:12" ht="20.25" customHeight="1" x14ac:dyDescent="0.3">
      <c r="A1174" s="90" t="s">
        <v>1838</v>
      </c>
      <c r="B1174" s="84"/>
      <c r="C1174" s="7" t="s">
        <v>1837</v>
      </c>
      <c r="D1174" s="85" t="s">
        <v>418</v>
      </c>
      <c r="E1174" s="86" t="s">
        <v>110</v>
      </c>
      <c r="F1174" s="158">
        <v>12</v>
      </c>
      <c r="G1174" s="161">
        <v>8</v>
      </c>
      <c r="H1174" s="158" t="s">
        <v>864</v>
      </c>
      <c r="I1174" s="158">
        <v>4</v>
      </c>
      <c r="J1174" s="158" t="s">
        <v>1856</v>
      </c>
      <c r="K1174" s="158" t="s">
        <v>1831</v>
      </c>
      <c r="L1174" s="158" t="s">
        <v>1072</v>
      </c>
    </row>
    <row r="1175" spans="1:12" ht="20.25" customHeight="1" x14ac:dyDescent="0.3">
      <c r="A1175" s="90" t="s">
        <v>1840</v>
      </c>
      <c r="B1175" s="84"/>
      <c r="C1175" s="7" t="s">
        <v>1839</v>
      </c>
      <c r="D1175" s="85" t="s">
        <v>418</v>
      </c>
      <c r="E1175" s="86" t="s">
        <v>110</v>
      </c>
      <c r="F1175" s="158">
        <v>6</v>
      </c>
      <c r="G1175" s="161">
        <v>8</v>
      </c>
      <c r="H1175" s="158" t="s">
        <v>528</v>
      </c>
      <c r="I1175" s="158">
        <v>4</v>
      </c>
      <c r="J1175" s="158" t="s">
        <v>528</v>
      </c>
      <c r="K1175" s="158" t="s">
        <v>1831</v>
      </c>
      <c r="L1175" s="158" t="s">
        <v>1886</v>
      </c>
    </row>
    <row r="1176" spans="1:12" ht="20.25" customHeight="1" x14ac:dyDescent="0.3">
      <c r="A1176" s="90" t="s">
        <v>1842</v>
      </c>
      <c r="B1176" s="84"/>
      <c r="C1176" s="7" t="s">
        <v>1841</v>
      </c>
      <c r="D1176" s="85" t="s">
        <v>418</v>
      </c>
      <c r="E1176" s="86" t="s">
        <v>110</v>
      </c>
      <c r="F1176" s="158">
        <v>6</v>
      </c>
      <c r="G1176" s="161">
        <v>8</v>
      </c>
      <c r="H1176" s="158" t="s">
        <v>542</v>
      </c>
      <c r="I1176" s="158">
        <v>4</v>
      </c>
      <c r="J1176" s="158" t="s">
        <v>543</v>
      </c>
      <c r="K1176" s="158" t="s">
        <v>1831</v>
      </c>
      <c r="L1176" s="158" t="s">
        <v>1072</v>
      </c>
    </row>
    <row r="1177" spans="1:12" ht="20.25" customHeight="1" x14ac:dyDescent="0.3">
      <c r="A1177" s="90" t="s">
        <v>1844</v>
      </c>
      <c r="B1177" s="84"/>
      <c r="C1177" s="7" t="s">
        <v>1843</v>
      </c>
      <c r="D1177" s="85" t="s">
        <v>418</v>
      </c>
      <c r="E1177" s="86" t="s">
        <v>110</v>
      </c>
      <c r="F1177" s="158">
        <v>6</v>
      </c>
      <c r="G1177" s="161">
        <v>9</v>
      </c>
      <c r="H1177" s="158" t="s">
        <v>543</v>
      </c>
      <c r="I1177" s="158">
        <v>5</v>
      </c>
      <c r="J1177" s="158" t="s">
        <v>543</v>
      </c>
      <c r="K1177" s="158" t="s">
        <v>1831</v>
      </c>
      <c r="L1177" s="158" t="s">
        <v>1072</v>
      </c>
    </row>
    <row r="1178" spans="1:12" ht="20.25" customHeight="1" x14ac:dyDescent="0.3">
      <c r="A1178" s="90" t="s">
        <v>1846</v>
      </c>
      <c r="B1178" s="84"/>
      <c r="C1178" s="7" t="s">
        <v>1845</v>
      </c>
      <c r="D1178" s="85" t="s">
        <v>1857</v>
      </c>
      <c r="E1178" s="86" t="s">
        <v>110</v>
      </c>
      <c r="F1178" s="158">
        <v>6</v>
      </c>
      <c r="G1178" s="161">
        <v>9</v>
      </c>
      <c r="H1178" s="158" t="s">
        <v>1459</v>
      </c>
      <c r="I1178" s="158">
        <v>5</v>
      </c>
      <c r="J1178" s="158" t="s">
        <v>1459</v>
      </c>
      <c r="K1178" s="158" t="s">
        <v>1831</v>
      </c>
      <c r="L1178" s="158" t="s">
        <v>1072</v>
      </c>
    </row>
    <row r="1179" spans="1:12" ht="20.25" customHeight="1" x14ac:dyDescent="0.3">
      <c r="A1179" s="90" t="s">
        <v>1848</v>
      </c>
      <c r="B1179" s="84"/>
      <c r="C1179" s="7" t="s">
        <v>1847</v>
      </c>
      <c r="D1179" s="85" t="s">
        <v>418</v>
      </c>
      <c r="E1179" s="86" t="s">
        <v>110</v>
      </c>
      <c r="F1179" s="158">
        <v>6</v>
      </c>
      <c r="G1179" s="161">
        <v>9</v>
      </c>
      <c r="H1179" s="158" t="s">
        <v>443</v>
      </c>
      <c r="I1179" s="158">
        <v>5</v>
      </c>
      <c r="J1179" s="158" t="s">
        <v>839</v>
      </c>
      <c r="K1179" s="158" t="s">
        <v>1831</v>
      </c>
      <c r="L1179" s="158" t="s">
        <v>1885</v>
      </c>
    </row>
    <row r="1180" spans="1:12" ht="20.25" customHeight="1" x14ac:dyDescent="0.3">
      <c r="A1180" s="90" t="s">
        <v>1850</v>
      </c>
      <c r="B1180" s="84"/>
      <c r="C1180" s="7" t="s">
        <v>1849</v>
      </c>
      <c r="D1180" s="85" t="s">
        <v>1894</v>
      </c>
      <c r="E1180" s="86" t="s">
        <v>110</v>
      </c>
      <c r="F1180" s="158">
        <v>12</v>
      </c>
      <c r="G1180" s="161">
        <v>7</v>
      </c>
      <c r="H1180" s="158" t="s">
        <v>1900</v>
      </c>
      <c r="I1180" s="158">
        <v>4</v>
      </c>
      <c r="J1180" s="158" t="s">
        <v>1901</v>
      </c>
      <c r="K1180" s="158" t="s">
        <v>1831</v>
      </c>
      <c r="L1180" s="158" t="s">
        <v>1899</v>
      </c>
    </row>
    <row r="1181" spans="1:12" ht="20.25" customHeight="1" x14ac:dyDescent="0.3">
      <c r="A1181" s="90" t="s">
        <v>1852</v>
      </c>
      <c r="B1181" s="84"/>
      <c r="C1181" s="7" t="s">
        <v>1851</v>
      </c>
      <c r="D1181" s="85" t="s">
        <v>418</v>
      </c>
      <c r="E1181" s="86" t="s">
        <v>110</v>
      </c>
      <c r="F1181" s="158">
        <v>6</v>
      </c>
      <c r="G1181" s="161">
        <v>9</v>
      </c>
      <c r="H1181" s="158" t="s">
        <v>851</v>
      </c>
      <c r="I1181" s="158">
        <v>5</v>
      </c>
      <c r="J1181" s="158" t="s">
        <v>1668</v>
      </c>
      <c r="K1181" s="158" t="s">
        <v>1831</v>
      </c>
      <c r="L1181" s="158" t="s">
        <v>679</v>
      </c>
    </row>
    <row r="1182" spans="1:12" ht="20.25" customHeight="1" x14ac:dyDescent="0.3">
      <c r="A1182" s="90" t="s">
        <v>1854</v>
      </c>
      <c r="B1182" s="84"/>
      <c r="C1182" s="7" t="s">
        <v>1853</v>
      </c>
      <c r="D1182" s="85" t="s">
        <v>418</v>
      </c>
      <c r="E1182" s="86" t="s">
        <v>110</v>
      </c>
      <c r="F1182" s="158">
        <v>6</v>
      </c>
      <c r="G1182" s="161">
        <v>8</v>
      </c>
      <c r="H1182" s="158" t="s">
        <v>444</v>
      </c>
      <c r="I1182" s="158">
        <v>4</v>
      </c>
      <c r="J1182" s="158" t="s">
        <v>1793</v>
      </c>
      <c r="K1182" s="158" t="s">
        <v>1831</v>
      </c>
      <c r="L1182" s="158" t="s">
        <v>361</v>
      </c>
    </row>
    <row r="1183" spans="1:12" ht="20.25" customHeight="1" x14ac:dyDescent="0.3">
      <c r="A1183" s="90" t="s">
        <v>1501</v>
      </c>
      <c r="B1183" s="84"/>
      <c r="C1183" s="7" t="s">
        <v>1500</v>
      </c>
      <c r="D1183" s="85" t="s">
        <v>1832</v>
      </c>
      <c r="E1183" s="86" t="s">
        <v>110</v>
      </c>
      <c r="F1183" s="158">
        <v>6</v>
      </c>
      <c r="G1183" s="161">
        <v>9</v>
      </c>
      <c r="H1183" s="158">
        <v>2</v>
      </c>
      <c r="I1183" s="158">
        <v>5</v>
      </c>
      <c r="J1183" s="158">
        <v>3</v>
      </c>
      <c r="K1183" s="158" t="s">
        <v>1831</v>
      </c>
      <c r="L1183" s="158">
        <v>2009</v>
      </c>
    </row>
    <row r="1184" spans="1:12" ht="20.25" customHeight="1" x14ac:dyDescent="0.3">
      <c r="A1184" s="90" t="s">
        <v>1499</v>
      </c>
      <c r="B1184" s="84"/>
      <c r="C1184" s="7" t="s">
        <v>1498</v>
      </c>
      <c r="D1184" s="85" t="s">
        <v>1832</v>
      </c>
      <c r="E1184" s="86" t="s">
        <v>110</v>
      </c>
      <c r="F1184" s="158">
        <v>6</v>
      </c>
      <c r="G1184" s="161">
        <v>9</v>
      </c>
      <c r="H1184" s="158">
        <v>1</v>
      </c>
      <c r="I1184" s="158">
        <v>5</v>
      </c>
      <c r="J1184" s="158">
        <v>1</v>
      </c>
      <c r="K1184" s="158" t="s">
        <v>1831</v>
      </c>
      <c r="L1184" s="158">
        <v>2010</v>
      </c>
    </row>
    <row r="1185" spans="1:12" ht="20.25" customHeight="1" x14ac:dyDescent="0.3">
      <c r="A1185" s="90" t="s">
        <v>1859</v>
      </c>
      <c r="B1185" s="84"/>
      <c r="C1185" s="7" t="s">
        <v>1858</v>
      </c>
      <c r="D1185" s="85" t="s">
        <v>1832</v>
      </c>
      <c r="E1185" s="86" t="s">
        <v>110</v>
      </c>
      <c r="F1185" s="158">
        <v>6</v>
      </c>
      <c r="G1185" s="161">
        <v>7</v>
      </c>
      <c r="H1185" s="158" t="s">
        <v>444</v>
      </c>
      <c r="I1185" s="158">
        <v>4</v>
      </c>
      <c r="J1185" s="158" t="s">
        <v>443</v>
      </c>
      <c r="K1185" s="158" t="s">
        <v>1831</v>
      </c>
      <c r="L1185" s="158" t="s">
        <v>546</v>
      </c>
    </row>
    <row r="1186" spans="1:12" ht="20.25" customHeight="1" x14ac:dyDescent="0.3">
      <c r="A1186" s="90" t="s">
        <v>1861</v>
      </c>
      <c r="B1186" s="84"/>
      <c r="C1186" s="7" t="s">
        <v>1860</v>
      </c>
      <c r="D1186" s="85" t="s">
        <v>1832</v>
      </c>
      <c r="E1186" s="86" t="s">
        <v>106</v>
      </c>
      <c r="F1186" s="158">
        <v>6</v>
      </c>
      <c r="G1186" s="161">
        <v>8</v>
      </c>
      <c r="H1186" s="158" t="s">
        <v>444</v>
      </c>
      <c r="I1186" s="158">
        <v>4</v>
      </c>
      <c r="J1186" s="158" t="s">
        <v>444</v>
      </c>
      <c r="K1186" s="158" t="s">
        <v>1831</v>
      </c>
      <c r="L1186" s="158" t="s">
        <v>546</v>
      </c>
    </row>
    <row r="1187" spans="1:12" ht="20.25" customHeight="1" x14ac:dyDescent="0.3">
      <c r="A1187" s="90" t="s">
        <v>1863</v>
      </c>
      <c r="B1187" s="84"/>
      <c r="C1187" s="7" t="s">
        <v>1862</v>
      </c>
      <c r="D1187" s="85" t="s">
        <v>1832</v>
      </c>
      <c r="E1187" s="86" t="s">
        <v>110</v>
      </c>
      <c r="F1187" s="158">
        <v>6</v>
      </c>
      <c r="G1187" s="161">
        <v>8</v>
      </c>
      <c r="H1187" s="158" t="s">
        <v>443</v>
      </c>
      <c r="I1187" s="158">
        <v>4</v>
      </c>
      <c r="J1187" s="158" t="s">
        <v>1409</v>
      </c>
      <c r="K1187" s="158" t="s">
        <v>1831</v>
      </c>
      <c r="L1187" s="158" t="s">
        <v>546</v>
      </c>
    </row>
    <row r="1188" spans="1:12" ht="20.25" customHeight="1" x14ac:dyDescent="0.3">
      <c r="A1188" s="90" t="s">
        <v>1865</v>
      </c>
      <c r="B1188" s="84"/>
      <c r="C1188" s="7" t="s">
        <v>1864</v>
      </c>
      <c r="D1188" s="85" t="s">
        <v>1832</v>
      </c>
      <c r="E1188" s="86" t="s">
        <v>106</v>
      </c>
      <c r="F1188" s="158">
        <v>6</v>
      </c>
      <c r="G1188" s="161">
        <v>8</v>
      </c>
      <c r="H1188" s="158" t="s">
        <v>527</v>
      </c>
      <c r="I1188" s="158">
        <v>4</v>
      </c>
      <c r="J1188" s="158" t="s">
        <v>528</v>
      </c>
      <c r="K1188" s="158" t="s">
        <v>1831</v>
      </c>
      <c r="L1188" s="158" t="s">
        <v>679</v>
      </c>
    </row>
    <row r="1189" spans="1:12" ht="20.25" customHeight="1" x14ac:dyDescent="0.3">
      <c r="A1189" s="90" t="s">
        <v>1575</v>
      </c>
      <c r="B1189" s="84"/>
      <c r="C1189" s="7" t="s">
        <v>1866</v>
      </c>
      <c r="D1189" s="85" t="s">
        <v>1832</v>
      </c>
      <c r="E1189" s="86" t="s">
        <v>110</v>
      </c>
      <c r="F1189" s="158">
        <v>6</v>
      </c>
      <c r="G1189" s="161">
        <v>7</v>
      </c>
      <c r="H1189" s="158">
        <v>2</v>
      </c>
      <c r="I1189" s="158">
        <v>4</v>
      </c>
      <c r="J1189" s="158">
        <v>3</v>
      </c>
      <c r="K1189" s="158" t="s">
        <v>1831</v>
      </c>
      <c r="L1189" s="158">
        <v>2014</v>
      </c>
    </row>
    <row r="1190" spans="1:12" ht="20.25" customHeight="1" x14ac:dyDescent="0.3">
      <c r="A1190" s="90" t="s">
        <v>1868</v>
      </c>
      <c r="B1190" s="84"/>
      <c r="C1190" s="7" t="s">
        <v>1867</v>
      </c>
      <c r="D1190" s="85" t="s">
        <v>1832</v>
      </c>
      <c r="E1190" s="86" t="s">
        <v>106</v>
      </c>
      <c r="F1190" s="158">
        <v>6</v>
      </c>
      <c r="G1190" s="161">
        <v>8</v>
      </c>
      <c r="H1190" s="158">
        <v>1</v>
      </c>
      <c r="I1190" s="158">
        <v>4</v>
      </c>
      <c r="J1190" s="158">
        <v>1</v>
      </c>
      <c r="K1190" s="158" t="s">
        <v>1831</v>
      </c>
      <c r="L1190" s="158">
        <v>2014</v>
      </c>
    </row>
    <row r="1191" spans="1:12" ht="20.25" customHeight="1" x14ac:dyDescent="0.3">
      <c r="A1191" s="90" t="s">
        <v>1870</v>
      </c>
      <c r="B1191" s="84"/>
      <c r="C1191" s="7" t="s">
        <v>1869</v>
      </c>
      <c r="D1191" s="85" t="s">
        <v>1832</v>
      </c>
      <c r="E1191" s="86" t="s">
        <v>110</v>
      </c>
      <c r="F1191" s="158">
        <v>6</v>
      </c>
      <c r="G1191" s="161">
        <v>8</v>
      </c>
      <c r="H1191" s="158">
        <v>2</v>
      </c>
      <c r="I1191" s="158">
        <v>4</v>
      </c>
      <c r="J1191" s="158">
        <v>2</v>
      </c>
      <c r="K1191" s="158" t="s">
        <v>1831</v>
      </c>
      <c r="L1191" s="158">
        <v>2014</v>
      </c>
    </row>
    <row r="1192" spans="1:12" ht="20.25" customHeight="1" x14ac:dyDescent="0.3">
      <c r="A1192" s="90" t="s">
        <v>1575</v>
      </c>
      <c r="B1192" s="84"/>
      <c r="C1192" s="7" t="s">
        <v>1866</v>
      </c>
      <c r="D1192" s="85" t="s">
        <v>1832</v>
      </c>
      <c r="E1192" s="86" t="s">
        <v>110</v>
      </c>
      <c r="F1192" s="158">
        <v>6</v>
      </c>
      <c r="G1192" s="161">
        <v>9</v>
      </c>
      <c r="H1192" s="158">
        <v>2</v>
      </c>
      <c r="I1192" s="158">
        <v>5</v>
      </c>
      <c r="J1192" s="158">
        <v>3</v>
      </c>
      <c r="K1192" s="158" t="s">
        <v>1831</v>
      </c>
      <c r="L1192" s="158">
        <v>2014</v>
      </c>
    </row>
    <row r="1193" spans="1:12" ht="20.25" customHeight="1" x14ac:dyDescent="0.3">
      <c r="A1193" s="90" t="s">
        <v>147</v>
      </c>
      <c r="B1193" s="84"/>
      <c r="C1193" s="7" t="s">
        <v>146</v>
      </c>
      <c r="D1193" s="85" t="s">
        <v>183</v>
      </c>
      <c r="E1193" s="86" t="s">
        <v>105</v>
      </c>
      <c r="F1193" s="158">
        <v>6</v>
      </c>
      <c r="G1193" s="161">
        <v>7</v>
      </c>
      <c r="H1193" s="158">
        <v>1</v>
      </c>
      <c r="I1193" s="158">
        <v>4</v>
      </c>
      <c r="J1193" s="158">
        <v>1</v>
      </c>
      <c r="K1193" s="158" t="s">
        <v>1831</v>
      </c>
      <c r="L1193" s="158">
        <v>2009</v>
      </c>
    </row>
    <row r="1194" spans="1:12" ht="20.25" customHeight="1" x14ac:dyDescent="0.3">
      <c r="A1194" s="90" t="s">
        <v>1059</v>
      </c>
      <c r="B1194" s="84"/>
      <c r="C1194" s="7" t="s">
        <v>1058</v>
      </c>
      <c r="D1194" s="85" t="s">
        <v>183</v>
      </c>
      <c r="E1194" s="86" t="s">
        <v>106</v>
      </c>
      <c r="F1194" s="158">
        <v>6</v>
      </c>
      <c r="G1194" s="161">
        <v>7</v>
      </c>
      <c r="H1194" s="158">
        <v>1</v>
      </c>
      <c r="I1194" s="158">
        <v>4</v>
      </c>
      <c r="J1194" s="158">
        <v>2</v>
      </c>
      <c r="K1194" s="158" t="s">
        <v>1831</v>
      </c>
      <c r="L1194" s="158">
        <v>2009</v>
      </c>
    </row>
    <row r="1195" spans="1:12" ht="20.25" customHeight="1" x14ac:dyDescent="0.3">
      <c r="A1195" s="90" t="s">
        <v>1872</v>
      </c>
      <c r="B1195" s="84"/>
      <c r="C1195" s="7" t="s">
        <v>1871</v>
      </c>
      <c r="D1195" s="85" t="s">
        <v>183</v>
      </c>
      <c r="E1195" s="86" t="s">
        <v>110</v>
      </c>
      <c r="F1195" s="158">
        <v>6</v>
      </c>
      <c r="G1195" s="161">
        <v>7</v>
      </c>
      <c r="H1195" s="158" t="s">
        <v>199</v>
      </c>
      <c r="I1195" s="158">
        <v>4</v>
      </c>
      <c r="J1195" s="158" t="s">
        <v>332</v>
      </c>
      <c r="K1195" s="158" t="s">
        <v>1831</v>
      </c>
      <c r="L1195" s="158">
        <v>2009</v>
      </c>
    </row>
    <row r="1196" spans="1:12" ht="20.25" customHeight="1" x14ac:dyDescent="0.3">
      <c r="A1196" s="90" t="s">
        <v>1874</v>
      </c>
      <c r="B1196" s="84"/>
      <c r="C1196" s="7" t="s">
        <v>1873</v>
      </c>
      <c r="D1196" s="85" t="s">
        <v>183</v>
      </c>
      <c r="E1196" s="86" t="s">
        <v>106</v>
      </c>
      <c r="F1196" s="158">
        <v>6</v>
      </c>
      <c r="G1196" s="161">
        <v>7</v>
      </c>
      <c r="H1196" s="158" t="s">
        <v>199</v>
      </c>
      <c r="I1196" s="158">
        <v>4</v>
      </c>
      <c r="J1196" s="158" t="s">
        <v>200</v>
      </c>
      <c r="K1196" s="158" t="s">
        <v>1831</v>
      </c>
      <c r="L1196" s="158">
        <v>2009</v>
      </c>
    </row>
    <row r="1197" spans="1:12" ht="20.25" customHeight="1" x14ac:dyDescent="0.3">
      <c r="A1197" s="90" t="s">
        <v>740</v>
      </c>
      <c r="B1197" s="84"/>
      <c r="C1197" s="7" t="s">
        <v>739</v>
      </c>
      <c r="D1197" s="85" t="s">
        <v>183</v>
      </c>
      <c r="E1197" s="86" t="s">
        <v>110</v>
      </c>
      <c r="F1197" s="158">
        <v>6</v>
      </c>
      <c r="G1197" s="161">
        <v>7</v>
      </c>
      <c r="H1197" s="158">
        <v>1</v>
      </c>
      <c r="I1197" s="158">
        <v>4</v>
      </c>
      <c r="J1197" s="158">
        <v>2</v>
      </c>
      <c r="K1197" s="158" t="s">
        <v>1831</v>
      </c>
      <c r="L1197" s="158">
        <v>2009</v>
      </c>
    </row>
    <row r="1198" spans="1:12" ht="20.25" customHeight="1" x14ac:dyDescent="0.3">
      <c r="A1198" s="90" t="s">
        <v>1876</v>
      </c>
      <c r="B1198" s="84"/>
      <c r="C1198" s="7" t="s">
        <v>1875</v>
      </c>
      <c r="D1198" s="85" t="s">
        <v>183</v>
      </c>
      <c r="E1198" s="86" t="s">
        <v>106</v>
      </c>
      <c r="F1198" s="158">
        <v>6</v>
      </c>
      <c r="G1198" s="161">
        <v>7</v>
      </c>
      <c r="H1198" s="158" t="s">
        <v>443</v>
      </c>
      <c r="I1198" s="158">
        <v>4</v>
      </c>
      <c r="J1198" s="158" t="s">
        <v>841</v>
      </c>
      <c r="K1198" s="158" t="s">
        <v>1831</v>
      </c>
      <c r="L1198" s="158" t="s">
        <v>338</v>
      </c>
    </row>
    <row r="1199" spans="1:12" ht="20.25" customHeight="1" x14ac:dyDescent="0.3">
      <c r="A1199" s="90" t="s">
        <v>742</v>
      </c>
      <c r="B1199" s="84"/>
      <c r="C1199" s="7" t="s">
        <v>741</v>
      </c>
      <c r="D1199" s="85" t="s">
        <v>183</v>
      </c>
      <c r="E1199" s="86" t="s">
        <v>110</v>
      </c>
      <c r="F1199" s="158">
        <v>6</v>
      </c>
      <c r="G1199" s="161">
        <v>7</v>
      </c>
      <c r="H1199" s="158">
        <v>2</v>
      </c>
      <c r="I1199" s="158">
        <v>4</v>
      </c>
      <c r="J1199" s="158">
        <v>4</v>
      </c>
      <c r="K1199" s="158" t="s">
        <v>1831</v>
      </c>
      <c r="L1199" s="158">
        <v>2009</v>
      </c>
    </row>
    <row r="1200" spans="1:12" ht="20.25" customHeight="1" x14ac:dyDescent="0.3">
      <c r="A1200" s="90" t="s">
        <v>1878</v>
      </c>
      <c r="B1200" s="84"/>
      <c r="C1200" s="7" t="s">
        <v>1877</v>
      </c>
      <c r="D1200" s="85" t="s">
        <v>183</v>
      </c>
      <c r="E1200" s="86" t="s">
        <v>105</v>
      </c>
      <c r="F1200" s="158">
        <v>6</v>
      </c>
      <c r="G1200" s="161">
        <v>8</v>
      </c>
      <c r="H1200" s="158" t="s">
        <v>868</v>
      </c>
      <c r="I1200" s="158">
        <v>4</v>
      </c>
      <c r="J1200" s="158" t="s">
        <v>873</v>
      </c>
      <c r="K1200" s="158" t="s">
        <v>1831</v>
      </c>
      <c r="L1200" s="158" t="s">
        <v>362</v>
      </c>
    </row>
    <row r="1201" spans="1:12" ht="20.25" customHeight="1" x14ac:dyDescent="0.3">
      <c r="A1201" s="90" t="s">
        <v>1577</v>
      </c>
      <c r="B1201" s="84"/>
      <c r="C1201" s="7" t="s">
        <v>1576</v>
      </c>
      <c r="D1201" s="85" t="s">
        <v>183</v>
      </c>
      <c r="E1201" s="86" t="s">
        <v>105</v>
      </c>
      <c r="F1201" s="158" t="s">
        <v>1586</v>
      </c>
      <c r="G1201" s="161">
        <v>8</v>
      </c>
      <c r="H1201" s="158" t="s">
        <v>868</v>
      </c>
      <c r="I1201" s="158">
        <v>4</v>
      </c>
      <c r="J1201" s="158" t="s">
        <v>1902</v>
      </c>
      <c r="K1201" s="158" t="s">
        <v>1831</v>
      </c>
      <c r="L1201" s="158" t="s">
        <v>362</v>
      </c>
    </row>
    <row r="1202" spans="1:12" ht="20.25" customHeight="1" x14ac:dyDescent="0.3">
      <c r="A1202" s="90" t="s">
        <v>1880</v>
      </c>
      <c r="B1202" s="84"/>
      <c r="C1202" s="7" t="s">
        <v>1879</v>
      </c>
      <c r="D1202" s="85" t="s">
        <v>183</v>
      </c>
      <c r="E1202" s="86" t="s">
        <v>106</v>
      </c>
      <c r="F1202" s="158">
        <v>6</v>
      </c>
      <c r="G1202" s="161">
        <v>8</v>
      </c>
      <c r="H1202" s="158">
        <v>1</v>
      </c>
      <c r="I1202" s="158">
        <v>4</v>
      </c>
      <c r="J1202" s="158">
        <v>1</v>
      </c>
      <c r="K1202" s="158" t="s">
        <v>1831</v>
      </c>
      <c r="L1202" s="158">
        <v>2009</v>
      </c>
    </row>
    <row r="1203" spans="1:12" ht="20.25" customHeight="1" x14ac:dyDescent="0.3">
      <c r="A1203" s="90" t="s">
        <v>744</v>
      </c>
      <c r="B1203" s="84"/>
      <c r="C1203" s="7" t="s">
        <v>743</v>
      </c>
      <c r="D1203" s="85" t="s">
        <v>183</v>
      </c>
      <c r="E1203" s="86" t="s">
        <v>110</v>
      </c>
      <c r="F1203" s="158">
        <v>6</v>
      </c>
      <c r="G1203" s="161">
        <v>8</v>
      </c>
      <c r="H1203" s="158">
        <v>1</v>
      </c>
      <c r="I1203" s="158">
        <v>4</v>
      </c>
      <c r="J1203" s="158">
        <v>4</v>
      </c>
      <c r="K1203" s="158" t="s">
        <v>1831</v>
      </c>
      <c r="L1203" s="158">
        <v>2009</v>
      </c>
    </row>
    <row r="1204" spans="1:12" ht="20.25" customHeight="1" x14ac:dyDescent="0.3">
      <c r="A1204" s="90" t="s">
        <v>1882</v>
      </c>
      <c r="B1204" s="84"/>
      <c r="C1204" s="7" t="s">
        <v>1881</v>
      </c>
      <c r="D1204" s="85" t="s">
        <v>183</v>
      </c>
      <c r="E1204" s="86" t="s">
        <v>110</v>
      </c>
      <c r="F1204" s="158">
        <v>6</v>
      </c>
      <c r="G1204" s="161">
        <v>8</v>
      </c>
      <c r="H1204" s="158">
        <v>2</v>
      </c>
      <c r="I1204" s="158">
        <v>4</v>
      </c>
      <c r="J1204" s="158">
        <v>3</v>
      </c>
      <c r="K1204" s="158" t="s">
        <v>1831</v>
      </c>
      <c r="L1204" s="158">
        <v>2009</v>
      </c>
    </row>
    <row r="1205" spans="1:12" ht="20.25" customHeight="1" x14ac:dyDescent="0.3">
      <c r="A1205" s="90" t="s">
        <v>1884</v>
      </c>
      <c r="B1205" s="84"/>
      <c r="C1205" s="7" t="s">
        <v>1883</v>
      </c>
      <c r="D1205" s="85" t="s">
        <v>183</v>
      </c>
      <c r="E1205" s="86" t="s">
        <v>105</v>
      </c>
      <c r="F1205" s="158">
        <v>6</v>
      </c>
      <c r="G1205" s="161">
        <v>8</v>
      </c>
      <c r="H1205" s="158" t="s">
        <v>1543</v>
      </c>
      <c r="I1205" s="158">
        <v>4</v>
      </c>
      <c r="J1205" s="158" t="s">
        <v>1543</v>
      </c>
      <c r="K1205" s="158" t="s">
        <v>1831</v>
      </c>
      <c r="L1205" s="158" t="s">
        <v>526</v>
      </c>
    </row>
    <row r="1206" spans="1:12" ht="20.25" customHeight="1" x14ac:dyDescent="0.3">
      <c r="A1206" s="90" t="s">
        <v>746</v>
      </c>
      <c r="B1206" s="84"/>
      <c r="C1206" s="7" t="s">
        <v>745</v>
      </c>
      <c r="D1206" s="85" t="s">
        <v>183</v>
      </c>
      <c r="E1206" s="86" t="s">
        <v>110</v>
      </c>
      <c r="F1206" s="158">
        <v>6</v>
      </c>
      <c r="G1206" s="161">
        <v>8</v>
      </c>
      <c r="H1206" s="158">
        <v>2</v>
      </c>
      <c r="I1206" s="158">
        <v>4</v>
      </c>
      <c r="J1206" s="158">
        <v>4</v>
      </c>
      <c r="K1206" s="158" t="s">
        <v>1831</v>
      </c>
      <c r="L1206" s="158">
        <v>2009</v>
      </c>
    </row>
    <row r="1207" spans="1:12" ht="20.25" customHeight="1" x14ac:dyDescent="0.3">
      <c r="A1207" s="90" t="s">
        <v>168</v>
      </c>
      <c r="B1207" s="84"/>
      <c r="C1207" s="7" t="s">
        <v>1887</v>
      </c>
      <c r="D1207" s="85" t="s">
        <v>183</v>
      </c>
      <c r="E1207" s="86" t="s">
        <v>106</v>
      </c>
      <c r="F1207" s="158">
        <v>6</v>
      </c>
      <c r="G1207" s="161">
        <v>7</v>
      </c>
      <c r="H1207" s="158" t="s">
        <v>864</v>
      </c>
      <c r="I1207" s="158">
        <v>4</v>
      </c>
      <c r="J1207" s="158" t="s">
        <v>353</v>
      </c>
      <c r="K1207" s="158" t="s">
        <v>1831</v>
      </c>
      <c r="L1207" s="158" t="s">
        <v>367</v>
      </c>
    </row>
    <row r="1208" spans="1:12" ht="20.25" customHeight="1" x14ac:dyDescent="0.3">
      <c r="A1208" s="90" t="s">
        <v>1889</v>
      </c>
      <c r="B1208" s="84"/>
      <c r="C1208" s="7" t="s">
        <v>1888</v>
      </c>
      <c r="D1208" s="85" t="s">
        <v>183</v>
      </c>
      <c r="E1208" s="86" t="s">
        <v>106</v>
      </c>
      <c r="F1208" s="158">
        <v>6</v>
      </c>
      <c r="G1208" s="161">
        <v>8</v>
      </c>
      <c r="H1208" s="158" t="s">
        <v>864</v>
      </c>
      <c r="I1208" s="158">
        <v>4</v>
      </c>
      <c r="J1208" s="158" t="s">
        <v>1605</v>
      </c>
      <c r="K1208" s="158" t="s">
        <v>1831</v>
      </c>
      <c r="L1208" s="158" t="s">
        <v>367</v>
      </c>
    </row>
    <row r="1209" spans="1:12" ht="20.25" customHeight="1" x14ac:dyDescent="0.3">
      <c r="A1209" s="90" t="s">
        <v>1891</v>
      </c>
      <c r="B1209" s="84"/>
      <c r="C1209" s="7" t="s">
        <v>1890</v>
      </c>
      <c r="D1209" s="85" t="s">
        <v>183</v>
      </c>
      <c r="E1209" s="86" t="s">
        <v>106</v>
      </c>
      <c r="F1209" s="158">
        <v>6</v>
      </c>
      <c r="G1209" s="161">
        <v>8</v>
      </c>
      <c r="H1209" s="158" t="s">
        <v>534</v>
      </c>
      <c r="I1209" s="158">
        <v>4</v>
      </c>
      <c r="J1209" s="158" t="s">
        <v>534</v>
      </c>
      <c r="K1209" s="158" t="s">
        <v>1831</v>
      </c>
      <c r="L1209" s="158" t="s">
        <v>355</v>
      </c>
    </row>
    <row r="1210" spans="1:12" ht="20.25" customHeight="1" x14ac:dyDescent="0.3">
      <c r="A1210" s="90" t="s">
        <v>1874</v>
      </c>
      <c r="B1210" s="84"/>
      <c r="C1210" s="7" t="s">
        <v>1873</v>
      </c>
      <c r="D1210" s="85" t="s">
        <v>183</v>
      </c>
      <c r="E1210" s="86" t="s">
        <v>106</v>
      </c>
      <c r="F1210" s="158">
        <v>6</v>
      </c>
      <c r="G1210" s="161">
        <v>9</v>
      </c>
      <c r="H1210" s="158" t="s">
        <v>842</v>
      </c>
      <c r="I1210" s="158">
        <v>5</v>
      </c>
      <c r="J1210" s="158" t="s">
        <v>446</v>
      </c>
      <c r="K1210" s="158" t="s">
        <v>1831</v>
      </c>
      <c r="L1210" s="158" t="s">
        <v>532</v>
      </c>
    </row>
    <row r="1211" spans="1:12" ht="20.25" customHeight="1" x14ac:dyDescent="0.3">
      <c r="A1211" s="90" t="s">
        <v>1893</v>
      </c>
      <c r="B1211" s="84"/>
      <c r="C1211" s="7" t="s">
        <v>1892</v>
      </c>
      <c r="D1211" s="85" t="s">
        <v>1230</v>
      </c>
      <c r="E1211" s="86" t="s">
        <v>110</v>
      </c>
      <c r="F1211" s="158">
        <v>12</v>
      </c>
      <c r="G1211" s="161">
        <v>9</v>
      </c>
      <c r="H1211" s="158" t="s">
        <v>861</v>
      </c>
      <c r="I1211" s="158">
        <v>5</v>
      </c>
      <c r="J1211" s="158" t="s">
        <v>351</v>
      </c>
      <c r="K1211" s="158" t="s">
        <v>1831</v>
      </c>
      <c r="L1211" s="158" t="s">
        <v>369</v>
      </c>
    </row>
    <row r="1212" spans="1:12" ht="20.25" customHeight="1" x14ac:dyDescent="0.3">
      <c r="A1212" s="90" t="s">
        <v>1836</v>
      </c>
      <c r="B1212" s="84"/>
      <c r="C1212" s="7" t="s">
        <v>1895</v>
      </c>
      <c r="D1212" s="85" t="s">
        <v>183</v>
      </c>
      <c r="E1212" s="86" t="s">
        <v>106</v>
      </c>
      <c r="F1212" s="158">
        <v>6</v>
      </c>
      <c r="G1212" s="161">
        <v>7</v>
      </c>
      <c r="H1212" s="158">
        <v>2</v>
      </c>
      <c r="I1212" s="158">
        <v>4</v>
      </c>
      <c r="J1212" s="158">
        <v>4</v>
      </c>
      <c r="K1212" s="158" t="s">
        <v>1831</v>
      </c>
      <c r="L1212" s="158">
        <v>2012</v>
      </c>
    </row>
    <row r="1213" spans="1:12" ht="20.25" customHeight="1" x14ac:dyDescent="0.3">
      <c r="A1213" s="90" t="s">
        <v>1884</v>
      </c>
      <c r="B1213" s="84"/>
      <c r="C1213" s="7" t="s">
        <v>1896</v>
      </c>
      <c r="D1213" s="85" t="s">
        <v>183</v>
      </c>
      <c r="E1213" s="86" t="s">
        <v>105</v>
      </c>
      <c r="F1213" s="158">
        <v>6</v>
      </c>
      <c r="G1213" s="161">
        <v>8</v>
      </c>
      <c r="H1213" s="158" t="s">
        <v>528</v>
      </c>
      <c r="I1213" s="158">
        <v>4</v>
      </c>
      <c r="J1213" s="158" t="s">
        <v>528</v>
      </c>
      <c r="K1213" s="158" t="s">
        <v>1831</v>
      </c>
      <c r="L1213" s="158" t="s">
        <v>679</v>
      </c>
    </row>
    <row r="1214" spans="1:12" ht="20.25" customHeight="1" x14ac:dyDescent="0.3">
      <c r="A1214" s="90" t="s">
        <v>815</v>
      </c>
      <c r="B1214" s="84"/>
      <c r="C1214" s="7" t="s">
        <v>814</v>
      </c>
      <c r="D1214" s="85" t="s">
        <v>183</v>
      </c>
      <c r="E1214" s="86" t="s">
        <v>105</v>
      </c>
      <c r="F1214" s="158">
        <v>6</v>
      </c>
      <c r="G1214" s="161">
        <v>9</v>
      </c>
      <c r="H1214" s="158" t="s">
        <v>444</v>
      </c>
      <c r="I1214" s="158">
        <v>5</v>
      </c>
      <c r="J1214" s="158" t="s">
        <v>839</v>
      </c>
      <c r="K1214" s="158" t="s">
        <v>1831</v>
      </c>
      <c r="L1214" s="158" t="s">
        <v>1111</v>
      </c>
    </row>
    <row r="1215" spans="1:12" ht="20.25" customHeight="1" x14ac:dyDescent="0.3">
      <c r="A1215" s="90" t="s">
        <v>1555</v>
      </c>
      <c r="B1215" s="84"/>
      <c r="C1215" s="7" t="s">
        <v>1554</v>
      </c>
      <c r="D1215" s="85" t="s">
        <v>184</v>
      </c>
      <c r="E1215" s="86" t="s">
        <v>105</v>
      </c>
      <c r="F1215" s="158" t="s">
        <v>1586</v>
      </c>
      <c r="G1215" s="161">
        <v>7</v>
      </c>
      <c r="H1215" s="158" t="s">
        <v>842</v>
      </c>
      <c r="I1215" s="158">
        <v>4</v>
      </c>
      <c r="J1215" s="158" t="s">
        <v>1509</v>
      </c>
      <c r="K1215" s="158" t="s">
        <v>1831</v>
      </c>
      <c r="L1215" s="158" t="s">
        <v>361</v>
      </c>
    </row>
    <row r="1216" spans="1:12" ht="20.25" customHeight="1" x14ac:dyDescent="0.3">
      <c r="A1216" s="90" t="s">
        <v>1069</v>
      </c>
      <c r="B1216" s="84"/>
      <c r="C1216" s="7" t="s">
        <v>1077</v>
      </c>
      <c r="D1216" s="85" t="s">
        <v>183</v>
      </c>
      <c r="E1216" s="86" t="s">
        <v>105</v>
      </c>
      <c r="F1216" s="158">
        <v>6</v>
      </c>
      <c r="G1216" s="161">
        <v>7</v>
      </c>
      <c r="H1216" s="158" t="s">
        <v>443</v>
      </c>
      <c r="I1216" s="158">
        <v>4</v>
      </c>
      <c r="J1216" s="158" t="s">
        <v>841</v>
      </c>
      <c r="K1216" s="158" t="s">
        <v>1831</v>
      </c>
      <c r="L1216" s="158" t="s">
        <v>361</v>
      </c>
    </row>
    <row r="1217" spans="1:12" ht="20.25" customHeight="1" x14ac:dyDescent="0.3">
      <c r="A1217" s="90" t="s">
        <v>1555</v>
      </c>
      <c r="B1217" s="84"/>
      <c r="C1217" s="7" t="s">
        <v>1554</v>
      </c>
      <c r="D1217" s="85" t="s">
        <v>184</v>
      </c>
      <c r="E1217" s="86" t="s">
        <v>105</v>
      </c>
      <c r="F1217" s="158" t="s">
        <v>1586</v>
      </c>
      <c r="G1217" s="161">
        <v>8</v>
      </c>
      <c r="H1217" s="158" t="s">
        <v>842</v>
      </c>
      <c r="I1217" s="158">
        <v>4</v>
      </c>
      <c r="J1217" s="158" t="s">
        <v>1903</v>
      </c>
      <c r="K1217" s="158" t="s">
        <v>1831</v>
      </c>
      <c r="L1217" s="158" t="s">
        <v>361</v>
      </c>
    </row>
    <row r="1218" spans="1:12" ht="20.25" customHeight="1" x14ac:dyDescent="0.3">
      <c r="A1218" s="90" t="s">
        <v>277</v>
      </c>
      <c r="B1218" s="84"/>
      <c r="C1218" s="7" t="s">
        <v>276</v>
      </c>
      <c r="D1218" s="85" t="s">
        <v>183</v>
      </c>
      <c r="E1218" s="86" t="s">
        <v>106</v>
      </c>
      <c r="F1218" s="158">
        <v>6</v>
      </c>
      <c r="G1218" s="161">
        <v>8</v>
      </c>
      <c r="H1218" s="158" t="s">
        <v>199</v>
      </c>
      <c r="I1218" s="158">
        <v>4</v>
      </c>
      <c r="J1218" s="158" t="s">
        <v>200</v>
      </c>
      <c r="K1218" s="158" t="s">
        <v>1831</v>
      </c>
      <c r="L1218" s="158">
        <v>2013</v>
      </c>
    </row>
    <row r="1219" spans="1:12" ht="20.25" customHeight="1" x14ac:dyDescent="0.3">
      <c r="A1219" s="90" t="s">
        <v>819</v>
      </c>
      <c r="B1219" s="84"/>
      <c r="C1219" s="7" t="s">
        <v>818</v>
      </c>
      <c r="D1219" s="85" t="s">
        <v>183</v>
      </c>
      <c r="E1219" s="86" t="s">
        <v>105</v>
      </c>
      <c r="F1219" s="158">
        <v>6</v>
      </c>
      <c r="G1219" s="161">
        <v>8</v>
      </c>
      <c r="H1219" s="158" t="s">
        <v>444</v>
      </c>
      <c r="I1219" s="158">
        <v>4</v>
      </c>
      <c r="J1219" s="158" t="s">
        <v>839</v>
      </c>
      <c r="K1219" s="158" t="s">
        <v>1831</v>
      </c>
      <c r="L1219" s="158" t="s">
        <v>361</v>
      </c>
    </row>
    <row r="1220" spans="1:12" ht="20.25" customHeight="1" x14ac:dyDescent="0.3">
      <c r="A1220" s="90" t="s">
        <v>827</v>
      </c>
      <c r="B1220" s="84"/>
      <c r="C1220" s="7" t="s">
        <v>826</v>
      </c>
      <c r="D1220" s="85" t="s">
        <v>183</v>
      </c>
      <c r="E1220" s="86" t="s">
        <v>105</v>
      </c>
      <c r="F1220" s="158">
        <v>6</v>
      </c>
      <c r="G1220" s="161">
        <v>8</v>
      </c>
      <c r="H1220" s="158">
        <v>2</v>
      </c>
      <c r="I1220" s="158">
        <v>4</v>
      </c>
      <c r="J1220" s="158">
        <v>4</v>
      </c>
      <c r="K1220" s="158" t="s">
        <v>1831</v>
      </c>
      <c r="L1220" s="158">
        <v>2013</v>
      </c>
    </row>
    <row r="1221" spans="1:12" ht="20.25" customHeight="1" x14ac:dyDescent="0.3">
      <c r="A1221" s="90" t="s">
        <v>384</v>
      </c>
      <c r="B1221" s="84"/>
      <c r="C1221" s="7" t="s">
        <v>383</v>
      </c>
      <c r="D1221" s="85" t="s">
        <v>183</v>
      </c>
      <c r="E1221" s="86" t="s">
        <v>110</v>
      </c>
      <c r="F1221" s="158">
        <v>6</v>
      </c>
      <c r="G1221" s="161">
        <v>7</v>
      </c>
      <c r="H1221" s="158">
        <v>1</v>
      </c>
      <c r="I1221" s="158">
        <v>4</v>
      </c>
      <c r="J1221" s="158">
        <v>1</v>
      </c>
      <c r="K1221" s="158" t="s">
        <v>1831</v>
      </c>
      <c r="L1221" s="158">
        <v>2014</v>
      </c>
    </row>
    <row r="1222" spans="1:12" ht="20.25" customHeight="1" x14ac:dyDescent="0.3">
      <c r="A1222" s="90" t="s">
        <v>1382</v>
      </c>
      <c r="B1222" s="84"/>
      <c r="C1222" s="7" t="s">
        <v>1381</v>
      </c>
      <c r="D1222" s="85" t="s">
        <v>183</v>
      </c>
      <c r="E1222" s="86" t="s">
        <v>110</v>
      </c>
      <c r="F1222" s="158">
        <v>6</v>
      </c>
      <c r="G1222" s="161">
        <v>7</v>
      </c>
      <c r="H1222" s="158">
        <v>1</v>
      </c>
      <c r="I1222" s="158">
        <v>4</v>
      </c>
      <c r="J1222" s="158">
        <v>1</v>
      </c>
      <c r="K1222" s="158" t="s">
        <v>1831</v>
      </c>
      <c r="L1222" s="158">
        <v>2014</v>
      </c>
    </row>
    <row r="1223" spans="1:12" ht="20.25" customHeight="1" x14ac:dyDescent="0.3">
      <c r="A1223" s="90" t="s">
        <v>1353</v>
      </c>
      <c r="B1223" s="84"/>
      <c r="C1223" s="7" t="s">
        <v>1352</v>
      </c>
      <c r="D1223" s="85" t="s">
        <v>183</v>
      </c>
      <c r="E1223" s="86" t="s">
        <v>110</v>
      </c>
      <c r="F1223" s="158">
        <v>6</v>
      </c>
      <c r="G1223" s="161">
        <v>7</v>
      </c>
      <c r="H1223" s="158">
        <v>1</v>
      </c>
      <c r="I1223" s="158">
        <v>4</v>
      </c>
      <c r="J1223" s="158">
        <v>3</v>
      </c>
      <c r="K1223" s="158" t="s">
        <v>1831</v>
      </c>
      <c r="L1223" s="158">
        <v>2014</v>
      </c>
    </row>
    <row r="1224" spans="1:12" ht="20.25" customHeight="1" x14ac:dyDescent="0.3">
      <c r="A1224" s="90" t="s">
        <v>1898</v>
      </c>
      <c r="B1224" s="84"/>
      <c r="C1224" s="7" t="s">
        <v>1897</v>
      </c>
      <c r="D1224" s="85" t="s">
        <v>182</v>
      </c>
      <c r="E1224" s="86" t="s">
        <v>110</v>
      </c>
      <c r="F1224" s="158">
        <v>6</v>
      </c>
      <c r="G1224" s="161">
        <v>8</v>
      </c>
      <c r="H1224" s="158">
        <v>1</v>
      </c>
      <c r="I1224" s="158">
        <v>4</v>
      </c>
      <c r="J1224" s="158">
        <v>3</v>
      </c>
      <c r="K1224" s="158" t="s">
        <v>1831</v>
      </c>
      <c r="L1224" s="158">
        <v>2014</v>
      </c>
    </row>
    <row r="1225" spans="1:12" ht="20.25" customHeight="1" x14ac:dyDescent="0.3">
      <c r="A1225" s="90" t="s">
        <v>422</v>
      </c>
      <c r="B1225" s="84"/>
      <c r="C1225" s="7" t="s">
        <v>421</v>
      </c>
      <c r="D1225" s="85" t="s">
        <v>183</v>
      </c>
      <c r="E1225" s="86" t="s">
        <v>110</v>
      </c>
      <c r="F1225" s="158">
        <v>6</v>
      </c>
      <c r="G1225" s="161">
        <v>8</v>
      </c>
      <c r="H1225" s="158">
        <v>1</v>
      </c>
      <c r="I1225" s="158">
        <v>4</v>
      </c>
      <c r="J1225" s="158">
        <v>3</v>
      </c>
      <c r="K1225" s="158" t="s">
        <v>1831</v>
      </c>
      <c r="L1225" s="158">
        <v>2014</v>
      </c>
    </row>
    <row r="1226" spans="1:12" ht="20.25" customHeight="1" x14ac:dyDescent="0.3">
      <c r="A1226" s="90" t="s">
        <v>1491</v>
      </c>
      <c r="B1226" s="84"/>
      <c r="C1226" s="7" t="s">
        <v>1490</v>
      </c>
      <c r="D1226" s="85" t="s">
        <v>183</v>
      </c>
      <c r="E1226" s="86" t="s">
        <v>110</v>
      </c>
      <c r="F1226" s="158">
        <v>6</v>
      </c>
      <c r="G1226" s="161">
        <v>8</v>
      </c>
      <c r="H1226" s="158">
        <v>2</v>
      </c>
      <c r="I1226" s="158">
        <v>4</v>
      </c>
      <c r="J1226" s="158">
        <v>3</v>
      </c>
      <c r="K1226" s="158" t="s">
        <v>1831</v>
      </c>
      <c r="L1226" s="158">
        <v>2014</v>
      </c>
    </row>
    <row r="1227" spans="1:12" ht="20.25" customHeight="1" x14ac:dyDescent="0.3">
      <c r="A1227" s="90" t="s">
        <v>432</v>
      </c>
      <c r="B1227" s="84"/>
      <c r="C1227" s="7" t="s">
        <v>431</v>
      </c>
      <c r="D1227" s="85" t="s">
        <v>183</v>
      </c>
      <c r="E1227" s="86" t="s">
        <v>110</v>
      </c>
      <c r="F1227" s="158">
        <v>6</v>
      </c>
      <c r="G1227" s="161">
        <v>8</v>
      </c>
      <c r="H1227" s="158">
        <v>2</v>
      </c>
      <c r="I1227" s="158">
        <v>4</v>
      </c>
      <c r="J1227" s="158">
        <v>2</v>
      </c>
      <c r="K1227" s="158" t="s">
        <v>1831</v>
      </c>
      <c r="L1227" s="158">
        <v>2014</v>
      </c>
    </row>
    <row r="1228" spans="1:12" ht="20.25" customHeight="1" x14ac:dyDescent="0.3">
      <c r="A1228" s="90" t="s">
        <v>434</v>
      </c>
      <c r="B1228" s="84"/>
      <c r="C1228" s="7" t="s">
        <v>433</v>
      </c>
      <c r="D1228" s="85" t="s">
        <v>183</v>
      </c>
      <c r="E1228" s="86" t="s">
        <v>110</v>
      </c>
      <c r="F1228" s="158">
        <v>6</v>
      </c>
      <c r="G1228" s="161">
        <v>8</v>
      </c>
      <c r="H1228" s="158">
        <v>2</v>
      </c>
      <c r="I1228" s="158">
        <v>4</v>
      </c>
      <c r="J1228" s="158">
        <v>3</v>
      </c>
      <c r="K1228" s="158" t="s">
        <v>1831</v>
      </c>
      <c r="L1228" s="158">
        <v>2014</v>
      </c>
    </row>
    <row r="1229" spans="1:12" ht="20.25" customHeight="1" x14ac:dyDescent="0.3">
      <c r="A1229" s="90" t="s">
        <v>1378</v>
      </c>
      <c r="B1229" s="84"/>
      <c r="C1229" s="7" t="s">
        <v>1377</v>
      </c>
      <c r="D1229" s="85" t="s">
        <v>183</v>
      </c>
      <c r="E1229" s="86" t="s">
        <v>110</v>
      </c>
      <c r="F1229" s="158">
        <v>6</v>
      </c>
      <c r="G1229" s="161">
        <v>8</v>
      </c>
      <c r="H1229" s="158">
        <v>2</v>
      </c>
      <c r="I1229" s="158">
        <v>4</v>
      </c>
      <c r="J1229" s="158">
        <v>2</v>
      </c>
      <c r="K1229" s="158" t="s">
        <v>1831</v>
      </c>
      <c r="L1229" s="158">
        <v>2014</v>
      </c>
    </row>
    <row r="1230" spans="1:12" ht="20.25" customHeight="1" x14ac:dyDescent="0.3">
      <c r="A1230" s="90" t="s">
        <v>215</v>
      </c>
      <c r="B1230" s="84"/>
      <c r="C1230" s="7" t="s">
        <v>214</v>
      </c>
      <c r="D1230" s="85" t="s">
        <v>183</v>
      </c>
      <c r="E1230" s="86" t="s">
        <v>110</v>
      </c>
      <c r="F1230" s="158">
        <v>6</v>
      </c>
      <c r="G1230" s="161">
        <v>9</v>
      </c>
      <c r="H1230" s="158">
        <v>2</v>
      </c>
      <c r="I1230" s="158">
        <v>5</v>
      </c>
      <c r="J1230" s="158">
        <v>4</v>
      </c>
      <c r="K1230" s="158" t="s">
        <v>1831</v>
      </c>
      <c r="L1230" s="158">
        <v>2014</v>
      </c>
    </row>
    <row r="1231" spans="1:12" ht="20.25" customHeight="1" x14ac:dyDescent="0.3">
      <c r="A1231" s="90" t="s">
        <v>1392</v>
      </c>
      <c r="B1231" s="84"/>
      <c r="C1231" s="7" t="s">
        <v>1391</v>
      </c>
      <c r="D1231" s="85" t="s">
        <v>183</v>
      </c>
      <c r="E1231" s="86" t="s">
        <v>110</v>
      </c>
      <c r="F1231" s="158">
        <v>6</v>
      </c>
      <c r="G1231" s="161">
        <v>9</v>
      </c>
      <c r="H1231" s="158">
        <v>2</v>
      </c>
      <c r="I1231" s="158">
        <v>5</v>
      </c>
      <c r="J1231" s="158">
        <v>2</v>
      </c>
      <c r="K1231" s="158" t="s">
        <v>1831</v>
      </c>
      <c r="L1231" s="158">
        <v>2014</v>
      </c>
    </row>
    <row r="1232" spans="1:12" ht="20.25" customHeight="1" x14ac:dyDescent="0.3">
      <c r="A1232" s="90" t="s">
        <v>129</v>
      </c>
      <c r="B1232" s="84"/>
      <c r="C1232" s="7" t="s">
        <v>1904</v>
      </c>
      <c r="D1232" s="85" t="s">
        <v>182</v>
      </c>
      <c r="E1232" s="86" t="s">
        <v>105</v>
      </c>
      <c r="F1232" s="158">
        <v>6</v>
      </c>
      <c r="G1232" s="161">
        <v>1</v>
      </c>
      <c r="H1232" s="158" t="s">
        <v>917</v>
      </c>
      <c r="I1232" s="158">
        <v>1</v>
      </c>
      <c r="J1232" s="158" t="s">
        <v>1976</v>
      </c>
      <c r="K1232" s="158" t="s">
        <v>1831</v>
      </c>
      <c r="L1232" s="158" t="s">
        <v>362</v>
      </c>
    </row>
    <row r="1233" spans="1:12" ht="20.25" customHeight="1" x14ac:dyDescent="0.3">
      <c r="A1233" s="90" t="s">
        <v>1906</v>
      </c>
      <c r="B1233" s="84"/>
      <c r="C1233" s="7" t="s">
        <v>1905</v>
      </c>
      <c r="D1233" s="85" t="s">
        <v>182</v>
      </c>
      <c r="E1233" s="86" t="s">
        <v>105</v>
      </c>
      <c r="F1233" s="158" t="s">
        <v>1586</v>
      </c>
      <c r="G1233" s="161">
        <v>1</v>
      </c>
      <c r="H1233" s="158" t="s">
        <v>1666</v>
      </c>
      <c r="I1233" s="158">
        <v>1</v>
      </c>
      <c r="J1233" s="158" t="s">
        <v>1956</v>
      </c>
      <c r="K1233" s="158" t="s">
        <v>1831</v>
      </c>
      <c r="L1233" s="158">
        <v>2009</v>
      </c>
    </row>
    <row r="1234" spans="1:12" ht="20.25" customHeight="1" x14ac:dyDescent="0.3">
      <c r="A1234" s="90" t="s">
        <v>1908</v>
      </c>
      <c r="B1234" s="84"/>
      <c r="C1234" s="7" t="s">
        <v>1907</v>
      </c>
      <c r="D1234" s="85" t="s">
        <v>182</v>
      </c>
      <c r="E1234" s="86" t="s">
        <v>105</v>
      </c>
      <c r="F1234" s="158">
        <v>6</v>
      </c>
      <c r="G1234" s="161">
        <v>1</v>
      </c>
      <c r="H1234" s="158" t="s">
        <v>199</v>
      </c>
      <c r="I1234" s="158">
        <v>1</v>
      </c>
      <c r="J1234" s="158" t="s">
        <v>1704</v>
      </c>
      <c r="K1234" s="158" t="s">
        <v>1831</v>
      </c>
      <c r="L1234" s="158">
        <v>2009</v>
      </c>
    </row>
    <row r="1235" spans="1:12" ht="20.25" customHeight="1" x14ac:dyDescent="0.3">
      <c r="A1235" s="90" t="s">
        <v>117</v>
      </c>
      <c r="B1235" s="84"/>
      <c r="C1235" s="7" t="s">
        <v>1909</v>
      </c>
      <c r="D1235" s="85" t="s">
        <v>182</v>
      </c>
      <c r="E1235" s="86" t="s">
        <v>105</v>
      </c>
      <c r="F1235" s="158">
        <v>6</v>
      </c>
      <c r="G1235" s="161">
        <v>1</v>
      </c>
      <c r="H1235" s="158" t="s">
        <v>528</v>
      </c>
      <c r="I1235" s="158">
        <v>1</v>
      </c>
      <c r="J1235" s="158" t="s">
        <v>527</v>
      </c>
      <c r="K1235" s="158" t="s">
        <v>1831</v>
      </c>
      <c r="L1235" s="158" t="s">
        <v>526</v>
      </c>
    </row>
    <row r="1236" spans="1:12" ht="20.25" customHeight="1" x14ac:dyDescent="0.3">
      <c r="A1236" s="90" t="s">
        <v>131</v>
      </c>
      <c r="B1236" s="84"/>
      <c r="C1236" s="7" t="s">
        <v>1910</v>
      </c>
      <c r="D1236" s="85" t="s">
        <v>182</v>
      </c>
      <c r="E1236" s="86" t="s">
        <v>105</v>
      </c>
      <c r="F1236" s="158">
        <v>6</v>
      </c>
      <c r="G1236" s="161">
        <v>1</v>
      </c>
      <c r="H1236" s="158" t="s">
        <v>873</v>
      </c>
      <c r="I1236" s="158">
        <v>1</v>
      </c>
      <c r="J1236" s="158" t="s">
        <v>1979</v>
      </c>
      <c r="K1236" s="158" t="s">
        <v>1831</v>
      </c>
      <c r="L1236" s="158" t="s">
        <v>362</v>
      </c>
    </row>
    <row r="1237" spans="1:12" ht="20.25" customHeight="1" x14ac:dyDescent="0.3">
      <c r="A1237" s="90" t="s">
        <v>428</v>
      </c>
      <c r="B1237" s="84"/>
      <c r="C1237" s="7" t="s">
        <v>1911</v>
      </c>
      <c r="D1237" s="85" t="s">
        <v>182</v>
      </c>
      <c r="E1237" s="86" t="s">
        <v>105</v>
      </c>
      <c r="F1237" s="158">
        <v>6</v>
      </c>
      <c r="G1237" s="161">
        <v>1</v>
      </c>
      <c r="H1237" s="158" t="s">
        <v>527</v>
      </c>
      <c r="I1237" s="158">
        <v>1</v>
      </c>
      <c r="J1237" s="158" t="s">
        <v>854</v>
      </c>
      <c r="K1237" s="158" t="s">
        <v>1831</v>
      </c>
      <c r="L1237" s="158" t="s">
        <v>526</v>
      </c>
    </row>
    <row r="1238" spans="1:12" ht="20.25" customHeight="1" x14ac:dyDescent="0.3">
      <c r="A1238" s="90" t="s">
        <v>1913</v>
      </c>
      <c r="B1238" s="84"/>
      <c r="C1238" s="7" t="s">
        <v>1912</v>
      </c>
      <c r="D1238" s="85" t="s">
        <v>182</v>
      </c>
      <c r="E1238" s="86" t="s">
        <v>105</v>
      </c>
      <c r="F1238" s="158">
        <v>6</v>
      </c>
      <c r="G1238" s="161">
        <v>2</v>
      </c>
      <c r="H1238" s="158" t="s">
        <v>868</v>
      </c>
      <c r="I1238" s="158">
        <v>1</v>
      </c>
      <c r="J1238" s="158" t="s">
        <v>873</v>
      </c>
      <c r="K1238" s="158" t="s">
        <v>1831</v>
      </c>
      <c r="L1238" s="158" t="s">
        <v>362</v>
      </c>
    </row>
    <row r="1239" spans="1:12" ht="20.25" customHeight="1" x14ac:dyDescent="0.3">
      <c r="A1239" s="90" t="s">
        <v>1915</v>
      </c>
      <c r="B1239" s="84"/>
      <c r="C1239" s="7" t="s">
        <v>1914</v>
      </c>
      <c r="D1239" s="85" t="s">
        <v>182</v>
      </c>
      <c r="E1239" s="86" t="s">
        <v>105</v>
      </c>
      <c r="F1239" s="158">
        <v>6</v>
      </c>
      <c r="G1239" s="161">
        <v>2</v>
      </c>
      <c r="H1239" s="158" t="s">
        <v>876</v>
      </c>
      <c r="I1239" s="158">
        <v>1</v>
      </c>
      <c r="J1239" s="158" t="s">
        <v>368</v>
      </c>
      <c r="K1239" s="158" t="s">
        <v>1831</v>
      </c>
      <c r="L1239" s="158" t="s">
        <v>362</v>
      </c>
    </row>
    <row r="1240" spans="1:12" ht="20.25" customHeight="1" x14ac:dyDescent="0.3">
      <c r="A1240" s="90" t="s">
        <v>1917</v>
      </c>
      <c r="B1240" s="84"/>
      <c r="C1240" s="7" t="s">
        <v>1916</v>
      </c>
      <c r="D1240" s="85" t="s">
        <v>182</v>
      </c>
      <c r="E1240" s="86" t="s">
        <v>105</v>
      </c>
      <c r="F1240" s="158">
        <v>6</v>
      </c>
      <c r="G1240" s="161">
        <v>2</v>
      </c>
      <c r="H1240" s="158" t="s">
        <v>868</v>
      </c>
      <c r="I1240" s="158">
        <v>1</v>
      </c>
      <c r="J1240" s="158" t="s">
        <v>868</v>
      </c>
      <c r="K1240" s="158" t="s">
        <v>1831</v>
      </c>
      <c r="L1240" s="158" t="s">
        <v>362</v>
      </c>
    </row>
    <row r="1241" spans="1:12" ht="20.25" customHeight="1" x14ac:dyDescent="0.3">
      <c r="A1241" s="90" t="s">
        <v>1919</v>
      </c>
      <c r="B1241" s="84"/>
      <c r="C1241" s="7" t="s">
        <v>1918</v>
      </c>
      <c r="D1241" s="85" t="s">
        <v>182</v>
      </c>
      <c r="E1241" s="86" t="s">
        <v>105</v>
      </c>
      <c r="F1241" s="158">
        <v>6</v>
      </c>
      <c r="G1241" s="161">
        <v>2</v>
      </c>
      <c r="H1241" s="158" t="s">
        <v>873</v>
      </c>
      <c r="I1241" s="158">
        <v>1</v>
      </c>
      <c r="J1241" s="158" t="s">
        <v>873</v>
      </c>
      <c r="K1241" s="158" t="s">
        <v>1831</v>
      </c>
      <c r="L1241" s="158" t="s">
        <v>362</v>
      </c>
    </row>
    <row r="1242" spans="1:12" ht="20.25" customHeight="1" x14ac:dyDescent="0.3">
      <c r="A1242" s="90" t="s">
        <v>1921</v>
      </c>
      <c r="B1242" s="84"/>
      <c r="C1242" s="7" t="s">
        <v>1920</v>
      </c>
      <c r="D1242" s="85" t="s">
        <v>182</v>
      </c>
      <c r="E1242" s="86" t="s">
        <v>105</v>
      </c>
      <c r="F1242" s="158">
        <v>6</v>
      </c>
      <c r="G1242" s="161">
        <v>2</v>
      </c>
      <c r="H1242" s="158" t="s">
        <v>873</v>
      </c>
      <c r="I1242" s="158">
        <v>1</v>
      </c>
      <c r="J1242" s="158" t="s">
        <v>868</v>
      </c>
      <c r="K1242" s="158" t="s">
        <v>1831</v>
      </c>
      <c r="L1242" s="158" t="s">
        <v>362</v>
      </c>
    </row>
    <row r="1243" spans="1:12" ht="20.25" customHeight="1" x14ac:dyDescent="0.3">
      <c r="A1243" s="90" t="s">
        <v>1923</v>
      </c>
      <c r="B1243" s="84"/>
      <c r="C1243" s="7" t="s">
        <v>1922</v>
      </c>
      <c r="D1243" s="85" t="s">
        <v>182</v>
      </c>
      <c r="E1243" s="86" t="s">
        <v>105</v>
      </c>
      <c r="F1243" s="158">
        <v>6</v>
      </c>
      <c r="G1243" s="161">
        <v>3</v>
      </c>
      <c r="H1243" s="158" t="s">
        <v>868</v>
      </c>
      <c r="I1243" s="158">
        <v>2</v>
      </c>
      <c r="J1243" s="158" t="s">
        <v>883</v>
      </c>
      <c r="K1243" s="158" t="s">
        <v>1831</v>
      </c>
      <c r="L1243" s="158" t="s">
        <v>362</v>
      </c>
    </row>
    <row r="1244" spans="1:12" ht="20.25" customHeight="1" x14ac:dyDescent="0.3">
      <c r="A1244" s="90" t="s">
        <v>1925</v>
      </c>
      <c r="B1244" s="84"/>
      <c r="C1244" s="7" t="s">
        <v>1924</v>
      </c>
      <c r="D1244" s="85" t="s">
        <v>182</v>
      </c>
      <c r="E1244" s="86" t="s">
        <v>105</v>
      </c>
      <c r="F1244" s="158">
        <v>6</v>
      </c>
      <c r="G1244" s="161">
        <v>3</v>
      </c>
      <c r="H1244" s="158" t="s">
        <v>534</v>
      </c>
      <c r="I1244" s="158">
        <v>2</v>
      </c>
      <c r="J1244" s="158" t="s">
        <v>860</v>
      </c>
      <c r="K1244" s="158" t="s">
        <v>1831</v>
      </c>
      <c r="L1244" s="158" t="s">
        <v>347</v>
      </c>
    </row>
    <row r="1245" spans="1:12" ht="20.25" customHeight="1" x14ac:dyDescent="0.3">
      <c r="A1245" s="90" t="s">
        <v>1927</v>
      </c>
      <c r="B1245" s="84"/>
      <c r="C1245" s="7" t="s">
        <v>1926</v>
      </c>
      <c r="D1245" s="85" t="s">
        <v>182</v>
      </c>
      <c r="E1245" s="86" t="s">
        <v>106</v>
      </c>
      <c r="F1245" s="158">
        <v>6</v>
      </c>
      <c r="G1245" s="161">
        <v>3</v>
      </c>
      <c r="H1245" s="158" t="s">
        <v>876</v>
      </c>
      <c r="I1245" s="158">
        <v>2</v>
      </c>
      <c r="J1245" s="158" t="s">
        <v>919</v>
      </c>
      <c r="K1245" s="158" t="s">
        <v>1831</v>
      </c>
      <c r="L1245" s="158" t="s">
        <v>362</v>
      </c>
    </row>
    <row r="1246" spans="1:12" ht="20.25" customHeight="1" x14ac:dyDescent="0.3">
      <c r="A1246" s="90" t="s">
        <v>777</v>
      </c>
      <c r="B1246" s="84"/>
      <c r="C1246" s="7" t="s">
        <v>1928</v>
      </c>
      <c r="D1246" s="85" t="s">
        <v>182</v>
      </c>
      <c r="E1246" s="86" t="s">
        <v>106</v>
      </c>
      <c r="F1246" s="158">
        <v>6</v>
      </c>
      <c r="G1246" s="161">
        <v>3</v>
      </c>
      <c r="H1246" s="158" t="s">
        <v>873</v>
      </c>
      <c r="I1246" s="158">
        <v>2</v>
      </c>
      <c r="J1246" s="158" t="s">
        <v>874</v>
      </c>
      <c r="K1246" s="158" t="s">
        <v>1831</v>
      </c>
      <c r="L1246" s="158" t="s">
        <v>362</v>
      </c>
    </row>
    <row r="1247" spans="1:12" ht="20.25" customHeight="1" x14ac:dyDescent="0.3">
      <c r="A1247" s="90" t="s">
        <v>1930</v>
      </c>
      <c r="B1247" s="84"/>
      <c r="C1247" s="7" t="s">
        <v>1929</v>
      </c>
      <c r="D1247" s="85" t="s">
        <v>182</v>
      </c>
      <c r="E1247" s="86" t="s">
        <v>106</v>
      </c>
      <c r="F1247" s="158">
        <v>6</v>
      </c>
      <c r="G1247" s="161">
        <v>3</v>
      </c>
      <c r="H1247" s="158" t="s">
        <v>1418</v>
      </c>
      <c r="I1247" s="158">
        <v>2</v>
      </c>
      <c r="J1247" s="158" t="s">
        <v>1418</v>
      </c>
      <c r="K1247" s="158" t="s">
        <v>1831</v>
      </c>
      <c r="L1247" s="158" t="s">
        <v>362</v>
      </c>
    </row>
    <row r="1248" spans="1:12" ht="20.25" customHeight="1" x14ac:dyDescent="0.3">
      <c r="A1248" s="90" t="s">
        <v>1932</v>
      </c>
      <c r="B1248" s="84"/>
      <c r="C1248" s="7" t="s">
        <v>1931</v>
      </c>
      <c r="D1248" s="85" t="s">
        <v>182</v>
      </c>
      <c r="E1248" s="86" t="s">
        <v>105</v>
      </c>
      <c r="F1248" s="158">
        <v>6</v>
      </c>
      <c r="G1248" s="161">
        <v>4</v>
      </c>
      <c r="H1248" s="158">
        <v>1</v>
      </c>
      <c r="I1248" s="158">
        <v>2</v>
      </c>
      <c r="J1248" s="158">
        <v>1</v>
      </c>
      <c r="K1248" s="158" t="s">
        <v>1831</v>
      </c>
      <c r="L1248" s="158">
        <v>2009</v>
      </c>
    </row>
    <row r="1249" spans="1:12" ht="20.25" customHeight="1" x14ac:dyDescent="0.3">
      <c r="A1249" s="90" t="s">
        <v>1934</v>
      </c>
      <c r="B1249" s="84"/>
      <c r="C1249" s="7" t="s">
        <v>1933</v>
      </c>
      <c r="D1249" s="85" t="s">
        <v>182</v>
      </c>
      <c r="E1249" s="86" t="s">
        <v>106</v>
      </c>
      <c r="F1249" s="158">
        <v>6</v>
      </c>
      <c r="G1249" s="161">
        <v>4</v>
      </c>
      <c r="H1249" s="158" t="s">
        <v>876</v>
      </c>
      <c r="I1249" s="158">
        <v>2</v>
      </c>
      <c r="J1249" s="158" t="s">
        <v>1981</v>
      </c>
      <c r="K1249" s="158" t="s">
        <v>1831</v>
      </c>
      <c r="L1249" s="158" t="s">
        <v>362</v>
      </c>
    </row>
    <row r="1250" spans="1:12" ht="20.25" customHeight="1" x14ac:dyDescent="0.3">
      <c r="A1250" s="90" t="s">
        <v>1936</v>
      </c>
      <c r="B1250" s="84"/>
      <c r="C1250" s="7" t="s">
        <v>1935</v>
      </c>
      <c r="D1250" s="85" t="s">
        <v>182</v>
      </c>
      <c r="E1250" s="86" t="s">
        <v>106</v>
      </c>
      <c r="F1250" s="158">
        <v>6</v>
      </c>
      <c r="G1250" s="161">
        <v>4</v>
      </c>
      <c r="H1250" s="158" t="s">
        <v>868</v>
      </c>
      <c r="I1250" s="158">
        <v>2</v>
      </c>
      <c r="J1250" s="158" t="s">
        <v>874</v>
      </c>
      <c r="K1250" s="158" t="s">
        <v>1831</v>
      </c>
      <c r="L1250" s="158" t="s">
        <v>362</v>
      </c>
    </row>
    <row r="1251" spans="1:12" ht="20.25" customHeight="1" x14ac:dyDescent="0.3">
      <c r="A1251" s="90" t="s">
        <v>1938</v>
      </c>
      <c r="B1251" s="84"/>
      <c r="C1251" s="7" t="s">
        <v>1937</v>
      </c>
      <c r="D1251" s="85" t="s">
        <v>182</v>
      </c>
      <c r="E1251" s="86" t="s">
        <v>106</v>
      </c>
      <c r="F1251" s="158">
        <v>6</v>
      </c>
      <c r="G1251" s="161">
        <v>4</v>
      </c>
      <c r="H1251" s="158" t="s">
        <v>527</v>
      </c>
      <c r="I1251" s="158">
        <v>2</v>
      </c>
      <c r="J1251" s="158" t="s">
        <v>850</v>
      </c>
      <c r="K1251" s="158" t="s">
        <v>1831</v>
      </c>
      <c r="L1251" s="158" t="s">
        <v>526</v>
      </c>
    </row>
    <row r="1252" spans="1:12" ht="20.25" customHeight="1" x14ac:dyDescent="0.3">
      <c r="A1252" s="90" t="s">
        <v>209</v>
      </c>
      <c r="B1252" s="84"/>
      <c r="C1252" s="7" t="s">
        <v>1939</v>
      </c>
      <c r="D1252" s="85" t="s">
        <v>182</v>
      </c>
      <c r="E1252" s="86" t="s">
        <v>106</v>
      </c>
      <c r="F1252" s="158">
        <v>6</v>
      </c>
      <c r="G1252" s="161">
        <v>4</v>
      </c>
      <c r="H1252" s="158" t="s">
        <v>873</v>
      </c>
      <c r="I1252" s="158">
        <v>2</v>
      </c>
      <c r="J1252" s="158" t="s">
        <v>883</v>
      </c>
      <c r="K1252" s="158" t="s">
        <v>1831</v>
      </c>
      <c r="L1252" s="158" t="s">
        <v>362</v>
      </c>
    </row>
    <row r="1253" spans="1:12" ht="20.25" customHeight="1" x14ac:dyDescent="0.3">
      <c r="A1253" s="90" t="s">
        <v>1941</v>
      </c>
      <c r="B1253" s="84"/>
      <c r="C1253" s="7" t="s">
        <v>1940</v>
      </c>
      <c r="D1253" s="85" t="s">
        <v>182</v>
      </c>
      <c r="E1253" s="86" t="s">
        <v>106</v>
      </c>
      <c r="F1253" s="158">
        <v>8</v>
      </c>
      <c r="G1253" s="161">
        <v>5</v>
      </c>
      <c r="H1253" s="158" t="s">
        <v>851</v>
      </c>
      <c r="I1253" s="158">
        <v>3</v>
      </c>
      <c r="J1253" s="158" t="s">
        <v>1963</v>
      </c>
      <c r="K1253" s="158" t="s">
        <v>1831</v>
      </c>
      <c r="L1253" s="158" t="s">
        <v>526</v>
      </c>
    </row>
    <row r="1254" spans="1:12" ht="20.25" customHeight="1" x14ac:dyDescent="0.3">
      <c r="A1254" s="90" t="s">
        <v>1766</v>
      </c>
      <c r="B1254" s="84"/>
      <c r="C1254" s="7" t="s">
        <v>1942</v>
      </c>
      <c r="D1254" s="85" t="s">
        <v>182</v>
      </c>
      <c r="E1254" s="86" t="s">
        <v>106</v>
      </c>
      <c r="F1254" s="158">
        <v>6</v>
      </c>
      <c r="G1254" s="161">
        <v>5</v>
      </c>
      <c r="H1254" s="158" t="s">
        <v>534</v>
      </c>
      <c r="I1254" s="158">
        <v>3</v>
      </c>
      <c r="J1254" s="158" t="s">
        <v>534</v>
      </c>
      <c r="K1254" s="158" t="s">
        <v>1831</v>
      </c>
      <c r="L1254" s="158" t="s">
        <v>347</v>
      </c>
    </row>
    <row r="1255" spans="1:12" ht="20.25" customHeight="1" x14ac:dyDescent="0.3">
      <c r="A1255" s="90" t="s">
        <v>47</v>
      </c>
      <c r="B1255" s="84"/>
      <c r="C1255" s="7" t="s">
        <v>1943</v>
      </c>
      <c r="D1255" s="85" t="s">
        <v>182</v>
      </c>
      <c r="E1255" s="86" t="s">
        <v>106</v>
      </c>
      <c r="F1255" s="158">
        <v>6</v>
      </c>
      <c r="G1255" s="161">
        <v>5</v>
      </c>
      <c r="H1255" s="158" t="s">
        <v>868</v>
      </c>
      <c r="I1255" s="158">
        <v>3</v>
      </c>
      <c r="J1255" s="158" t="s">
        <v>873</v>
      </c>
      <c r="K1255" s="158" t="s">
        <v>1831</v>
      </c>
      <c r="L1255" s="158" t="s">
        <v>362</v>
      </c>
    </row>
    <row r="1256" spans="1:12" ht="20.25" customHeight="1" x14ac:dyDescent="0.3">
      <c r="A1256" s="90" t="s">
        <v>392</v>
      </c>
      <c r="B1256" s="84"/>
      <c r="C1256" s="7" t="s">
        <v>1944</v>
      </c>
      <c r="D1256" s="85" t="s">
        <v>182</v>
      </c>
      <c r="E1256" s="86" t="s">
        <v>106</v>
      </c>
      <c r="F1256" s="158">
        <v>6</v>
      </c>
      <c r="G1256" s="161">
        <v>5</v>
      </c>
      <c r="H1256" s="158" t="s">
        <v>873</v>
      </c>
      <c r="I1256" s="158">
        <v>3</v>
      </c>
      <c r="J1256" s="158" t="s">
        <v>868</v>
      </c>
      <c r="K1256" s="158" t="s">
        <v>1831</v>
      </c>
      <c r="L1256" s="158" t="s">
        <v>362</v>
      </c>
    </row>
    <row r="1257" spans="1:12" ht="20.25" customHeight="1" x14ac:dyDescent="0.3">
      <c r="A1257" s="90" t="s">
        <v>1946</v>
      </c>
      <c r="B1257" s="84"/>
      <c r="C1257" s="7" t="s">
        <v>1945</v>
      </c>
      <c r="D1257" s="85" t="s">
        <v>182</v>
      </c>
      <c r="E1257" s="86" t="s">
        <v>106</v>
      </c>
      <c r="F1257" s="158">
        <v>6</v>
      </c>
      <c r="G1257" s="161">
        <v>5</v>
      </c>
      <c r="H1257" s="158" t="s">
        <v>527</v>
      </c>
      <c r="I1257" s="158">
        <v>3</v>
      </c>
      <c r="J1257" s="158" t="s">
        <v>854</v>
      </c>
      <c r="K1257" s="158" t="s">
        <v>1831</v>
      </c>
      <c r="L1257" s="158" t="s">
        <v>526</v>
      </c>
    </row>
    <row r="1258" spans="1:12" ht="20.25" customHeight="1" x14ac:dyDescent="0.3">
      <c r="A1258" s="90" t="s">
        <v>1133</v>
      </c>
      <c r="B1258" s="84"/>
      <c r="C1258" s="7" t="s">
        <v>1132</v>
      </c>
      <c r="D1258" s="85" t="s">
        <v>183</v>
      </c>
      <c r="E1258" s="86" t="s">
        <v>105</v>
      </c>
      <c r="F1258" s="158">
        <v>6</v>
      </c>
      <c r="G1258" s="161">
        <v>5</v>
      </c>
      <c r="H1258" s="158" t="s">
        <v>443</v>
      </c>
      <c r="I1258" s="158">
        <v>3</v>
      </c>
      <c r="J1258" s="158" t="s">
        <v>443</v>
      </c>
      <c r="K1258" s="158" t="s">
        <v>1831</v>
      </c>
      <c r="L1258" s="158" t="s">
        <v>338</v>
      </c>
    </row>
    <row r="1259" spans="1:12" ht="20.25" customHeight="1" x14ac:dyDescent="0.3">
      <c r="A1259" s="90" t="s">
        <v>1059</v>
      </c>
      <c r="B1259" s="84"/>
      <c r="C1259" s="7" t="s">
        <v>1947</v>
      </c>
      <c r="D1259" s="85" t="s">
        <v>183</v>
      </c>
      <c r="E1259" s="86" t="s">
        <v>106</v>
      </c>
      <c r="F1259" s="158">
        <v>6</v>
      </c>
      <c r="G1259" s="161">
        <v>5</v>
      </c>
      <c r="H1259" s="158" t="s">
        <v>443</v>
      </c>
      <c r="I1259" s="158">
        <v>3</v>
      </c>
      <c r="J1259" s="158" t="s">
        <v>839</v>
      </c>
      <c r="K1259" s="158" t="s">
        <v>1831</v>
      </c>
      <c r="L1259" s="158" t="s">
        <v>338</v>
      </c>
    </row>
    <row r="1260" spans="1:12" ht="20.25" customHeight="1" x14ac:dyDescent="0.3">
      <c r="A1260" s="90" t="s">
        <v>1898</v>
      </c>
      <c r="B1260" s="84"/>
      <c r="C1260" s="7" t="s">
        <v>1897</v>
      </c>
      <c r="D1260" s="85" t="s">
        <v>182</v>
      </c>
      <c r="E1260" s="86" t="s">
        <v>110</v>
      </c>
      <c r="F1260" s="158">
        <v>6</v>
      </c>
      <c r="G1260" s="161">
        <v>6</v>
      </c>
      <c r="H1260" s="158" t="s">
        <v>534</v>
      </c>
      <c r="I1260" s="158">
        <v>3</v>
      </c>
      <c r="J1260" s="158" t="s">
        <v>860</v>
      </c>
      <c r="K1260" s="158" t="s">
        <v>1831</v>
      </c>
      <c r="L1260" s="158" t="s">
        <v>347</v>
      </c>
    </row>
    <row r="1261" spans="1:12" ht="20.25" customHeight="1" x14ac:dyDescent="0.3">
      <c r="A1261" s="90" t="s">
        <v>1941</v>
      </c>
      <c r="B1261" s="84"/>
      <c r="C1261" s="7" t="s">
        <v>1940</v>
      </c>
      <c r="D1261" s="85" t="s">
        <v>182</v>
      </c>
      <c r="E1261" s="86" t="s">
        <v>106</v>
      </c>
      <c r="F1261" s="158">
        <v>8</v>
      </c>
      <c r="G1261" s="161">
        <v>6</v>
      </c>
      <c r="H1261" s="158">
        <v>1</v>
      </c>
      <c r="I1261" s="158">
        <v>3</v>
      </c>
      <c r="J1261" s="158">
        <v>4</v>
      </c>
      <c r="K1261" s="158" t="s">
        <v>1831</v>
      </c>
      <c r="L1261" s="158">
        <v>2009</v>
      </c>
    </row>
    <row r="1262" spans="1:12" ht="20.25" customHeight="1" x14ac:dyDescent="0.3">
      <c r="A1262" s="90" t="s">
        <v>1659</v>
      </c>
      <c r="B1262" s="84"/>
      <c r="C1262" s="7" t="s">
        <v>1948</v>
      </c>
      <c r="D1262" s="85" t="s">
        <v>182</v>
      </c>
      <c r="E1262" s="86" t="s">
        <v>106</v>
      </c>
      <c r="F1262" s="158">
        <v>6</v>
      </c>
      <c r="G1262" s="161">
        <v>6</v>
      </c>
      <c r="H1262" s="158" t="s">
        <v>868</v>
      </c>
      <c r="I1262" s="158">
        <v>3</v>
      </c>
      <c r="J1262" s="158" t="s">
        <v>1983</v>
      </c>
      <c r="K1262" s="158" t="s">
        <v>1831</v>
      </c>
      <c r="L1262" s="158" t="s">
        <v>362</v>
      </c>
    </row>
    <row r="1263" spans="1:12" ht="20.25" customHeight="1" x14ac:dyDescent="0.3">
      <c r="A1263" s="90" t="s">
        <v>1643</v>
      </c>
      <c r="B1263" s="84"/>
      <c r="C1263" s="7" t="s">
        <v>1642</v>
      </c>
      <c r="D1263" s="85" t="s">
        <v>183</v>
      </c>
      <c r="E1263" s="86" t="s">
        <v>105</v>
      </c>
      <c r="F1263" s="158">
        <v>6</v>
      </c>
      <c r="G1263" s="161">
        <v>6</v>
      </c>
      <c r="H1263" s="158" t="s">
        <v>444</v>
      </c>
      <c r="I1263" s="158">
        <v>3</v>
      </c>
      <c r="J1263" s="158" t="s">
        <v>841</v>
      </c>
      <c r="K1263" s="158" t="s">
        <v>1831</v>
      </c>
      <c r="L1263" s="158" t="s">
        <v>338</v>
      </c>
    </row>
    <row r="1264" spans="1:12" ht="20.25" customHeight="1" x14ac:dyDescent="0.3">
      <c r="A1264" s="90" t="s">
        <v>1133</v>
      </c>
      <c r="B1264" s="84"/>
      <c r="C1264" s="7" t="s">
        <v>1132</v>
      </c>
      <c r="D1264" s="85" t="s">
        <v>183</v>
      </c>
      <c r="E1264" s="86" t="s">
        <v>105</v>
      </c>
      <c r="F1264" s="158">
        <v>6</v>
      </c>
      <c r="G1264" s="161">
        <v>6</v>
      </c>
      <c r="H1264" s="158" t="s">
        <v>444</v>
      </c>
      <c r="I1264" s="158">
        <v>3</v>
      </c>
      <c r="J1264" s="158" t="s">
        <v>444</v>
      </c>
      <c r="K1264" s="158" t="s">
        <v>1831</v>
      </c>
      <c r="L1264" s="158" t="s">
        <v>338</v>
      </c>
    </row>
    <row r="1265" spans="1:12" ht="20.25" customHeight="1" x14ac:dyDescent="0.3">
      <c r="A1265" s="90" t="s">
        <v>1889</v>
      </c>
      <c r="B1265" s="84"/>
      <c r="C1265" s="7" t="s">
        <v>1888</v>
      </c>
      <c r="D1265" s="85" t="s">
        <v>183</v>
      </c>
      <c r="E1265" s="86" t="s">
        <v>106</v>
      </c>
      <c r="F1265" s="158">
        <v>6</v>
      </c>
      <c r="G1265" s="161">
        <v>6</v>
      </c>
      <c r="H1265" s="158" t="s">
        <v>199</v>
      </c>
      <c r="I1265" s="158">
        <v>3</v>
      </c>
      <c r="J1265" s="158" t="s">
        <v>1180</v>
      </c>
      <c r="K1265" s="158" t="s">
        <v>1831</v>
      </c>
      <c r="L1265" s="158">
        <v>2009</v>
      </c>
    </row>
    <row r="1266" spans="1:12" ht="20.25" customHeight="1" x14ac:dyDescent="0.3">
      <c r="A1266" s="90" t="s">
        <v>1891</v>
      </c>
      <c r="B1266" s="84"/>
      <c r="C1266" s="7" t="s">
        <v>1890</v>
      </c>
      <c r="D1266" s="85" t="s">
        <v>183</v>
      </c>
      <c r="E1266" s="86" t="s">
        <v>106</v>
      </c>
      <c r="F1266" s="158">
        <v>6</v>
      </c>
      <c r="G1266" s="161">
        <v>6</v>
      </c>
      <c r="H1266" s="158">
        <v>1</v>
      </c>
      <c r="I1266" s="158">
        <v>3</v>
      </c>
      <c r="J1266" s="158">
        <v>1</v>
      </c>
      <c r="K1266" s="158" t="s">
        <v>1831</v>
      </c>
      <c r="L1266" s="158">
        <v>2009</v>
      </c>
    </row>
    <row r="1267" spans="1:12" ht="20.25" customHeight="1" x14ac:dyDescent="0.3">
      <c r="A1267" s="90" t="s">
        <v>1950</v>
      </c>
      <c r="B1267" s="84"/>
      <c r="C1267" s="7" t="s">
        <v>1949</v>
      </c>
      <c r="D1267" s="85" t="s">
        <v>183</v>
      </c>
      <c r="E1267" s="86" t="s">
        <v>110</v>
      </c>
      <c r="F1267" s="158">
        <v>6</v>
      </c>
      <c r="G1267" s="161">
        <v>6</v>
      </c>
      <c r="H1267" s="158" t="s">
        <v>527</v>
      </c>
      <c r="I1267" s="158">
        <v>3</v>
      </c>
      <c r="J1267" s="158" t="s">
        <v>1460</v>
      </c>
      <c r="K1267" s="158" t="s">
        <v>1831</v>
      </c>
      <c r="L1267" s="158" t="s">
        <v>526</v>
      </c>
    </row>
    <row r="1268" spans="1:12" ht="20.25" customHeight="1" x14ac:dyDescent="0.3">
      <c r="A1268" s="90" t="s">
        <v>1952</v>
      </c>
      <c r="B1268" s="84"/>
      <c r="C1268" s="7" t="s">
        <v>1951</v>
      </c>
      <c r="D1268" s="85" t="s">
        <v>183</v>
      </c>
      <c r="E1268" s="86" t="s">
        <v>110</v>
      </c>
      <c r="F1268" s="158">
        <v>6</v>
      </c>
      <c r="G1268" s="161">
        <v>6</v>
      </c>
      <c r="H1268" s="158" t="s">
        <v>542</v>
      </c>
      <c r="I1268" s="158">
        <v>3</v>
      </c>
      <c r="J1268" s="158" t="s">
        <v>1003</v>
      </c>
      <c r="K1268" s="158" t="s">
        <v>1831</v>
      </c>
      <c r="L1268" s="158" t="s">
        <v>890</v>
      </c>
    </row>
    <row r="1269" spans="1:12" ht="20.25" customHeight="1" x14ac:dyDescent="0.3">
      <c r="A1269" s="90" t="s">
        <v>1954</v>
      </c>
      <c r="B1269" s="84"/>
      <c r="C1269" s="7" t="s">
        <v>1953</v>
      </c>
      <c r="D1269" s="85" t="s">
        <v>183</v>
      </c>
      <c r="E1269" s="86" t="s">
        <v>106</v>
      </c>
      <c r="F1269" s="158">
        <v>6</v>
      </c>
      <c r="G1269" s="161">
        <v>6</v>
      </c>
      <c r="H1269" s="158" t="s">
        <v>533</v>
      </c>
      <c r="I1269" s="158">
        <v>3</v>
      </c>
      <c r="J1269" s="158" t="s">
        <v>533</v>
      </c>
      <c r="K1269" s="158" t="s">
        <v>1831</v>
      </c>
      <c r="L1269" s="158" t="s">
        <v>347</v>
      </c>
    </row>
    <row r="1270" spans="1:12" ht="20.25" customHeight="1" x14ac:dyDescent="0.3">
      <c r="A1270" s="90" t="s">
        <v>1884</v>
      </c>
      <c r="B1270" s="84"/>
      <c r="C1270" s="7" t="s">
        <v>1883</v>
      </c>
      <c r="D1270" s="85" t="s">
        <v>183</v>
      </c>
      <c r="E1270" s="86" t="s">
        <v>105</v>
      </c>
      <c r="F1270" s="158">
        <v>6</v>
      </c>
      <c r="G1270" s="161">
        <v>6</v>
      </c>
      <c r="H1270" s="158" t="s">
        <v>1543</v>
      </c>
      <c r="I1270" s="158">
        <v>3</v>
      </c>
      <c r="J1270" s="158" t="s">
        <v>1543</v>
      </c>
      <c r="K1270" s="158" t="s">
        <v>1831</v>
      </c>
      <c r="L1270" s="158" t="s">
        <v>526</v>
      </c>
    </row>
    <row r="1271" spans="1:12" ht="20.25" customHeight="1" x14ac:dyDescent="0.3">
      <c r="A1271" s="90" t="s">
        <v>166</v>
      </c>
      <c r="B1271" s="84"/>
      <c r="C1271" s="7" t="s">
        <v>1955</v>
      </c>
      <c r="D1271" s="85" t="s">
        <v>183</v>
      </c>
      <c r="E1271" s="86" t="s">
        <v>106</v>
      </c>
      <c r="F1271" s="158">
        <v>6</v>
      </c>
      <c r="G1271" s="161">
        <v>6</v>
      </c>
      <c r="H1271" s="158" t="s">
        <v>527</v>
      </c>
      <c r="I1271" s="158">
        <v>3</v>
      </c>
      <c r="J1271" s="158" t="s">
        <v>527</v>
      </c>
      <c r="K1271" s="158" t="s">
        <v>1831</v>
      </c>
      <c r="L1271" s="158" t="s">
        <v>1430</v>
      </c>
    </row>
    <row r="1272" spans="1:12" ht="20.25" customHeight="1" x14ac:dyDescent="0.3">
      <c r="A1272" s="90" t="s">
        <v>1958</v>
      </c>
      <c r="B1272" s="84"/>
      <c r="C1272" s="7" t="s">
        <v>1957</v>
      </c>
      <c r="D1272" s="85" t="s">
        <v>182</v>
      </c>
      <c r="E1272" s="86" t="s">
        <v>105</v>
      </c>
      <c r="F1272" s="158">
        <v>6</v>
      </c>
      <c r="G1272" s="161">
        <v>1</v>
      </c>
      <c r="H1272" s="158" t="s">
        <v>1977</v>
      </c>
      <c r="I1272" s="158">
        <v>1</v>
      </c>
      <c r="J1272" s="158" t="s">
        <v>1978</v>
      </c>
      <c r="K1272" s="158" t="s">
        <v>1831</v>
      </c>
      <c r="L1272" s="158" t="s">
        <v>367</v>
      </c>
    </row>
    <row r="1273" spans="1:12" ht="20.25" customHeight="1" x14ac:dyDescent="0.3">
      <c r="A1273" s="90" t="s">
        <v>1960</v>
      </c>
      <c r="B1273" s="84"/>
      <c r="C1273" s="7" t="s">
        <v>1959</v>
      </c>
      <c r="D1273" s="85" t="s">
        <v>182</v>
      </c>
      <c r="E1273" s="86" t="s">
        <v>105</v>
      </c>
      <c r="F1273" s="158">
        <v>6</v>
      </c>
      <c r="G1273" s="161">
        <v>4</v>
      </c>
      <c r="H1273" s="158">
        <v>1</v>
      </c>
      <c r="I1273" s="158">
        <v>2</v>
      </c>
      <c r="J1273" s="158">
        <v>2</v>
      </c>
      <c r="K1273" s="158" t="s">
        <v>1831</v>
      </c>
      <c r="L1273" s="158">
        <v>2010</v>
      </c>
    </row>
    <row r="1274" spans="1:12" ht="20.25" customHeight="1" x14ac:dyDescent="0.3">
      <c r="A1274" s="90" t="s">
        <v>1960</v>
      </c>
      <c r="B1274" s="84"/>
      <c r="C1274" s="7" t="s">
        <v>1961</v>
      </c>
      <c r="D1274" s="85" t="s">
        <v>182</v>
      </c>
      <c r="E1274" s="86" t="s">
        <v>105</v>
      </c>
      <c r="F1274" s="158">
        <v>6</v>
      </c>
      <c r="G1274" s="161">
        <v>4</v>
      </c>
      <c r="H1274" s="158" t="s">
        <v>534</v>
      </c>
      <c r="I1274" s="158">
        <v>2</v>
      </c>
      <c r="J1274" s="158" t="s">
        <v>533</v>
      </c>
      <c r="K1274" s="158" t="s">
        <v>1831</v>
      </c>
      <c r="L1274" s="158" t="s">
        <v>369</v>
      </c>
    </row>
    <row r="1275" spans="1:12" ht="20.25" customHeight="1" x14ac:dyDescent="0.3">
      <c r="A1275" s="90" t="s">
        <v>133</v>
      </c>
      <c r="B1275" s="84"/>
      <c r="C1275" s="7" t="s">
        <v>1962</v>
      </c>
      <c r="D1275" s="85" t="s">
        <v>183</v>
      </c>
      <c r="E1275" s="86" t="s">
        <v>105</v>
      </c>
      <c r="F1275" s="158">
        <v>6</v>
      </c>
      <c r="G1275" s="161">
        <v>6</v>
      </c>
      <c r="H1275" s="158" t="s">
        <v>534</v>
      </c>
      <c r="I1275" s="158">
        <v>3</v>
      </c>
      <c r="J1275" s="158" t="s">
        <v>534</v>
      </c>
      <c r="K1275" s="158" t="s">
        <v>1831</v>
      </c>
      <c r="L1275" s="158" t="s">
        <v>369</v>
      </c>
    </row>
    <row r="1276" spans="1:12" ht="20.25" customHeight="1" x14ac:dyDescent="0.3">
      <c r="A1276" s="90" t="s">
        <v>48</v>
      </c>
      <c r="B1276" s="84"/>
      <c r="C1276" s="7" t="s">
        <v>237</v>
      </c>
      <c r="D1276" s="85" t="s">
        <v>183</v>
      </c>
      <c r="E1276" s="86" t="s">
        <v>105</v>
      </c>
      <c r="F1276" s="158">
        <v>6</v>
      </c>
      <c r="G1276" s="161">
        <v>6</v>
      </c>
      <c r="H1276" s="158" t="s">
        <v>534</v>
      </c>
      <c r="I1276" s="158">
        <v>3</v>
      </c>
      <c r="J1276" s="158" t="s">
        <v>533</v>
      </c>
      <c r="K1276" s="158" t="s">
        <v>1831</v>
      </c>
      <c r="L1276" s="158" t="s">
        <v>369</v>
      </c>
    </row>
    <row r="1277" spans="1:12" ht="20.25" customHeight="1" x14ac:dyDescent="0.3">
      <c r="A1277" s="90" t="s">
        <v>279</v>
      </c>
      <c r="B1277" s="84"/>
      <c r="C1277" s="7" t="s">
        <v>278</v>
      </c>
      <c r="D1277" s="85" t="s">
        <v>183</v>
      </c>
      <c r="E1277" s="86" t="s">
        <v>105</v>
      </c>
      <c r="F1277" s="158">
        <v>4</v>
      </c>
      <c r="G1277" s="161">
        <v>6</v>
      </c>
      <c r="H1277" s="158" t="s">
        <v>527</v>
      </c>
      <c r="I1277" s="158">
        <v>3</v>
      </c>
      <c r="J1277" s="158" t="s">
        <v>527</v>
      </c>
      <c r="K1277" s="158" t="s">
        <v>1831</v>
      </c>
      <c r="L1277" s="158" t="s">
        <v>356</v>
      </c>
    </row>
    <row r="1278" spans="1:12" ht="20.25" customHeight="1" x14ac:dyDescent="0.3">
      <c r="A1278" s="90" t="s">
        <v>271</v>
      </c>
      <c r="B1278" s="84"/>
      <c r="C1278" s="7" t="s">
        <v>270</v>
      </c>
      <c r="D1278" s="85" t="s">
        <v>183</v>
      </c>
      <c r="E1278" s="86" t="s">
        <v>105</v>
      </c>
      <c r="F1278" s="158">
        <v>6</v>
      </c>
      <c r="G1278" s="161">
        <v>6</v>
      </c>
      <c r="H1278" s="158" t="s">
        <v>527</v>
      </c>
      <c r="I1278" s="158">
        <v>3</v>
      </c>
      <c r="J1278" s="158" t="s">
        <v>527</v>
      </c>
      <c r="K1278" s="158" t="s">
        <v>1831</v>
      </c>
      <c r="L1278" s="158" t="s">
        <v>356</v>
      </c>
    </row>
    <row r="1279" spans="1:12" ht="20.25" customHeight="1" x14ac:dyDescent="0.3">
      <c r="A1279" s="90" t="s">
        <v>1965</v>
      </c>
      <c r="B1279" s="84"/>
      <c r="C1279" s="7" t="s">
        <v>1964</v>
      </c>
      <c r="D1279" s="85" t="s">
        <v>182</v>
      </c>
      <c r="E1279" s="86" t="s">
        <v>105</v>
      </c>
      <c r="F1279" s="158">
        <v>12</v>
      </c>
      <c r="G1279" s="161">
        <v>1</v>
      </c>
      <c r="H1279" s="158" t="s">
        <v>851</v>
      </c>
      <c r="I1279" s="158">
        <v>1</v>
      </c>
      <c r="J1279" s="158" t="s">
        <v>1980</v>
      </c>
      <c r="K1279" s="158" t="s">
        <v>1831</v>
      </c>
      <c r="L1279" s="158" t="s">
        <v>679</v>
      </c>
    </row>
    <row r="1280" spans="1:12" ht="20.25" customHeight="1" x14ac:dyDescent="0.3">
      <c r="A1280" s="90" t="s">
        <v>1954</v>
      </c>
      <c r="B1280" s="84"/>
      <c r="C1280" s="7" t="s">
        <v>1953</v>
      </c>
      <c r="D1280" s="85" t="s">
        <v>182</v>
      </c>
      <c r="E1280" s="86" t="s">
        <v>106</v>
      </c>
      <c r="F1280" s="158">
        <v>6</v>
      </c>
      <c r="G1280" s="161">
        <v>4</v>
      </c>
      <c r="H1280" s="158">
        <v>2</v>
      </c>
      <c r="I1280" s="158">
        <v>2</v>
      </c>
      <c r="J1280" s="158">
        <v>2</v>
      </c>
      <c r="K1280" s="158" t="s">
        <v>1831</v>
      </c>
      <c r="L1280" s="158">
        <v>2012</v>
      </c>
    </row>
    <row r="1281" spans="1:12" ht="20.25" customHeight="1" x14ac:dyDescent="0.3">
      <c r="A1281" s="90" t="s">
        <v>288</v>
      </c>
      <c r="B1281" s="84"/>
      <c r="C1281" s="7" t="s">
        <v>287</v>
      </c>
      <c r="D1281" s="85" t="s">
        <v>183</v>
      </c>
      <c r="E1281" s="86" t="s">
        <v>106</v>
      </c>
      <c r="F1281" s="158">
        <v>6</v>
      </c>
      <c r="G1281" s="161">
        <v>4</v>
      </c>
      <c r="H1281" s="158" t="s">
        <v>527</v>
      </c>
      <c r="I1281" s="158">
        <v>2</v>
      </c>
      <c r="J1281" s="158" t="s">
        <v>924</v>
      </c>
      <c r="K1281" s="158" t="s">
        <v>1831</v>
      </c>
      <c r="L1281" s="158" t="s">
        <v>679</v>
      </c>
    </row>
    <row r="1282" spans="1:12" ht="20.25" customHeight="1" x14ac:dyDescent="0.3">
      <c r="A1282" s="90" t="s">
        <v>1938</v>
      </c>
      <c r="B1282" s="84"/>
      <c r="C1282" s="7" t="s">
        <v>1937</v>
      </c>
      <c r="D1282" s="85" t="s">
        <v>182</v>
      </c>
      <c r="E1282" s="86" t="s">
        <v>106</v>
      </c>
      <c r="F1282" s="158">
        <v>6</v>
      </c>
      <c r="G1282" s="161">
        <v>5</v>
      </c>
      <c r="H1282" s="158" t="s">
        <v>938</v>
      </c>
      <c r="I1282" s="158">
        <v>3</v>
      </c>
      <c r="J1282" s="158" t="s">
        <v>1973</v>
      </c>
      <c r="K1282" s="158" t="s">
        <v>1831</v>
      </c>
      <c r="L1282" s="158" t="s">
        <v>546</v>
      </c>
    </row>
    <row r="1283" spans="1:12" ht="20.25" customHeight="1" x14ac:dyDescent="0.3">
      <c r="A1283" s="90" t="s">
        <v>1836</v>
      </c>
      <c r="B1283" s="84"/>
      <c r="C1283" s="7" t="s">
        <v>1895</v>
      </c>
      <c r="D1283" s="85" t="s">
        <v>182</v>
      </c>
      <c r="E1283" s="86" t="s">
        <v>106</v>
      </c>
      <c r="F1283" s="158">
        <v>6</v>
      </c>
      <c r="G1283" s="161">
        <v>5</v>
      </c>
      <c r="H1283" s="158" t="s">
        <v>1051</v>
      </c>
      <c r="I1283" s="158">
        <v>3</v>
      </c>
      <c r="J1283" s="158" t="s">
        <v>1982</v>
      </c>
      <c r="K1283" s="158" t="s">
        <v>1831</v>
      </c>
      <c r="L1283" s="158" t="s">
        <v>679</v>
      </c>
    </row>
    <row r="1284" spans="1:12" ht="20.25" customHeight="1" x14ac:dyDescent="0.3">
      <c r="A1284" s="90" t="s">
        <v>1884</v>
      </c>
      <c r="B1284" s="84"/>
      <c r="C1284" s="7" t="s">
        <v>1896</v>
      </c>
      <c r="D1284" s="85" t="s">
        <v>183</v>
      </c>
      <c r="E1284" s="86" t="s">
        <v>105</v>
      </c>
      <c r="F1284" s="158">
        <v>6</v>
      </c>
      <c r="G1284" s="161">
        <v>6</v>
      </c>
      <c r="H1284" s="158" t="s">
        <v>444</v>
      </c>
      <c r="I1284" s="158">
        <v>3</v>
      </c>
      <c r="J1284" s="158" t="s">
        <v>444</v>
      </c>
      <c r="K1284" s="158" t="s">
        <v>1831</v>
      </c>
      <c r="L1284" s="158" t="s">
        <v>546</v>
      </c>
    </row>
    <row r="1285" spans="1:12" ht="20.25" customHeight="1" x14ac:dyDescent="0.3">
      <c r="A1285" s="90" t="s">
        <v>1555</v>
      </c>
      <c r="B1285" s="84"/>
      <c r="C1285" s="7" t="s">
        <v>1554</v>
      </c>
      <c r="D1285" s="85" t="s">
        <v>184</v>
      </c>
      <c r="E1285" s="86" t="s">
        <v>105</v>
      </c>
      <c r="F1285" s="158" t="s">
        <v>1586</v>
      </c>
      <c r="G1285" s="161">
        <v>2</v>
      </c>
      <c r="H1285" s="158" t="s">
        <v>842</v>
      </c>
      <c r="I1285" s="158">
        <v>1</v>
      </c>
      <c r="J1285" s="158" t="s">
        <v>1903</v>
      </c>
      <c r="K1285" s="158" t="s">
        <v>1831</v>
      </c>
      <c r="L1285" s="158" t="s">
        <v>361</v>
      </c>
    </row>
    <row r="1286" spans="1:12" ht="20.25" customHeight="1" x14ac:dyDescent="0.3">
      <c r="A1286" s="90" t="s">
        <v>1555</v>
      </c>
      <c r="B1286" s="84"/>
      <c r="C1286" s="7" t="s">
        <v>1554</v>
      </c>
      <c r="D1286" s="85" t="s">
        <v>184</v>
      </c>
      <c r="E1286" s="86" t="s">
        <v>105</v>
      </c>
      <c r="F1286" s="158" t="s">
        <v>1586</v>
      </c>
      <c r="G1286" s="161">
        <v>3</v>
      </c>
      <c r="H1286" s="158" t="s">
        <v>842</v>
      </c>
      <c r="I1286" s="158">
        <v>2</v>
      </c>
      <c r="J1286" s="158" t="s">
        <v>1509</v>
      </c>
      <c r="K1286" s="158" t="s">
        <v>1831</v>
      </c>
      <c r="L1286" s="158" t="s">
        <v>361</v>
      </c>
    </row>
    <row r="1287" spans="1:12" ht="20.25" customHeight="1" x14ac:dyDescent="0.3">
      <c r="A1287" s="90" t="s">
        <v>1938</v>
      </c>
      <c r="B1287" s="84"/>
      <c r="C1287" s="7" t="s">
        <v>1966</v>
      </c>
      <c r="D1287" s="85" t="s">
        <v>182</v>
      </c>
      <c r="E1287" s="86" t="s">
        <v>106</v>
      </c>
      <c r="F1287" s="158">
        <v>6</v>
      </c>
      <c r="G1287" s="161">
        <v>3</v>
      </c>
      <c r="H1287" s="158" t="s">
        <v>443</v>
      </c>
      <c r="I1287" s="158">
        <v>2</v>
      </c>
      <c r="J1287" s="158" t="s">
        <v>841</v>
      </c>
      <c r="K1287" s="158" t="s">
        <v>1831</v>
      </c>
      <c r="L1287" s="158" t="s">
        <v>361</v>
      </c>
    </row>
    <row r="1288" spans="1:12" ht="20.25" customHeight="1" x14ac:dyDescent="0.3">
      <c r="A1288" s="90" t="s">
        <v>1555</v>
      </c>
      <c r="B1288" s="84"/>
      <c r="C1288" s="7" t="s">
        <v>1554</v>
      </c>
      <c r="D1288" s="85" t="s">
        <v>184</v>
      </c>
      <c r="E1288" s="86" t="s">
        <v>105</v>
      </c>
      <c r="F1288" s="158" t="s">
        <v>1586</v>
      </c>
      <c r="G1288" s="161">
        <v>4</v>
      </c>
      <c r="H1288" s="158" t="s">
        <v>842</v>
      </c>
      <c r="I1288" s="158">
        <v>2</v>
      </c>
      <c r="J1288" s="158" t="s">
        <v>1903</v>
      </c>
      <c r="K1288" s="158" t="s">
        <v>1831</v>
      </c>
      <c r="L1288" s="158" t="s">
        <v>361</v>
      </c>
    </row>
    <row r="1289" spans="1:12" ht="20.25" customHeight="1" x14ac:dyDescent="0.3">
      <c r="A1289" s="90" t="s">
        <v>1766</v>
      </c>
      <c r="B1289" s="84"/>
      <c r="C1289" s="7" t="s">
        <v>1942</v>
      </c>
      <c r="D1289" s="85" t="s">
        <v>182</v>
      </c>
      <c r="E1289" s="86" t="s">
        <v>106</v>
      </c>
      <c r="F1289" s="158">
        <v>6</v>
      </c>
      <c r="G1289" s="161">
        <v>4</v>
      </c>
      <c r="H1289" s="158" t="s">
        <v>443</v>
      </c>
      <c r="I1289" s="158">
        <v>2</v>
      </c>
      <c r="J1289" s="158" t="s">
        <v>444</v>
      </c>
      <c r="K1289" s="158" t="s">
        <v>1831</v>
      </c>
      <c r="L1289" s="158" t="s">
        <v>361</v>
      </c>
    </row>
    <row r="1290" spans="1:12" ht="20.25" customHeight="1" x14ac:dyDescent="0.3">
      <c r="A1290" s="90" t="s">
        <v>1555</v>
      </c>
      <c r="B1290" s="84"/>
      <c r="C1290" s="7" t="s">
        <v>1554</v>
      </c>
      <c r="D1290" s="85" t="s">
        <v>184</v>
      </c>
      <c r="E1290" s="86" t="s">
        <v>105</v>
      </c>
      <c r="F1290" s="158" t="s">
        <v>1586</v>
      </c>
      <c r="G1290" s="161">
        <v>5</v>
      </c>
      <c r="H1290" s="158" t="s">
        <v>842</v>
      </c>
      <c r="I1290" s="158">
        <v>3</v>
      </c>
      <c r="J1290" s="158" t="s">
        <v>1509</v>
      </c>
      <c r="K1290" s="158" t="s">
        <v>1831</v>
      </c>
      <c r="L1290" s="158" t="s">
        <v>361</v>
      </c>
    </row>
    <row r="1291" spans="1:12" ht="20.25" customHeight="1" x14ac:dyDescent="0.3">
      <c r="A1291" s="90" t="s">
        <v>1954</v>
      </c>
      <c r="B1291" s="84"/>
      <c r="C1291" s="7" t="s">
        <v>1953</v>
      </c>
      <c r="D1291" s="85" t="s">
        <v>182</v>
      </c>
      <c r="E1291" s="86" t="s">
        <v>106</v>
      </c>
      <c r="F1291" s="158">
        <v>6</v>
      </c>
      <c r="G1291" s="161">
        <v>5</v>
      </c>
      <c r="H1291" s="158" t="s">
        <v>443</v>
      </c>
      <c r="I1291" s="158">
        <v>3</v>
      </c>
      <c r="J1291" s="158" t="s">
        <v>841</v>
      </c>
      <c r="K1291" s="158" t="s">
        <v>1831</v>
      </c>
      <c r="L1291" s="158" t="s">
        <v>361</v>
      </c>
    </row>
    <row r="1292" spans="1:12" ht="20.25" customHeight="1" x14ac:dyDescent="0.3">
      <c r="A1292" s="90" t="s">
        <v>1555</v>
      </c>
      <c r="B1292" s="84"/>
      <c r="C1292" s="7" t="s">
        <v>1554</v>
      </c>
      <c r="D1292" s="85" t="s">
        <v>184</v>
      </c>
      <c r="E1292" s="86" t="s">
        <v>105</v>
      </c>
      <c r="F1292" s="158" t="s">
        <v>1586</v>
      </c>
      <c r="G1292" s="161">
        <v>6</v>
      </c>
      <c r="H1292" s="158" t="s">
        <v>842</v>
      </c>
      <c r="I1292" s="158">
        <v>3</v>
      </c>
      <c r="J1292" s="158" t="s">
        <v>1903</v>
      </c>
      <c r="K1292" s="158" t="s">
        <v>1831</v>
      </c>
      <c r="L1292" s="158" t="s">
        <v>361</v>
      </c>
    </row>
    <row r="1293" spans="1:12" ht="20.25" customHeight="1" x14ac:dyDescent="0.3">
      <c r="A1293" s="90" t="s">
        <v>1968</v>
      </c>
      <c r="B1293" s="84"/>
      <c r="C1293" s="7" t="s">
        <v>1967</v>
      </c>
      <c r="D1293" s="85" t="s">
        <v>182</v>
      </c>
      <c r="E1293" s="86" t="s">
        <v>106</v>
      </c>
      <c r="F1293" s="158">
        <v>16</v>
      </c>
      <c r="G1293" s="161">
        <v>6</v>
      </c>
      <c r="H1293" s="158" t="s">
        <v>842</v>
      </c>
      <c r="I1293" s="158">
        <v>3</v>
      </c>
      <c r="J1293" s="158" t="s">
        <v>1985</v>
      </c>
      <c r="K1293" s="158" t="s">
        <v>1831</v>
      </c>
      <c r="L1293" s="158" t="s">
        <v>361</v>
      </c>
    </row>
    <row r="1294" spans="1:12" ht="20.25" customHeight="1" x14ac:dyDescent="0.3">
      <c r="A1294" s="90" t="s">
        <v>1970</v>
      </c>
      <c r="B1294" s="84"/>
      <c r="C1294" s="7" t="s">
        <v>1969</v>
      </c>
      <c r="D1294" s="85" t="s">
        <v>182</v>
      </c>
      <c r="E1294" s="86" t="s">
        <v>106</v>
      </c>
      <c r="F1294" s="158">
        <v>2</v>
      </c>
      <c r="G1294" s="161">
        <v>6</v>
      </c>
      <c r="H1294" s="158" t="s">
        <v>444</v>
      </c>
      <c r="I1294" s="158">
        <v>3</v>
      </c>
      <c r="J1294" s="158" t="s">
        <v>1984</v>
      </c>
      <c r="K1294" s="158" t="s">
        <v>1831</v>
      </c>
      <c r="L1294" s="158" t="s">
        <v>361</v>
      </c>
    </row>
    <row r="1295" spans="1:12" ht="20.25" customHeight="1" x14ac:dyDescent="0.3">
      <c r="A1295" s="90" t="s">
        <v>1946</v>
      </c>
      <c r="B1295" s="84"/>
      <c r="C1295" s="7" t="s">
        <v>1945</v>
      </c>
      <c r="D1295" s="85" t="s">
        <v>182</v>
      </c>
      <c r="E1295" s="86" t="s">
        <v>106</v>
      </c>
      <c r="F1295" s="158">
        <v>6</v>
      </c>
      <c r="G1295" s="161">
        <v>6</v>
      </c>
      <c r="H1295" s="158" t="s">
        <v>443</v>
      </c>
      <c r="I1295" s="158">
        <v>3</v>
      </c>
      <c r="J1295" s="158" t="s">
        <v>1986</v>
      </c>
      <c r="K1295" s="158" t="s">
        <v>1831</v>
      </c>
      <c r="L1295" s="158" t="s">
        <v>361</v>
      </c>
    </row>
    <row r="1296" spans="1:12" ht="20.25" customHeight="1" x14ac:dyDescent="0.3">
      <c r="A1296" s="90" t="s">
        <v>1972</v>
      </c>
      <c r="B1296" s="84"/>
      <c r="C1296" s="7" t="s">
        <v>1971</v>
      </c>
      <c r="D1296" s="85" t="s">
        <v>183</v>
      </c>
      <c r="E1296" s="86" t="s">
        <v>106</v>
      </c>
      <c r="F1296" s="158">
        <v>6</v>
      </c>
      <c r="G1296" s="161">
        <v>6</v>
      </c>
      <c r="H1296" s="158" t="s">
        <v>443</v>
      </c>
      <c r="I1296" s="158">
        <v>3</v>
      </c>
      <c r="J1296" s="158" t="s">
        <v>841</v>
      </c>
      <c r="K1296" s="158" t="s">
        <v>1831</v>
      </c>
      <c r="L1296" s="158" t="s">
        <v>361</v>
      </c>
    </row>
    <row r="1297" spans="1:12" ht="20.25" customHeight="1" x14ac:dyDescent="0.3">
      <c r="A1297" s="90" t="s">
        <v>1104</v>
      </c>
      <c r="B1297" s="84"/>
      <c r="C1297" s="7" t="s">
        <v>1974</v>
      </c>
      <c r="D1297" s="85" t="s">
        <v>182</v>
      </c>
      <c r="E1297" s="86" t="s">
        <v>106</v>
      </c>
      <c r="F1297" s="158">
        <v>2</v>
      </c>
      <c r="G1297" s="161">
        <v>5</v>
      </c>
      <c r="H1297" s="158">
        <v>1</v>
      </c>
      <c r="I1297" s="158">
        <v>3</v>
      </c>
      <c r="J1297" s="158">
        <v>3</v>
      </c>
      <c r="K1297" s="158" t="s">
        <v>1831</v>
      </c>
      <c r="L1297" s="158">
        <v>2014</v>
      </c>
    </row>
    <row r="1298" spans="1:12" ht="20.25" customHeight="1" x14ac:dyDescent="0.3">
      <c r="A1298" s="90" t="s">
        <v>1946</v>
      </c>
      <c r="B1298" s="84"/>
      <c r="C1298" s="7" t="s">
        <v>1975</v>
      </c>
      <c r="D1298" s="85" t="s">
        <v>182</v>
      </c>
      <c r="E1298" s="86" t="s">
        <v>106</v>
      </c>
      <c r="F1298" s="158">
        <v>4</v>
      </c>
      <c r="G1298" s="161">
        <v>5</v>
      </c>
      <c r="H1298" s="158">
        <v>1</v>
      </c>
      <c r="I1298" s="158">
        <v>3</v>
      </c>
      <c r="J1298" s="158">
        <v>1</v>
      </c>
      <c r="K1298" s="158" t="s">
        <v>1831</v>
      </c>
      <c r="L1298" s="158">
        <v>2014</v>
      </c>
    </row>
    <row r="1299" spans="1:12" ht="20.25" customHeight="1" x14ac:dyDescent="0.3">
      <c r="A1299" s="90" t="s">
        <v>398</v>
      </c>
      <c r="B1299" s="84"/>
      <c r="C1299" s="7" t="s">
        <v>397</v>
      </c>
      <c r="D1299" s="85" t="s">
        <v>1988</v>
      </c>
      <c r="E1299" s="86" t="s">
        <v>110</v>
      </c>
      <c r="F1299" s="158">
        <v>6</v>
      </c>
      <c r="G1299" s="161">
        <v>7</v>
      </c>
      <c r="H1299" s="158" t="s">
        <v>842</v>
      </c>
      <c r="I1299" s="158">
        <v>4</v>
      </c>
      <c r="J1299" s="158" t="s">
        <v>1189</v>
      </c>
      <c r="K1299" s="158" t="s">
        <v>1987</v>
      </c>
      <c r="L1299" s="158" t="s">
        <v>361</v>
      </c>
    </row>
    <row r="1300" spans="1:12" ht="20.25" customHeight="1" x14ac:dyDescent="0.3">
      <c r="A1300" s="90" t="s">
        <v>384</v>
      </c>
      <c r="B1300" s="84"/>
      <c r="C1300" s="7" t="s">
        <v>383</v>
      </c>
      <c r="D1300" s="85" t="s">
        <v>1994</v>
      </c>
      <c r="E1300" s="86" t="s">
        <v>110</v>
      </c>
      <c r="F1300" s="158">
        <v>6</v>
      </c>
      <c r="G1300" s="161">
        <v>7</v>
      </c>
      <c r="H1300" s="158" t="s">
        <v>1017</v>
      </c>
      <c r="I1300" s="158">
        <v>4</v>
      </c>
      <c r="J1300" s="158" t="s">
        <v>1017</v>
      </c>
      <c r="K1300" s="158" t="s">
        <v>1987</v>
      </c>
      <c r="L1300" s="158" t="s">
        <v>361</v>
      </c>
    </row>
    <row r="1301" spans="1:12" ht="20.25" customHeight="1" x14ac:dyDescent="0.3">
      <c r="A1301" s="90" t="s">
        <v>1636</v>
      </c>
      <c r="B1301" s="84"/>
      <c r="C1301" s="7" t="s">
        <v>1635</v>
      </c>
      <c r="D1301" s="85" t="s">
        <v>1988</v>
      </c>
      <c r="E1301" s="86" t="s">
        <v>105</v>
      </c>
      <c r="F1301" s="158">
        <v>6</v>
      </c>
      <c r="G1301" s="161">
        <v>7</v>
      </c>
      <c r="H1301" s="158">
        <v>1</v>
      </c>
      <c r="I1301" s="158">
        <v>4</v>
      </c>
      <c r="J1301" s="158">
        <v>3</v>
      </c>
      <c r="K1301" s="158" t="s">
        <v>1987</v>
      </c>
      <c r="L1301" s="158">
        <v>2013</v>
      </c>
    </row>
    <row r="1302" spans="1:12" ht="20.25" customHeight="1" x14ac:dyDescent="0.3">
      <c r="A1302" s="90" t="s">
        <v>621</v>
      </c>
      <c r="B1302" s="84"/>
      <c r="C1302" s="7" t="s">
        <v>620</v>
      </c>
      <c r="D1302" s="85" t="s">
        <v>1995</v>
      </c>
      <c r="E1302" s="86" t="s">
        <v>110</v>
      </c>
      <c r="F1302" s="158">
        <v>6</v>
      </c>
      <c r="G1302" s="161">
        <v>7</v>
      </c>
      <c r="H1302" s="158" t="s">
        <v>1997</v>
      </c>
      <c r="I1302" s="158">
        <v>4</v>
      </c>
      <c r="J1302" s="158" t="s">
        <v>1998</v>
      </c>
      <c r="K1302" s="158" t="s">
        <v>1987</v>
      </c>
      <c r="L1302" s="158" t="s">
        <v>361</v>
      </c>
    </row>
    <row r="1303" spans="1:12" ht="20.25" customHeight="1" x14ac:dyDescent="0.3">
      <c r="A1303" s="90" t="s">
        <v>396</v>
      </c>
      <c r="B1303" s="84"/>
      <c r="C1303" s="7" t="s">
        <v>395</v>
      </c>
      <c r="D1303" s="85" t="s">
        <v>1994</v>
      </c>
      <c r="E1303" s="86" t="s">
        <v>110</v>
      </c>
      <c r="F1303" s="158">
        <v>6</v>
      </c>
      <c r="G1303" s="161">
        <v>7</v>
      </c>
      <c r="H1303" s="158" t="s">
        <v>1019</v>
      </c>
      <c r="I1303" s="158">
        <v>4</v>
      </c>
      <c r="J1303" s="158" t="s">
        <v>1017</v>
      </c>
      <c r="K1303" s="158" t="s">
        <v>1987</v>
      </c>
      <c r="L1303" s="158" t="s">
        <v>361</v>
      </c>
    </row>
    <row r="1304" spans="1:12" ht="20.25" customHeight="1" x14ac:dyDescent="0.3">
      <c r="A1304" s="90" t="s">
        <v>400</v>
      </c>
      <c r="B1304" s="84"/>
      <c r="C1304" s="7" t="s">
        <v>399</v>
      </c>
      <c r="D1304" s="85" t="s">
        <v>1988</v>
      </c>
      <c r="E1304" s="86" t="s">
        <v>110</v>
      </c>
      <c r="F1304" s="158">
        <v>6</v>
      </c>
      <c r="G1304" s="161">
        <v>7</v>
      </c>
      <c r="H1304" s="158" t="s">
        <v>443</v>
      </c>
      <c r="I1304" s="158">
        <v>4</v>
      </c>
      <c r="J1304" s="158" t="s">
        <v>839</v>
      </c>
      <c r="K1304" s="158" t="s">
        <v>1987</v>
      </c>
      <c r="L1304" s="158" t="s">
        <v>361</v>
      </c>
    </row>
    <row r="1305" spans="1:12" ht="20.25" customHeight="1" x14ac:dyDescent="0.3">
      <c r="A1305" s="90" t="s">
        <v>404</v>
      </c>
      <c r="B1305" s="84"/>
      <c r="C1305" s="7" t="s">
        <v>403</v>
      </c>
      <c r="D1305" s="85" t="s">
        <v>1988</v>
      </c>
      <c r="E1305" s="86" t="s">
        <v>110</v>
      </c>
      <c r="F1305" s="158">
        <v>6</v>
      </c>
      <c r="G1305" s="161">
        <v>7</v>
      </c>
      <c r="H1305" s="158" t="s">
        <v>443</v>
      </c>
      <c r="I1305" s="158">
        <v>4</v>
      </c>
      <c r="J1305" s="158" t="s">
        <v>443</v>
      </c>
      <c r="K1305" s="158" t="s">
        <v>1987</v>
      </c>
      <c r="L1305" s="158" t="s">
        <v>361</v>
      </c>
    </row>
    <row r="1306" spans="1:12" ht="20.25" customHeight="1" x14ac:dyDescent="0.3">
      <c r="A1306" s="90" t="s">
        <v>556</v>
      </c>
      <c r="B1306" s="84"/>
      <c r="C1306" s="7" t="s">
        <v>1675</v>
      </c>
      <c r="D1306" s="85" t="s">
        <v>1988</v>
      </c>
      <c r="E1306" s="86" t="s">
        <v>105</v>
      </c>
      <c r="F1306" s="158">
        <v>6</v>
      </c>
      <c r="G1306" s="161">
        <v>7</v>
      </c>
      <c r="H1306" s="158">
        <v>1</v>
      </c>
      <c r="I1306" s="158">
        <v>4</v>
      </c>
      <c r="J1306" s="158">
        <v>3</v>
      </c>
      <c r="K1306" s="158" t="s">
        <v>1987</v>
      </c>
      <c r="L1306" s="158">
        <v>2014</v>
      </c>
    </row>
    <row r="1307" spans="1:12" ht="20.25" customHeight="1" x14ac:dyDescent="0.3">
      <c r="A1307" s="90" t="s">
        <v>408</v>
      </c>
      <c r="B1307" s="84"/>
      <c r="C1307" s="7" t="s">
        <v>407</v>
      </c>
      <c r="D1307" s="85" t="s">
        <v>1988</v>
      </c>
      <c r="E1307" s="86" t="s">
        <v>110</v>
      </c>
      <c r="F1307" s="158">
        <v>6</v>
      </c>
      <c r="G1307" s="161">
        <v>8</v>
      </c>
      <c r="H1307" s="158">
        <v>1</v>
      </c>
      <c r="I1307" s="158">
        <v>4</v>
      </c>
      <c r="J1307" s="158">
        <v>3</v>
      </c>
      <c r="K1307" s="158" t="s">
        <v>1987</v>
      </c>
      <c r="L1307" s="158">
        <v>2014</v>
      </c>
    </row>
    <row r="1308" spans="1:12" ht="20.25" customHeight="1" x14ac:dyDescent="0.3">
      <c r="A1308" s="90" t="s">
        <v>414</v>
      </c>
      <c r="B1308" s="84"/>
      <c r="C1308" s="7" t="s">
        <v>413</v>
      </c>
      <c r="D1308" s="85" t="s">
        <v>1988</v>
      </c>
      <c r="E1308" s="86" t="s">
        <v>110</v>
      </c>
      <c r="F1308" s="158">
        <v>6</v>
      </c>
      <c r="G1308" s="161">
        <v>8</v>
      </c>
      <c r="H1308" s="158" t="s">
        <v>199</v>
      </c>
      <c r="I1308" s="158">
        <v>4</v>
      </c>
      <c r="J1308" s="158" t="s">
        <v>1055</v>
      </c>
      <c r="K1308" s="158" t="s">
        <v>1987</v>
      </c>
      <c r="L1308" s="158">
        <v>2014</v>
      </c>
    </row>
    <row r="1309" spans="1:12" ht="20.25" customHeight="1" x14ac:dyDescent="0.3">
      <c r="A1309" s="90" t="s">
        <v>1643</v>
      </c>
      <c r="B1309" s="84"/>
      <c r="C1309" s="7" t="s">
        <v>1642</v>
      </c>
      <c r="D1309" s="85" t="s">
        <v>1994</v>
      </c>
      <c r="E1309" s="86" t="s">
        <v>105</v>
      </c>
      <c r="F1309" s="158">
        <v>6</v>
      </c>
      <c r="G1309" s="161">
        <v>8</v>
      </c>
      <c r="H1309" s="158" t="s">
        <v>444</v>
      </c>
      <c r="I1309" s="158">
        <v>4</v>
      </c>
      <c r="J1309" s="158" t="s">
        <v>841</v>
      </c>
      <c r="K1309" s="158" t="s">
        <v>1987</v>
      </c>
      <c r="L1309" s="158">
        <v>2014</v>
      </c>
    </row>
    <row r="1310" spans="1:12" ht="20.25" customHeight="1" x14ac:dyDescent="0.3">
      <c r="A1310" s="90" t="s">
        <v>406</v>
      </c>
      <c r="B1310" s="84"/>
      <c r="C1310" s="7" t="s">
        <v>405</v>
      </c>
      <c r="D1310" s="85" t="s">
        <v>1994</v>
      </c>
      <c r="E1310" s="86" t="s">
        <v>110</v>
      </c>
      <c r="F1310" s="158">
        <v>6</v>
      </c>
      <c r="G1310" s="161">
        <v>8</v>
      </c>
      <c r="H1310" s="158" t="s">
        <v>444</v>
      </c>
      <c r="I1310" s="158">
        <v>4</v>
      </c>
      <c r="J1310" s="158" t="s">
        <v>443</v>
      </c>
      <c r="K1310" s="158" t="s">
        <v>1987</v>
      </c>
      <c r="L1310" s="158">
        <v>2014</v>
      </c>
    </row>
    <row r="1311" spans="1:12" ht="20.25" customHeight="1" x14ac:dyDescent="0.3">
      <c r="A1311" s="90" t="s">
        <v>410</v>
      </c>
      <c r="B1311" s="84"/>
      <c r="C1311" s="7" t="s">
        <v>409</v>
      </c>
      <c r="D1311" s="85" t="s">
        <v>1995</v>
      </c>
      <c r="E1311" s="86" t="s">
        <v>110</v>
      </c>
      <c r="F1311" s="158">
        <v>6</v>
      </c>
      <c r="G1311" s="161">
        <v>8</v>
      </c>
      <c r="H1311" s="158" t="s">
        <v>528</v>
      </c>
      <c r="I1311" s="158">
        <v>4</v>
      </c>
      <c r="J1311" s="158" t="s">
        <v>528</v>
      </c>
      <c r="K1311" s="158" t="s">
        <v>1987</v>
      </c>
      <c r="L1311" s="158">
        <v>2014</v>
      </c>
    </row>
    <row r="1312" spans="1:12" ht="20.25" customHeight="1" x14ac:dyDescent="0.3">
      <c r="A1312" s="90" t="s">
        <v>1412</v>
      </c>
      <c r="B1312" s="84"/>
      <c r="C1312" s="7" t="s">
        <v>1411</v>
      </c>
      <c r="D1312" s="85" t="s">
        <v>1988</v>
      </c>
      <c r="E1312" s="86" t="s">
        <v>110</v>
      </c>
      <c r="F1312" s="158">
        <v>12</v>
      </c>
      <c r="G1312" s="161">
        <v>8</v>
      </c>
      <c r="H1312" s="158" t="s">
        <v>199</v>
      </c>
      <c r="I1312" s="158">
        <v>4</v>
      </c>
      <c r="J1312" s="158" t="s">
        <v>222</v>
      </c>
      <c r="K1312" s="158" t="s">
        <v>1987</v>
      </c>
      <c r="L1312" s="158">
        <v>2014</v>
      </c>
    </row>
    <row r="1313" spans="1:12" ht="20.25" customHeight="1" x14ac:dyDescent="0.3">
      <c r="A1313" s="90" t="s">
        <v>1307</v>
      </c>
      <c r="B1313" s="84"/>
      <c r="C1313" s="7" t="s">
        <v>1306</v>
      </c>
      <c r="D1313" s="85" t="s">
        <v>1995</v>
      </c>
      <c r="E1313" s="86" t="s">
        <v>110</v>
      </c>
      <c r="F1313" s="158">
        <v>6</v>
      </c>
      <c r="G1313" s="161">
        <v>8</v>
      </c>
      <c r="H1313" s="158" t="s">
        <v>527</v>
      </c>
      <c r="I1313" s="158">
        <v>4</v>
      </c>
      <c r="J1313" s="158" t="s">
        <v>854</v>
      </c>
      <c r="K1313" s="158" t="s">
        <v>1987</v>
      </c>
      <c r="L1313" s="158">
        <v>2014</v>
      </c>
    </row>
    <row r="1314" spans="1:12" ht="20.25" customHeight="1" x14ac:dyDescent="0.3">
      <c r="A1314" s="90" t="s">
        <v>424</v>
      </c>
      <c r="B1314" s="84"/>
      <c r="C1314" s="7" t="s">
        <v>423</v>
      </c>
      <c r="D1314" s="85" t="s">
        <v>1988</v>
      </c>
      <c r="E1314" s="86" t="s">
        <v>110</v>
      </c>
      <c r="F1314" s="158">
        <v>6</v>
      </c>
      <c r="G1314" s="161">
        <v>8</v>
      </c>
      <c r="H1314" s="158">
        <v>2</v>
      </c>
      <c r="I1314" s="158">
        <v>4</v>
      </c>
      <c r="J1314" s="158">
        <v>4</v>
      </c>
      <c r="K1314" s="158" t="s">
        <v>1987</v>
      </c>
      <c r="L1314" s="158">
        <v>2014</v>
      </c>
    </row>
    <row r="1315" spans="1:12" ht="20.25" customHeight="1" x14ac:dyDescent="0.3">
      <c r="A1315" s="90" t="s">
        <v>1401</v>
      </c>
      <c r="B1315" s="84"/>
      <c r="C1315" s="7" t="s">
        <v>1400</v>
      </c>
      <c r="D1315" s="85" t="s">
        <v>1988</v>
      </c>
      <c r="E1315" s="86" t="s">
        <v>110</v>
      </c>
      <c r="F1315" s="158">
        <v>12</v>
      </c>
      <c r="G1315" s="161">
        <v>9</v>
      </c>
      <c r="H1315" s="158" t="s">
        <v>199</v>
      </c>
      <c r="I1315" s="158">
        <v>5</v>
      </c>
      <c r="J1315" s="158" t="s">
        <v>200</v>
      </c>
      <c r="K1315" s="158" t="s">
        <v>1987</v>
      </c>
      <c r="L1315" s="158">
        <v>2014</v>
      </c>
    </row>
    <row r="1316" spans="1:12" ht="20.25" customHeight="1" x14ac:dyDescent="0.3">
      <c r="A1316" s="90" t="s">
        <v>386</v>
      </c>
      <c r="B1316" s="84"/>
      <c r="C1316" s="7" t="s">
        <v>385</v>
      </c>
      <c r="D1316" s="85" t="s">
        <v>1988</v>
      </c>
      <c r="E1316" s="86" t="s">
        <v>110</v>
      </c>
      <c r="F1316" s="158">
        <v>6</v>
      </c>
      <c r="G1316" s="161">
        <v>9</v>
      </c>
      <c r="H1316" s="158" t="s">
        <v>199</v>
      </c>
      <c r="I1316" s="158">
        <v>5</v>
      </c>
      <c r="J1316" s="158" t="s">
        <v>1180</v>
      </c>
      <c r="K1316" s="158" t="s">
        <v>1987</v>
      </c>
      <c r="L1316" s="158">
        <v>2014</v>
      </c>
    </row>
    <row r="1317" spans="1:12" ht="20.25" customHeight="1" x14ac:dyDescent="0.3">
      <c r="A1317" s="90" t="s">
        <v>1311</v>
      </c>
      <c r="B1317" s="84"/>
      <c r="C1317" s="7" t="s">
        <v>1310</v>
      </c>
      <c r="D1317" s="85" t="s">
        <v>1995</v>
      </c>
      <c r="E1317" s="86" t="s">
        <v>110</v>
      </c>
      <c r="F1317" s="158">
        <v>6</v>
      </c>
      <c r="G1317" s="161">
        <v>9</v>
      </c>
      <c r="H1317" s="158" t="s">
        <v>528</v>
      </c>
      <c r="I1317" s="158">
        <v>5</v>
      </c>
      <c r="J1317" s="158" t="s">
        <v>528</v>
      </c>
      <c r="K1317" s="158" t="s">
        <v>1987</v>
      </c>
      <c r="L1317" s="158">
        <v>2014</v>
      </c>
    </row>
    <row r="1318" spans="1:12" ht="20.25" customHeight="1" x14ac:dyDescent="0.3">
      <c r="A1318" s="90" t="s">
        <v>1407</v>
      </c>
      <c r="B1318" s="84"/>
      <c r="C1318" s="7" t="s">
        <v>1406</v>
      </c>
      <c r="D1318" s="85" t="s">
        <v>1988</v>
      </c>
      <c r="E1318" s="86" t="s">
        <v>110</v>
      </c>
      <c r="F1318" s="158">
        <v>6</v>
      </c>
      <c r="G1318" s="161">
        <v>9</v>
      </c>
      <c r="H1318" s="158">
        <v>1</v>
      </c>
      <c r="I1318" s="158">
        <v>5</v>
      </c>
      <c r="J1318" s="158">
        <v>3</v>
      </c>
      <c r="K1318" s="158" t="s">
        <v>1987</v>
      </c>
      <c r="L1318" s="158">
        <v>2014</v>
      </c>
    </row>
    <row r="1319" spans="1:12" ht="20.25" customHeight="1" x14ac:dyDescent="0.3">
      <c r="A1319" s="90" t="s">
        <v>388</v>
      </c>
      <c r="B1319" s="84"/>
      <c r="C1319" s="7" t="s">
        <v>387</v>
      </c>
      <c r="D1319" s="85" t="s">
        <v>1988</v>
      </c>
      <c r="E1319" s="86" t="s">
        <v>110</v>
      </c>
      <c r="F1319" s="158">
        <v>6</v>
      </c>
      <c r="G1319" s="161">
        <v>9</v>
      </c>
      <c r="H1319" s="158">
        <v>1</v>
      </c>
      <c r="I1319" s="158">
        <v>5</v>
      </c>
      <c r="J1319" s="158">
        <v>4</v>
      </c>
      <c r="K1319" s="158" t="s">
        <v>1987</v>
      </c>
      <c r="L1319" s="158">
        <v>2014</v>
      </c>
    </row>
    <row r="1320" spans="1:12" ht="20.25" customHeight="1" x14ac:dyDescent="0.3">
      <c r="A1320" s="90" t="s">
        <v>394</v>
      </c>
      <c r="B1320" s="84"/>
      <c r="C1320" s="7" t="s">
        <v>393</v>
      </c>
      <c r="D1320" s="85" t="s">
        <v>1994</v>
      </c>
      <c r="E1320" s="86" t="s">
        <v>110</v>
      </c>
      <c r="F1320" s="158">
        <v>6</v>
      </c>
      <c r="G1320" s="161">
        <v>9</v>
      </c>
      <c r="H1320" s="158" t="s">
        <v>443</v>
      </c>
      <c r="I1320" s="158">
        <v>5</v>
      </c>
      <c r="J1320" s="158" t="s">
        <v>444</v>
      </c>
      <c r="K1320" s="158" t="s">
        <v>1987</v>
      </c>
      <c r="L1320" s="158">
        <v>2014</v>
      </c>
    </row>
    <row r="1321" spans="1:12" ht="20.25" customHeight="1" x14ac:dyDescent="0.3">
      <c r="A1321" s="90" t="s">
        <v>1403</v>
      </c>
      <c r="B1321" s="84"/>
      <c r="C1321" s="7" t="s">
        <v>1402</v>
      </c>
      <c r="D1321" s="85" t="s">
        <v>1988</v>
      </c>
      <c r="E1321" s="86" t="s">
        <v>110</v>
      </c>
      <c r="F1321" s="158">
        <v>6</v>
      </c>
      <c r="G1321" s="161">
        <v>9</v>
      </c>
      <c r="H1321" s="158">
        <v>2</v>
      </c>
      <c r="I1321" s="158">
        <v>5</v>
      </c>
      <c r="J1321" s="158">
        <v>2</v>
      </c>
      <c r="K1321" s="158" t="s">
        <v>1987</v>
      </c>
      <c r="L1321" s="158">
        <v>2014</v>
      </c>
    </row>
    <row r="1322" spans="1:12" ht="20.25" customHeight="1" x14ac:dyDescent="0.3">
      <c r="A1322" s="90" t="s">
        <v>1693</v>
      </c>
      <c r="B1322" s="84"/>
      <c r="C1322" s="7" t="s">
        <v>1692</v>
      </c>
      <c r="D1322" s="85" t="s">
        <v>1989</v>
      </c>
      <c r="E1322" s="86" t="s">
        <v>110</v>
      </c>
      <c r="F1322" s="158">
        <v>6</v>
      </c>
      <c r="G1322" s="161">
        <v>7</v>
      </c>
      <c r="H1322" s="158" t="s">
        <v>444</v>
      </c>
      <c r="I1322" s="158">
        <v>4</v>
      </c>
      <c r="J1322" s="158" t="s">
        <v>443</v>
      </c>
      <c r="K1322" s="158" t="s">
        <v>1987</v>
      </c>
      <c r="L1322" s="158" t="s">
        <v>361</v>
      </c>
    </row>
    <row r="1323" spans="1:12" ht="20.25" customHeight="1" x14ac:dyDescent="0.3">
      <c r="A1323" s="90" t="s">
        <v>1097</v>
      </c>
      <c r="B1323" s="84"/>
      <c r="C1323" s="7" t="s">
        <v>1096</v>
      </c>
      <c r="D1323" s="85" t="s">
        <v>1989</v>
      </c>
      <c r="E1323" s="86" t="s">
        <v>106</v>
      </c>
      <c r="F1323" s="158">
        <v>6</v>
      </c>
      <c r="G1323" s="161">
        <v>7</v>
      </c>
      <c r="H1323" s="158" t="s">
        <v>444</v>
      </c>
      <c r="I1323" s="158">
        <v>4</v>
      </c>
      <c r="J1323" s="158" t="s">
        <v>444</v>
      </c>
      <c r="K1323" s="158" t="s">
        <v>1987</v>
      </c>
      <c r="L1323" s="158" t="s">
        <v>361</v>
      </c>
    </row>
    <row r="1324" spans="1:12" ht="20.25" customHeight="1" x14ac:dyDescent="0.3">
      <c r="A1324" s="90" t="s">
        <v>1479</v>
      </c>
      <c r="B1324" s="84"/>
      <c r="C1324" s="7" t="s">
        <v>1478</v>
      </c>
      <c r="D1324" s="85" t="s">
        <v>1989</v>
      </c>
      <c r="E1324" s="86" t="s">
        <v>110</v>
      </c>
      <c r="F1324" s="158">
        <v>6</v>
      </c>
      <c r="G1324" s="161">
        <v>7</v>
      </c>
      <c r="H1324" s="158" t="s">
        <v>443</v>
      </c>
      <c r="I1324" s="158">
        <v>4</v>
      </c>
      <c r="J1324" s="158" t="s">
        <v>443</v>
      </c>
      <c r="K1324" s="158" t="s">
        <v>1987</v>
      </c>
      <c r="L1324" s="158" t="s">
        <v>361</v>
      </c>
    </row>
    <row r="1325" spans="1:12" ht="20.25" customHeight="1" x14ac:dyDescent="0.3">
      <c r="A1325" s="90" t="s">
        <v>1695</v>
      </c>
      <c r="B1325" s="84"/>
      <c r="C1325" s="7" t="s">
        <v>1694</v>
      </c>
      <c r="D1325" s="85" t="s">
        <v>1989</v>
      </c>
      <c r="E1325" s="86" t="s">
        <v>110</v>
      </c>
      <c r="F1325" s="158">
        <v>6</v>
      </c>
      <c r="G1325" s="161">
        <v>7</v>
      </c>
      <c r="H1325" s="158" t="s">
        <v>443</v>
      </c>
      <c r="I1325" s="158">
        <v>4</v>
      </c>
      <c r="J1325" s="158" t="s">
        <v>444</v>
      </c>
      <c r="K1325" s="158" t="s">
        <v>1987</v>
      </c>
      <c r="L1325" s="158" t="s">
        <v>361</v>
      </c>
    </row>
    <row r="1326" spans="1:12" ht="20.25" customHeight="1" x14ac:dyDescent="0.3">
      <c r="A1326" s="90" t="s">
        <v>593</v>
      </c>
      <c r="B1326" s="84"/>
      <c r="C1326" s="7" t="s">
        <v>592</v>
      </c>
      <c r="D1326" s="85" t="s">
        <v>1996</v>
      </c>
      <c r="E1326" s="86" t="s">
        <v>110</v>
      </c>
      <c r="F1326" s="158">
        <v>6</v>
      </c>
      <c r="G1326" s="161">
        <v>7</v>
      </c>
      <c r="H1326" s="158" t="s">
        <v>1019</v>
      </c>
      <c r="I1326" s="158">
        <v>4</v>
      </c>
      <c r="J1326" s="158" t="s">
        <v>1018</v>
      </c>
      <c r="K1326" s="158" t="s">
        <v>1987</v>
      </c>
      <c r="L1326" s="158" t="s">
        <v>361</v>
      </c>
    </row>
    <row r="1327" spans="1:12" ht="20.25" customHeight="1" x14ac:dyDescent="0.3">
      <c r="A1327" s="90" t="s">
        <v>1485</v>
      </c>
      <c r="B1327" s="84"/>
      <c r="C1327" s="7" t="s">
        <v>1484</v>
      </c>
      <c r="D1327" s="85" t="s">
        <v>1989</v>
      </c>
      <c r="E1327" s="86" t="s">
        <v>110</v>
      </c>
      <c r="F1327" s="158">
        <v>6</v>
      </c>
      <c r="G1327" s="161">
        <v>8</v>
      </c>
      <c r="H1327" s="158" t="s">
        <v>199</v>
      </c>
      <c r="I1327" s="158">
        <v>4</v>
      </c>
      <c r="J1327" s="158" t="s">
        <v>332</v>
      </c>
      <c r="K1327" s="158" t="s">
        <v>1987</v>
      </c>
      <c r="L1327" s="158">
        <v>2014</v>
      </c>
    </row>
    <row r="1328" spans="1:12" ht="20.25" customHeight="1" x14ac:dyDescent="0.3">
      <c r="A1328" s="90" t="s">
        <v>1487</v>
      </c>
      <c r="B1328" s="84"/>
      <c r="C1328" s="7" t="s">
        <v>1486</v>
      </c>
      <c r="D1328" s="85" t="s">
        <v>1989</v>
      </c>
      <c r="E1328" s="86" t="s">
        <v>110</v>
      </c>
      <c r="F1328" s="158">
        <v>6</v>
      </c>
      <c r="G1328" s="161">
        <v>8</v>
      </c>
      <c r="H1328" s="158">
        <v>1</v>
      </c>
      <c r="I1328" s="158">
        <v>4</v>
      </c>
      <c r="J1328" s="158">
        <v>3</v>
      </c>
      <c r="K1328" s="158" t="s">
        <v>1987</v>
      </c>
      <c r="L1328" s="158">
        <v>2014</v>
      </c>
    </row>
    <row r="1329" spans="1:12" ht="20.25" customHeight="1" x14ac:dyDescent="0.3">
      <c r="A1329" s="90" t="s">
        <v>601</v>
      </c>
      <c r="B1329" s="84"/>
      <c r="C1329" s="7" t="s">
        <v>600</v>
      </c>
      <c r="D1329" s="85" t="s">
        <v>1989</v>
      </c>
      <c r="E1329" s="86" t="s">
        <v>110</v>
      </c>
      <c r="F1329" s="158">
        <v>6</v>
      </c>
      <c r="G1329" s="161">
        <v>8</v>
      </c>
      <c r="H1329" s="158">
        <v>1</v>
      </c>
      <c r="I1329" s="158">
        <v>4</v>
      </c>
      <c r="J1329" s="158">
        <v>2</v>
      </c>
      <c r="K1329" s="158" t="s">
        <v>1987</v>
      </c>
      <c r="L1329" s="158">
        <v>2014</v>
      </c>
    </row>
    <row r="1330" spans="1:12" ht="20.25" customHeight="1" x14ac:dyDescent="0.3">
      <c r="A1330" s="90" t="s">
        <v>442</v>
      </c>
      <c r="B1330" s="84"/>
      <c r="C1330" s="7" t="s">
        <v>441</v>
      </c>
      <c r="D1330" s="85" t="s">
        <v>1996</v>
      </c>
      <c r="E1330" s="86" t="s">
        <v>110</v>
      </c>
      <c r="F1330" s="158">
        <v>6</v>
      </c>
      <c r="G1330" s="161">
        <v>8</v>
      </c>
      <c r="H1330" s="158" t="s">
        <v>443</v>
      </c>
      <c r="I1330" s="158">
        <v>4</v>
      </c>
      <c r="J1330" s="158" t="s">
        <v>444</v>
      </c>
      <c r="K1330" s="158" t="s">
        <v>1987</v>
      </c>
      <c r="L1330" s="158">
        <v>2014</v>
      </c>
    </row>
    <row r="1331" spans="1:12" ht="20.25" customHeight="1" x14ac:dyDescent="0.3">
      <c r="A1331" s="90" t="s">
        <v>271</v>
      </c>
      <c r="B1331" s="84"/>
      <c r="C1331" s="7" t="s">
        <v>270</v>
      </c>
      <c r="D1331" s="85" t="s">
        <v>1989</v>
      </c>
      <c r="E1331" s="86" t="s">
        <v>105</v>
      </c>
      <c r="F1331" s="158">
        <v>6</v>
      </c>
      <c r="G1331" s="161">
        <v>8</v>
      </c>
      <c r="H1331" s="158">
        <v>2</v>
      </c>
      <c r="I1331" s="158">
        <v>4</v>
      </c>
      <c r="J1331" s="158">
        <v>2</v>
      </c>
      <c r="K1331" s="158" t="s">
        <v>1987</v>
      </c>
      <c r="L1331" s="158">
        <v>2014</v>
      </c>
    </row>
    <row r="1332" spans="1:12" ht="20.25" customHeight="1" x14ac:dyDescent="0.3">
      <c r="A1332" s="90" t="s">
        <v>1506</v>
      </c>
      <c r="B1332" s="84"/>
      <c r="C1332" s="7" t="s">
        <v>1505</v>
      </c>
      <c r="D1332" s="85" t="s">
        <v>1989</v>
      </c>
      <c r="E1332" s="86" t="s">
        <v>110</v>
      </c>
      <c r="F1332" s="158">
        <v>6</v>
      </c>
      <c r="G1332" s="161">
        <v>8</v>
      </c>
      <c r="H1332" s="158">
        <v>2</v>
      </c>
      <c r="I1332" s="158">
        <v>4</v>
      </c>
      <c r="J1332" s="158">
        <v>4</v>
      </c>
      <c r="K1332" s="158" t="s">
        <v>1987</v>
      </c>
      <c r="L1332" s="158">
        <v>2014</v>
      </c>
    </row>
    <row r="1333" spans="1:12" ht="20.25" customHeight="1" x14ac:dyDescent="0.3">
      <c r="A1333" s="90" t="s">
        <v>1309</v>
      </c>
      <c r="B1333" s="84"/>
      <c r="C1333" s="7" t="s">
        <v>1308</v>
      </c>
      <c r="D1333" s="85" t="s">
        <v>1996</v>
      </c>
      <c r="E1333" s="86" t="s">
        <v>110</v>
      </c>
      <c r="F1333" s="158">
        <v>12</v>
      </c>
      <c r="G1333" s="161">
        <v>9</v>
      </c>
      <c r="H1333" s="158" t="s">
        <v>842</v>
      </c>
      <c r="I1333" s="158">
        <v>5</v>
      </c>
      <c r="J1333" s="158" t="s">
        <v>446</v>
      </c>
      <c r="K1333" s="158" t="s">
        <v>1987</v>
      </c>
      <c r="L1333" s="158">
        <v>2014</v>
      </c>
    </row>
    <row r="1334" spans="1:12" ht="20.25" customHeight="1" x14ac:dyDescent="0.3">
      <c r="A1334" s="90" t="s">
        <v>1497</v>
      </c>
      <c r="B1334" s="84"/>
      <c r="C1334" s="7" t="s">
        <v>1496</v>
      </c>
      <c r="D1334" s="85" t="s">
        <v>1989</v>
      </c>
      <c r="E1334" s="86" t="s">
        <v>110</v>
      </c>
      <c r="F1334" s="158">
        <v>12</v>
      </c>
      <c r="G1334" s="161">
        <v>9</v>
      </c>
      <c r="H1334" s="158" t="s">
        <v>199</v>
      </c>
      <c r="I1334" s="158">
        <v>5</v>
      </c>
      <c r="J1334" s="158" t="s">
        <v>200</v>
      </c>
      <c r="K1334" s="158" t="s">
        <v>1987</v>
      </c>
      <c r="L1334" s="158">
        <v>2014</v>
      </c>
    </row>
    <row r="1335" spans="1:12" ht="20.25" customHeight="1" x14ac:dyDescent="0.3">
      <c r="A1335" s="90" t="s">
        <v>1477</v>
      </c>
      <c r="B1335" s="84"/>
      <c r="C1335" s="7" t="s">
        <v>1476</v>
      </c>
      <c r="D1335" s="85" t="s">
        <v>1989</v>
      </c>
      <c r="E1335" s="86" t="s">
        <v>106</v>
      </c>
      <c r="F1335" s="158">
        <v>6</v>
      </c>
      <c r="G1335" s="161">
        <v>9</v>
      </c>
      <c r="H1335" s="158">
        <v>1</v>
      </c>
      <c r="I1335" s="158">
        <v>5</v>
      </c>
      <c r="J1335" s="158">
        <v>3</v>
      </c>
      <c r="K1335" s="158" t="s">
        <v>1987</v>
      </c>
      <c r="L1335" s="158">
        <v>2014</v>
      </c>
    </row>
    <row r="1336" spans="1:12" ht="20.25" customHeight="1" x14ac:dyDescent="0.3">
      <c r="A1336" s="90" t="s">
        <v>1993</v>
      </c>
      <c r="B1336" s="84"/>
      <c r="C1336" s="7" t="s">
        <v>1992</v>
      </c>
      <c r="D1336" s="85" t="s">
        <v>1989</v>
      </c>
      <c r="E1336" s="86" t="s">
        <v>110</v>
      </c>
      <c r="F1336" s="158">
        <v>6</v>
      </c>
      <c r="G1336" s="161">
        <v>9</v>
      </c>
      <c r="H1336" s="158">
        <v>2</v>
      </c>
      <c r="I1336" s="158">
        <v>5</v>
      </c>
      <c r="J1336" s="158"/>
      <c r="K1336" s="158" t="s">
        <v>1987</v>
      </c>
      <c r="L1336" s="158">
        <v>2014</v>
      </c>
    </row>
    <row r="1337" spans="1:12" ht="20.25" customHeight="1" x14ac:dyDescent="0.3">
      <c r="A1337" s="90" t="s">
        <v>386</v>
      </c>
      <c r="B1337" s="84"/>
      <c r="C1337" s="7" t="s">
        <v>385</v>
      </c>
      <c r="D1337" s="85" t="s">
        <v>1990</v>
      </c>
      <c r="E1337" s="86" t="s">
        <v>110</v>
      </c>
      <c r="F1337" s="158">
        <v>6</v>
      </c>
      <c r="G1337" s="161">
        <v>7</v>
      </c>
      <c r="H1337" s="158" t="s">
        <v>842</v>
      </c>
      <c r="I1337" s="158">
        <v>4</v>
      </c>
      <c r="J1337" s="158" t="s">
        <v>1189</v>
      </c>
      <c r="K1337" s="158" t="s">
        <v>1987</v>
      </c>
      <c r="L1337" s="158" t="s">
        <v>361</v>
      </c>
    </row>
    <row r="1338" spans="1:12" ht="20.25" customHeight="1" x14ac:dyDescent="0.3">
      <c r="A1338" s="90" t="s">
        <v>1805</v>
      </c>
      <c r="B1338" s="84"/>
      <c r="C1338" s="7" t="s">
        <v>1804</v>
      </c>
      <c r="D1338" s="85" t="s">
        <v>1990</v>
      </c>
      <c r="E1338" s="86" t="s">
        <v>106</v>
      </c>
      <c r="F1338" s="158">
        <v>6</v>
      </c>
      <c r="G1338" s="161">
        <v>8</v>
      </c>
      <c r="H1338" s="158">
        <v>2</v>
      </c>
      <c r="I1338" s="158">
        <v>4</v>
      </c>
      <c r="J1338" s="158">
        <v>4</v>
      </c>
      <c r="K1338" s="158" t="s">
        <v>1987</v>
      </c>
      <c r="L1338" s="158">
        <v>2014</v>
      </c>
    </row>
    <row r="1339" spans="1:12" ht="20.25" customHeight="1" x14ac:dyDescent="0.3">
      <c r="A1339" s="90" t="s">
        <v>398</v>
      </c>
      <c r="B1339" s="84"/>
      <c r="C1339" s="7" t="s">
        <v>397</v>
      </c>
      <c r="D1339" s="85" t="s">
        <v>1990</v>
      </c>
      <c r="E1339" s="86" t="s">
        <v>110</v>
      </c>
      <c r="F1339" s="158">
        <v>6</v>
      </c>
      <c r="G1339" s="161">
        <v>9</v>
      </c>
      <c r="H1339" s="158" t="s">
        <v>199</v>
      </c>
      <c r="I1339" s="158">
        <v>5</v>
      </c>
      <c r="J1339" s="158" t="s">
        <v>1180</v>
      </c>
      <c r="K1339" s="158" t="s">
        <v>1987</v>
      </c>
      <c r="L1339" s="158">
        <v>2014</v>
      </c>
    </row>
    <row r="1340" spans="1:12" ht="20.25" customHeight="1" x14ac:dyDescent="0.3">
      <c r="A1340" s="90" t="s">
        <v>1133</v>
      </c>
      <c r="B1340" s="84"/>
      <c r="C1340" s="7" t="s">
        <v>1132</v>
      </c>
      <c r="D1340" s="85" t="s">
        <v>183</v>
      </c>
      <c r="E1340" s="86" t="s">
        <v>105</v>
      </c>
      <c r="F1340" s="158">
        <v>6</v>
      </c>
      <c r="G1340" s="161">
        <v>7</v>
      </c>
      <c r="H1340" s="158" t="s">
        <v>443</v>
      </c>
      <c r="I1340" s="158">
        <v>4</v>
      </c>
      <c r="J1340" s="158" t="s">
        <v>443</v>
      </c>
      <c r="K1340" s="158" t="s">
        <v>1987</v>
      </c>
      <c r="L1340" s="158" t="s">
        <v>361</v>
      </c>
    </row>
    <row r="1341" spans="1:12" ht="20.25" customHeight="1" x14ac:dyDescent="0.3">
      <c r="A1341" s="90" t="s">
        <v>1067</v>
      </c>
      <c r="B1341" s="84"/>
      <c r="C1341" s="7" t="s">
        <v>1066</v>
      </c>
      <c r="D1341" s="85" t="s">
        <v>183</v>
      </c>
      <c r="E1341" s="86" t="s">
        <v>106</v>
      </c>
      <c r="F1341" s="158">
        <v>6</v>
      </c>
      <c r="G1341" s="161">
        <v>7</v>
      </c>
      <c r="H1341" s="158">
        <v>2</v>
      </c>
      <c r="I1341" s="158">
        <v>4</v>
      </c>
      <c r="J1341" s="158">
        <v>2</v>
      </c>
      <c r="K1341" s="158" t="s">
        <v>1987</v>
      </c>
      <c r="L1341" s="158">
        <v>2013</v>
      </c>
    </row>
    <row r="1342" spans="1:12" ht="20.25" customHeight="1" x14ac:dyDescent="0.3">
      <c r="A1342" s="90" t="s">
        <v>1069</v>
      </c>
      <c r="B1342" s="84"/>
      <c r="C1342" s="7" t="s">
        <v>1077</v>
      </c>
      <c r="D1342" s="85" t="s">
        <v>183</v>
      </c>
      <c r="E1342" s="86" t="s">
        <v>105</v>
      </c>
      <c r="F1342" s="158">
        <v>6</v>
      </c>
      <c r="G1342" s="161">
        <v>7</v>
      </c>
      <c r="H1342" s="158" t="s">
        <v>443</v>
      </c>
      <c r="I1342" s="158">
        <v>4</v>
      </c>
      <c r="J1342" s="158" t="s">
        <v>841</v>
      </c>
      <c r="K1342" s="158" t="s">
        <v>1987</v>
      </c>
      <c r="L1342" s="158" t="s">
        <v>361</v>
      </c>
    </row>
    <row r="1343" spans="1:12" ht="20.25" customHeight="1" x14ac:dyDescent="0.3">
      <c r="A1343" s="90" t="s">
        <v>48</v>
      </c>
      <c r="B1343" s="84"/>
      <c r="C1343" s="7" t="s">
        <v>237</v>
      </c>
      <c r="D1343" s="85" t="s">
        <v>183</v>
      </c>
      <c r="E1343" s="86" t="s">
        <v>105</v>
      </c>
      <c r="F1343" s="158">
        <v>6</v>
      </c>
      <c r="G1343" s="161">
        <v>7</v>
      </c>
      <c r="H1343" s="158" t="s">
        <v>443</v>
      </c>
      <c r="I1343" s="158">
        <v>4</v>
      </c>
      <c r="J1343" s="158" t="s">
        <v>841</v>
      </c>
      <c r="K1343" s="158" t="s">
        <v>1987</v>
      </c>
      <c r="L1343" s="158" t="s">
        <v>361</v>
      </c>
    </row>
    <row r="1344" spans="1:12" ht="20.25" customHeight="1" x14ac:dyDescent="0.3">
      <c r="A1344" s="90" t="s">
        <v>1695</v>
      </c>
      <c r="B1344" s="84"/>
      <c r="C1344" s="7" t="s">
        <v>1694</v>
      </c>
      <c r="D1344" s="85" t="s">
        <v>183</v>
      </c>
      <c r="E1344" s="86" t="s">
        <v>110</v>
      </c>
      <c r="F1344" s="158">
        <v>6</v>
      </c>
      <c r="G1344" s="161">
        <v>9</v>
      </c>
      <c r="H1344" s="158" t="s">
        <v>443</v>
      </c>
      <c r="I1344" s="158">
        <v>5</v>
      </c>
      <c r="J1344" s="158" t="s">
        <v>444</v>
      </c>
      <c r="K1344" s="158" t="s">
        <v>1987</v>
      </c>
      <c r="L1344" s="158" t="s">
        <v>361</v>
      </c>
    </row>
    <row r="1345" spans="1:12" ht="20.25" customHeight="1" x14ac:dyDescent="0.3">
      <c r="A1345" s="90" t="s">
        <v>277</v>
      </c>
      <c r="B1345" s="84"/>
      <c r="C1345" s="7" t="s">
        <v>276</v>
      </c>
      <c r="D1345" s="85" t="s">
        <v>183</v>
      </c>
      <c r="E1345" s="86" t="s">
        <v>106</v>
      </c>
      <c r="F1345" s="158">
        <v>6</v>
      </c>
      <c r="G1345" s="161">
        <v>8</v>
      </c>
      <c r="H1345" s="158" t="s">
        <v>199</v>
      </c>
      <c r="I1345" s="158">
        <v>4</v>
      </c>
      <c r="J1345" s="158" t="s">
        <v>200</v>
      </c>
      <c r="K1345" s="158" t="s">
        <v>1987</v>
      </c>
      <c r="L1345" s="158">
        <v>2014</v>
      </c>
    </row>
    <row r="1346" spans="1:12" ht="20.25" customHeight="1" x14ac:dyDescent="0.3">
      <c r="A1346" s="90" t="s">
        <v>815</v>
      </c>
      <c r="B1346" s="84"/>
      <c r="C1346" s="7" t="s">
        <v>814</v>
      </c>
      <c r="D1346" s="85" t="s">
        <v>183</v>
      </c>
      <c r="E1346" s="86" t="s">
        <v>105</v>
      </c>
      <c r="F1346" s="158">
        <v>6</v>
      </c>
      <c r="G1346" s="161">
        <v>8</v>
      </c>
      <c r="H1346" s="158">
        <v>1</v>
      </c>
      <c r="I1346" s="158">
        <v>4</v>
      </c>
      <c r="J1346" s="158">
        <v>1</v>
      </c>
      <c r="K1346" s="158" t="s">
        <v>1987</v>
      </c>
      <c r="L1346" s="158">
        <v>2014</v>
      </c>
    </row>
    <row r="1347" spans="1:12" ht="20.25" customHeight="1" x14ac:dyDescent="0.3">
      <c r="A1347" s="90" t="s">
        <v>284</v>
      </c>
      <c r="B1347" s="84"/>
      <c r="C1347" s="7" t="s">
        <v>283</v>
      </c>
      <c r="D1347" s="85" t="s">
        <v>183</v>
      </c>
      <c r="E1347" s="86" t="s">
        <v>105</v>
      </c>
      <c r="F1347" s="158">
        <v>6</v>
      </c>
      <c r="G1347" s="161">
        <v>8</v>
      </c>
      <c r="H1347" s="158" t="s">
        <v>199</v>
      </c>
      <c r="I1347" s="158">
        <v>4</v>
      </c>
      <c r="J1347" s="158" t="s">
        <v>200</v>
      </c>
      <c r="K1347" s="158" t="s">
        <v>1987</v>
      </c>
      <c r="L1347" s="158">
        <v>2014</v>
      </c>
    </row>
    <row r="1348" spans="1:12" ht="20.25" customHeight="1" x14ac:dyDescent="0.3">
      <c r="A1348" s="90" t="s">
        <v>819</v>
      </c>
      <c r="B1348" s="84"/>
      <c r="C1348" s="7" t="s">
        <v>818</v>
      </c>
      <c r="D1348" s="85" t="s">
        <v>183</v>
      </c>
      <c r="E1348" s="86" t="s">
        <v>105</v>
      </c>
      <c r="F1348" s="158">
        <v>6</v>
      </c>
      <c r="G1348" s="161">
        <v>8</v>
      </c>
      <c r="H1348" s="158">
        <v>1</v>
      </c>
      <c r="I1348" s="158">
        <v>4</v>
      </c>
      <c r="J1348" s="158">
        <v>4</v>
      </c>
      <c r="K1348" s="158" t="s">
        <v>1987</v>
      </c>
      <c r="L1348" s="158">
        <v>2014</v>
      </c>
    </row>
    <row r="1349" spans="1:12" ht="20.25" customHeight="1" x14ac:dyDescent="0.3">
      <c r="A1349" s="90" t="s">
        <v>1473</v>
      </c>
      <c r="B1349" s="84"/>
      <c r="C1349" s="7" t="s">
        <v>1472</v>
      </c>
      <c r="D1349" s="85" t="s">
        <v>183</v>
      </c>
      <c r="E1349" s="86" t="s">
        <v>110</v>
      </c>
      <c r="F1349" s="158">
        <v>6</v>
      </c>
      <c r="G1349" s="161">
        <v>9</v>
      </c>
      <c r="H1349" s="158" t="s">
        <v>199</v>
      </c>
      <c r="I1349" s="158">
        <v>5</v>
      </c>
      <c r="J1349" s="158" t="s">
        <v>332</v>
      </c>
      <c r="K1349" s="158" t="s">
        <v>1987</v>
      </c>
      <c r="L1349" s="158">
        <v>2014</v>
      </c>
    </row>
    <row r="1350" spans="1:12" ht="20.25" customHeight="1" x14ac:dyDescent="0.3">
      <c r="A1350" s="90" t="s">
        <v>1067</v>
      </c>
      <c r="B1350" s="84"/>
      <c r="C1350" s="7" t="s">
        <v>1066</v>
      </c>
      <c r="D1350" s="85" t="s">
        <v>183</v>
      </c>
      <c r="E1350" s="86" t="s">
        <v>106</v>
      </c>
      <c r="F1350" s="158">
        <v>6</v>
      </c>
      <c r="G1350" s="161">
        <v>9</v>
      </c>
      <c r="H1350" s="158">
        <v>2</v>
      </c>
      <c r="I1350" s="158">
        <v>5</v>
      </c>
      <c r="J1350" s="158">
        <v>2</v>
      </c>
      <c r="K1350" s="158" t="s">
        <v>1987</v>
      </c>
      <c r="L1350" s="158">
        <v>2014</v>
      </c>
    </row>
    <row r="1351" spans="1:12" ht="20.25" customHeight="1" x14ac:dyDescent="0.3">
      <c r="A1351" s="90" t="s">
        <v>404</v>
      </c>
      <c r="B1351" s="84"/>
      <c r="C1351" s="7" t="s">
        <v>403</v>
      </c>
      <c r="D1351" s="85" t="s">
        <v>183</v>
      </c>
      <c r="E1351" s="86" t="s">
        <v>110</v>
      </c>
      <c r="F1351" s="158">
        <v>6</v>
      </c>
      <c r="G1351" s="161">
        <v>9</v>
      </c>
      <c r="H1351" s="158">
        <v>2</v>
      </c>
      <c r="I1351" s="158">
        <v>5</v>
      </c>
      <c r="J1351" s="158">
        <v>2</v>
      </c>
      <c r="K1351" s="158" t="s">
        <v>1987</v>
      </c>
      <c r="L1351" s="158">
        <v>2014</v>
      </c>
    </row>
    <row r="1352" spans="1:12" ht="20.25" customHeight="1" x14ac:dyDescent="0.3">
      <c r="A1352" s="90" t="s">
        <v>129</v>
      </c>
      <c r="B1352" s="84"/>
      <c r="C1352" s="7" t="s">
        <v>128</v>
      </c>
      <c r="D1352" s="85" t="s">
        <v>182</v>
      </c>
      <c r="E1352" s="86" t="s">
        <v>105</v>
      </c>
      <c r="F1352" s="158">
        <v>6</v>
      </c>
      <c r="G1352" s="161">
        <v>1</v>
      </c>
      <c r="H1352" s="158" t="s">
        <v>1671</v>
      </c>
      <c r="I1352" s="158">
        <v>1</v>
      </c>
      <c r="J1352" s="158" t="s">
        <v>1672</v>
      </c>
      <c r="K1352" s="158" t="s">
        <v>1987</v>
      </c>
      <c r="L1352" s="158" t="s">
        <v>367</v>
      </c>
    </row>
    <row r="1353" spans="1:12" ht="20.25" customHeight="1" x14ac:dyDescent="0.3">
      <c r="A1353" s="90" t="s">
        <v>131</v>
      </c>
      <c r="B1353" s="84"/>
      <c r="C1353" s="7" t="s">
        <v>1618</v>
      </c>
      <c r="D1353" s="85" t="s">
        <v>182</v>
      </c>
      <c r="E1353" s="86" t="s">
        <v>105</v>
      </c>
      <c r="F1353" s="158">
        <v>8</v>
      </c>
      <c r="G1353" s="161">
        <v>1</v>
      </c>
      <c r="H1353" s="158" t="s">
        <v>864</v>
      </c>
      <c r="I1353" s="158">
        <v>1</v>
      </c>
      <c r="J1353" s="158" t="s">
        <v>1673</v>
      </c>
      <c r="K1353" s="158" t="s">
        <v>1987</v>
      </c>
      <c r="L1353" s="158" t="s">
        <v>367</v>
      </c>
    </row>
    <row r="1354" spans="1:12" ht="20.25" customHeight="1" x14ac:dyDescent="0.3">
      <c r="A1354" s="90" t="s">
        <v>2002</v>
      </c>
      <c r="B1354" s="84"/>
      <c r="C1354" s="7" t="s">
        <v>2001</v>
      </c>
      <c r="D1354" s="85" t="s">
        <v>182</v>
      </c>
      <c r="E1354" s="86" t="s">
        <v>105</v>
      </c>
      <c r="F1354" s="158">
        <v>4</v>
      </c>
      <c r="G1354" s="161">
        <v>1</v>
      </c>
      <c r="H1354" s="158">
        <v>1</v>
      </c>
      <c r="I1354" s="158">
        <v>1</v>
      </c>
      <c r="J1354" s="158">
        <v>2</v>
      </c>
      <c r="K1354" s="158" t="s">
        <v>1987</v>
      </c>
      <c r="L1354" s="158">
        <v>2010</v>
      </c>
    </row>
    <row r="1355" spans="1:12" ht="20.25" customHeight="1" x14ac:dyDescent="0.3">
      <c r="A1355" s="90" t="s">
        <v>1620</v>
      </c>
      <c r="B1355" s="84"/>
      <c r="C1355" s="7" t="s">
        <v>1619</v>
      </c>
      <c r="D1355" s="85" t="s">
        <v>182</v>
      </c>
      <c r="E1355" s="86" t="s">
        <v>105</v>
      </c>
      <c r="F1355" s="158">
        <v>6</v>
      </c>
      <c r="G1355" s="161">
        <v>1</v>
      </c>
      <c r="H1355" s="158" t="s">
        <v>864</v>
      </c>
      <c r="I1355" s="158">
        <v>1</v>
      </c>
      <c r="J1355" s="158" t="s">
        <v>2020</v>
      </c>
      <c r="K1355" s="158" t="s">
        <v>1987</v>
      </c>
      <c r="L1355" s="158" t="s">
        <v>367</v>
      </c>
    </row>
    <row r="1356" spans="1:12" ht="20.25" customHeight="1" x14ac:dyDescent="0.3">
      <c r="A1356" s="90" t="s">
        <v>135</v>
      </c>
      <c r="B1356" s="84"/>
      <c r="C1356" s="7" t="s">
        <v>134</v>
      </c>
      <c r="D1356" s="85" t="s">
        <v>182</v>
      </c>
      <c r="E1356" s="86" t="s">
        <v>105</v>
      </c>
      <c r="F1356" s="158">
        <v>6</v>
      </c>
      <c r="G1356" s="161">
        <v>1</v>
      </c>
      <c r="H1356" s="158" t="s">
        <v>542</v>
      </c>
      <c r="I1356" s="158">
        <v>1</v>
      </c>
      <c r="J1356" s="158" t="s">
        <v>542</v>
      </c>
      <c r="K1356" s="158" t="s">
        <v>1987</v>
      </c>
      <c r="L1356" s="158" t="s">
        <v>367</v>
      </c>
    </row>
    <row r="1357" spans="1:12" ht="20.25" customHeight="1" x14ac:dyDescent="0.3">
      <c r="A1357" s="90" t="s">
        <v>213</v>
      </c>
      <c r="B1357" s="84"/>
      <c r="C1357" s="7" t="s">
        <v>2003</v>
      </c>
      <c r="D1357" s="85" t="s">
        <v>182</v>
      </c>
      <c r="E1357" s="86" t="s">
        <v>105</v>
      </c>
      <c r="F1357" s="158">
        <v>4</v>
      </c>
      <c r="G1357" s="161">
        <v>1</v>
      </c>
      <c r="H1357" s="158" t="s">
        <v>534</v>
      </c>
      <c r="I1357" s="158">
        <v>1</v>
      </c>
      <c r="J1357" s="158" t="s">
        <v>863</v>
      </c>
      <c r="K1357" s="158" t="s">
        <v>1987</v>
      </c>
      <c r="L1357" s="158" t="s">
        <v>369</v>
      </c>
    </row>
    <row r="1358" spans="1:12" ht="20.25" customHeight="1" x14ac:dyDescent="0.3">
      <c r="A1358" s="90" t="s">
        <v>282</v>
      </c>
      <c r="B1358" s="84"/>
      <c r="C1358" s="7" t="s">
        <v>281</v>
      </c>
      <c r="D1358" s="85" t="s">
        <v>184</v>
      </c>
      <c r="E1358" s="86" t="s">
        <v>105</v>
      </c>
      <c r="F1358" s="158">
        <v>2</v>
      </c>
      <c r="G1358" s="161">
        <v>2</v>
      </c>
      <c r="H1358" s="158" t="s">
        <v>861</v>
      </c>
      <c r="I1358" s="158">
        <v>1</v>
      </c>
      <c r="J1358" s="158" t="s">
        <v>940</v>
      </c>
      <c r="K1358" s="158" t="s">
        <v>1987</v>
      </c>
      <c r="L1358" s="158" t="s">
        <v>369</v>
      </c>
    </row>
    <row r="1359" spans="1:12" ht="20.25" customHeight="1" x14ac:dyDescent="0.3">
      <c r="A1359" s="90" t="s">
        <v>137</v>
      </c>
      <c r="B1359" s="84"/>
      <c r="C1359" s="7" t="s">
        <v>136</v>
      </c>
      <c r="D1359" s="85" t="s">
        <v>182</v>
      </c>
      <c r="E1359" s="86" t="s">
        <v>105</v>
      </c>
      <c r="F1359" s="158">
        <v>6</v>
      </c>
      <c r="G1359" s="161">
        <v>2</v>
      </c>
      <c r="H1359" s="158" t="s">
        <v>534</v>
      </c>
      <c r="I1359" s="158">
        <v>1</v>
      </c>
      <c r="J1359" s="158" t="s">
        <v>534</v>
      </c>
      <c r="K1359" s="158" t="s">
        <v>1987</v>
      </c>
      <c r="L1359" s="158" t="s">
        <v>369</v>
      </c>
    </row>
    <row r="1360" spans="1:12" ht="20.25" customHeight="1" x14ac:dyDescent="0.3">
      <c r="A1360" s="90" t="s">
        <v>1627</v>
      </c>
      <c r="B1360" s="84"/>
      <c r="C1360" s="7" t="s">
        <v>1626</v>
      </c>
      <c r="D1360" s="85" t="s">
        <v>182</v>
      </c>
      <c r="E1360" s="86" t="s">
        <v>105</v>
      </c>
      <c r="F1360" s="158">
        <v>8</v>
      </c>
      <c r="G1360" s="161">
        <v>2</v>
      </c>
      <c r="H1360" s="158" t="s">
        <v>861</v>
      </c>
      <c r="I1360" s="158">
        <v>1</v>
      </c>
      <c r="J1360" s="158" t="s">
        <v>349</v>
      </c>
      <c r="K1360" s="158" t="s">
        <v>1987</v>
      </c>
      <c r="L1360" s="158" t="s">
        <v>369</v>
      </c>
    </row>
    <row r="1361" spans="1:12" ht="20.25" customHeight="1" x14ac:dyDescent="0.3">
      <c r="A1361" s="90" t="s">
        <v>1629</v>
      </c>
      <c r="B1361" s="84"/>
      <c r="C1361" s="7" t="s">
        <v>2004</v>
      </c>
      <c r="D1361" s="85" t="s">
        <v>182</v>
      </c>
      <c r="E1361" s="86" t="s">
        <v>105</v>
      </c>
      <c r="F1361" s="158">
        <v>8</v>
      </c>
      <c r="G1361" s="161">
        <v>2</v>
      </c>
      <c r="H1361" s="158" t="s">
        <v>861</v>
      </c>
      <c r="I1361" s="158">
        <v>1</v>
      </c>
      <c r="J1361" s="158" t="s">
        <v>350</v>
      </c>
      <c r="K1361" s="158" t="s">
        <v>1987</v>
      </c>
      <c r="L1361" s="158" t="s">
        <v>369</v>
      </c>
    </row>
    <row r="1362" spans="1:12" ht="20.25" customHeight="1" x14ac:dyDescent="0.3">
      <c r="A1362" s="90" t="s">
        <v>617</v>
      </c>
      <c r="B1362" s="84"/>
      <c r="C1362" s="7" t="s">
        <v>616</v>
      </c>
      <c r="D1362" s="85" t="s">
        <v>183</v>
      </c>
      <c r="E1362" s="86" t="s">
        <v>105</v>
      </c>
      <c r="F1362" s="158">
        <v>2</v>
      </c>
      <c r="G1362" s="161">
        <v>2</v>
      </c>
      <c r="H1362" s="158" t="s">
        <v>861</v>
      </c>
      <c r="I1362" s="158">
        <v>1</v>
      </c>
      <c r="J1362" s="158" t="s">
        <v>2021</v>
      </c>
      <c r="K1362" s="158" t="s">
        <v>1987</v>
      </c>
      <c r="L1362" s="158" t="s">
        <v>369</v>
      </c>
    </row>
    <row r="1363" spans="1:12" ht="20.25" customHeight="1" x14ac:dyDescent="0.3">
      <c r="A1363" s="90" t="s">
        <v>143</v>
      </c>
      <c r="B1363" s="84"/>
      <c r="C1363" s="7" t="s">
        <v>142</v>
      </c>
      <c r="D1363" s="85" t="s">
        <v>182</v>
      </c>
      <c r="E1363" s="86" t="s">
        <v>105</v>
      </c>
      <c r="F1363" s="158">
        <v>8</v>
      </c>
      <c r="G1363" s="161">
        <v>2</v>
      </c>
      <c r="H1363" s="158" t="s">
        <v>533</v>
      </c>
      <c r="I1363" s="158">
        <v>1</v>
      </c>
      <c r="J1363" s="158" t="s">
        <v>534</v>
      </c>
      <c r="K1363" s="158" t="s">
        <v>1987</v>
      </c>
      <c r="L1363" s="158" t="s">
        <v>369</v>
      </c>
    </row>
    <row r="1364" spans="1:12" ht="20.25" customHeight="1" x14ac:dyDescent="0.3">
      <c r="A1364" s="90" t="s">
        <v>777</v>
      </c>
      <c r="B1364" s="84"/>
      <c r="C1364" s="7" t="s">
        <v>776</v>
      </c>
      <c r="D1364" s="85" t="s">
        <v>182</v>
      </c>
      <c r="E1364" s="86" t="s">
        <v>105</v>
      </c>
      <c r="F1364" s="158">
        <v>4</v>
      </c>
      <c r="G1364" s="161">
        <v>3</v>
      </c>
      <c r="H1364" s="158" t="s">
        <v>534</v>
      </c>
      <c r="I1364" s="158">
        <v>2</v>
      </c>
      <c r="J1364" s="158" t="s">
        <v>534</v>
      </c>
      <c r="K1364" s="158" t="s">
        <v>1987</v>
      </c>
      <c r="L1364" s="158" t="s">
        <v>369</v>
      </c>
    </row>
    <row r="1365" spans="1:12" ht="20.25" customHeight="1" x14ac:dyDescent="0.3">
      <c r="A1365" s="90" t="s">
        <v>213</v>
      </c>
      <c r="B1365" s="84"/>
      <c r="C1365" s="7" t="s">
        <v>2005</v>
      </c>
      <c r="D1365" s="85" t="s">
        <v>182</v>
      </c>
      <c r="E1365" s="86" t="s">
        <v>106</v>
      </c>
      <c r="F1365" s="158">
        <v>6</v>
      </c>
      <c r="G1365" s="161">
        <v>3</v>
      </c>
      <c r="H1365" s="158">
        <v>1</v>
      </c>
      <c r="I1365" s="158">
        <v>2</v>
      </c>
      <c r="J1365" s="158">
        <v>3</v>
      </c>
      <c r="K1365" s="158" t="s">
        <v>1987</v>
      </c>
      <c r="L1365" s="158">
        <v>2011</v>
      </c>
    </row>
    <row r="1366" spans="1:12" ht="20.25" customHeight="1" x14ac:dyDescent="0.3">
      <c r="A1366" s="90" t="s">
        <v>1639</v>
      </c>
      <c r="B1366" s="84"/>
      <c r="C1366" s="7" t="s">
        <v>1638</v>
      </c>
      <c r="D1366" s="85" t="s">
        <v>182</v>
      </c>
      <c r="E1366" s="86" t="s">
        <v>105</v>
      </c>
      <c r="F1366" s="158">
        <v>8</v>
      </c>
      <c r="G1366" s="161">
        <v>3</v>
      </c>
      <c r="H1366" s="158" t="s">
        <v>861</v>
      </c>
      <c r="I1366" s="158">
        <v>2</v>
      </c>
      <c r="J1366" s="158" t="s">
        <v>1599</v>
      </c>
      <c r="K1366" s="158" t="s">
        <v>1987</v>
      </c>
      <c r="L1366" s="158" t="s">
        <v>369</v>
      </c>
    </row>
    <row r="1367" spans="1:12" ht="20.25" customHeight="1" x14ac:dyDescent="0.3">
      <c r="A1367" s="90" t="s">
        <v>1305</v>
      </c>
      <c r="B1367" s="84"/>
      <c r="C1367" s="7" t="s">
        <v>1304</v>
      </c>
      <c r="D1367" s="85" t="s">
        <v>182</v>
      </c>
      <c r="E1367" s="86" t="s">
        <v>106</v>
      </c>
      <c r="F1367" s="158">
        <v>6</v>
      </c>
      <c r="G1367" s="161">
        <v>3</v>
      </c>
      <c r="H1367" s="158" t="s">
        <v>533</v>
      </c>
      <c r="I1367" s="158">
        <v>2</v>
      </c>
      <c r="J1367" s="158" t="s">
        <v>533</v>
      </c>
      <c r="K1367" s="158" t="s">
        <v>1987</v>
      </c>
      <c r="L1367" s="158" t="s">
        <v>369</v>
      </c>
    </row>
    <row r="1368" spans="1:12" ht="20.25" customHeight="1" x14ac:dyDescent="0.3">
      <c r="A1368" s="90" t="s">
        <v>1764</v>
      </c>
      <c r="B1368" s="84"/>
      <c r="C1368" s="7" t="s">
        <v>1763</v>
      </c>
      <c r="D1368" s="85" t="s">
        <v>182</v>
      </c>
      <c r="E1368" s="86" t="s">
        <v>105</v>
      </c>
      <c r="F1368" s="158">
        <v>6</v>
      </c>
      <c r="G1368" s="161">
        <v>3</v>
      </c>
      <c r="H1368" s="158" t="s">
        <v>527</v>
      </c>
      <c r="I1368" s="158">
        <v>2</v>
      </c>
      <c r="J1368" s="158" t="s">
        <v>850</v>
      </c>
      <c r="K1368" s="158" t="s">
        <v>1987</v>
      </c>
      <c r="L1368" s="158" t="s">
        <v>356</v>
      </c>
    </row>
    <row r="1369" spans="1:12" ht="20.25" customHeight="1" x14ac:dyDescent="0.3">
      <c r="A1369" s="90" t="s">
        <v>81</v>
      </c>
      <c r="B1369" s="84"/>
      <c r="C1369" s="7" t="s">
        <v>2006</v>
      </c>
      <c r="D1369" s="85" t="s">
        <v>182</v>
      </c>
      <c r="E1369" s="86" t="s">
        <v>105</v>
      </c>
      <c r="F1369" s="158">
        <v>6</v>
      </c>
      <c r="G1369" s="161">
        <v>3</v>
      </c>
      <c r="H1369" s="158" t="s">
        <v>1397</v>
      </c>
      <c r="I1369" s="158">
        <v>2</v>
      </c>
      <c r="J1369" s="158" t="s">
        <v>1595</v>
      </c>
      <c r="K1369" s="158" t="s">
        <v>1987</v>
      </c>
      <c r="L1369" s="158" t="s">
        <v>679</v>
      </c>
    </row>
    <row r="1370" spans="1:12" ht="20.25" customHeight="1" x14ac:dyDescent="0.3">
      <c r="A1370" s="90" t="s">
        <v>2008</v>
      </c>
      <c r="B1370" s="84"/>
      <c r="C1370" s="7" t="s">
        <v>2007</v>
      </c>
      <c r="D1370" s="85" t="s">
        <v>182</v>
      </c>
      <c r="E1370" s="86" t="s">
        <v>106</v>
      </c>
      <c r="F1370" s="158">
        <v>6</v>
      </c>
      <c r="G1370" s="161">
        <v>4</v>
      </c>
      <c r="H1370" s="158">
        <v>1</v>
      </c>
      <c r="I1370" s="158">
        <v>2</v>
      </c>
      <c r="J1370" s="158">
        <v>3</v>
      </c>
      <c r="K1370" s="158" t="s">
        <v>1987</v>
      </c>
      <c r="L1370" s="158">
        <v>2012</v>
      </c>
    </row>
    <row r="1371" spans="1:12" ht="20.25" customHeight="1" x14ac:dyDescent="0.3">
      <c r="A1371" s="90" t="s">
        <v>640</v>
      </c>
      <c r="B1371" s="84"/>
      <c r="C1371" s="7" t="s">
        <v>639</v>
      </c>
      <c r="D1371" s="85" t="s">
        <v>182</v>
      </c>
      <c r="E1371" s="86" t="s">
        <v>106</v>
      </c>
      <c r="F1371" s="158">
        <v>6</v>
      </c>
      <c r="G1371" s="161">
        <v>4</v>
      </c>
      <c r="H1371" s="158" t="s">
        <v>528</v>
      </c>
      <c r="I1371" s="158">
        <v>2</v>
      </c>
      <c r="J1371" s="158" t="s">
        <v>850</v>
      </c>
      <c r="K1371" s="158" t="s">
        <v>1987</v>
      </c>
      <c r="L1371" s="158" t="s">
        <v>679</v>
      </c>
    </row>
    <row r="1372" spans="1:12" ht="20.25" customHeight="1" x14ac:dyDescent="0.3">
      <c r="A1372" s="90" t="s">
        <v>2010</v>
      </c>
      <c r="B1372" s="84"/>
      <c r="C1372" s="7" t="s">
        <v>2009</v>
      </c>
      <c r="D1372" s="85" t="s">
        <v>182</v>
      </c>
      <c r="E1372" s="86" t="s">
        <v>106</v>
      </c>
      <c r="F1372" s="158">
        <v>8</v>
      </c>
      <c r="G1372" s="161">
        <v>4</v>
      </c>
      <c r="H1372" s="158" t="s">
        <v>851</v>
      </c>
      <c r="I1372" s="158">
        <v>2</v>
      </c>
      <c r="J1372" s="158" t="s">
        <v>1667</v>
      </c>
      <c r="K1372" s="158" t="s">
        <v>1987</v>
      </c>
      <c r="L1372" s="158" t="s">
        <v>679</v>
      </c>
    </row>
    <row r="1373" spans="1:12" ht="20.25" customHeight="1" x14ac:dyDescent="0.3">
      <c r="A1373" s="90" t="s">
        <v>145</v>
      </c>
      <c r="B1373" s="84"/>
      <c r="C1373" s="7" t="s">
        <v>1637</v>
      </c>
      <c r="D1373" s="85" t="s">
        <v>182</v>
      </c>
      <c r="E1373" s="86" t="s">
        <v>105</v>
      </c>
      <c r="F1373" s="158">
        <v>2</v>
      </c>
      <c r="G1373" s="161">
        <v>4</v>
      </c>
      <c r="H1373" s="158" t="s">
        <v>528</v>
      </c>
      <c r="I1373" s="158">
        <v>2</v>
      </c>
      <c r="J1373" s="158" t="s">
        <v>527</v>
      </c>
      <c r="K1373" s="158" t="s">
        <v>1987</v>
      </c>
      <c r="L1373" s="158" t="s">
        <v>679</v>
      </c>
    </row>
    <row r="1374" spans="1:12" ht="20.25" customHeight="1" x14ac:dyDescent="0.3">
      <c r="A1374" s="90" t="s">
        <v>1647</v>
      </c>
      <c r="B1374" s="84"/>
      <c r="C1374" s="7" t="s">
        <v>1646</v>
      </c>
      <c r="D1374" s="85" t="s">
        <v>182</v>
      </c>
      <c r="E1374" s="86" t="s">
        <v>105</v>
      </c>
      <c r="F1374" s="158">
        <v>4</v>
      </c>
      <c r="G1374" s="161">
        <v>4</v>
      </c>
      <c r="H1374" s="158" t="s">
        <v>527</v>
      </c>
      <c r="I1374" s="158">
        <v>2</v>
      </c>
      <c r="J1374" s="158" t="s">
        <v>850</v>
      </c>
      <c r="K1374" s="158" t="s">
        <v>1987</v>
      </c>
      <c r="L1374" s="158" t="s">
        <v>679</v>
      </c>
    </row>
    <row r="1375" spans="1:12" ht="20.25" customHeight="1" x14ac:dyDescent="0.3">
      <c r="A1375" s="90" t="s">
        <v>206</v>
      </c>
      <c r="B1375" s="84"/>
      <c r="C1375" s="7" t="s">
        <v>297</v>
      </c>
      <c r="D1375" s="85" t="s">
        <v>182</v>
      </c>
      <c r="E1375" s="86" t="s">
        <v>105</v>
      </c>
      <c r="F1375" s="158">
        <v>4</v>
      </c>
      <c r="G1375" s="161">
        <v>4</v>
      </c>
      <c r="H1375" s="158" t="s">
        <v>527</v>
      </c>
      <c r="I1375" s="158">
        <v>2</v>
      </c>
      <c r="J1375" s="158" t="s">
        <v>528</v>
      </c>
      <c r="K1375" s="158" t="s">
        <v>1987</v>
      </c>
      <c r="L1375" s="158" t="s">
        <v>679</v>
      </c>
    </row>
    <row r="1376" spans="1:12" ht="20.25" customHeight="1" x14ac:dyDescent="0.3">
      <c r="A1376" s="90" t="s">
        <v>288</v>
      </c>
      <c r="B1376" s="84"/>
      <c r="C1376" s="7" t="s">
        <v>287</v>
      </c>
      <c r="D1376" s="85" t="s">
        <v>183</v>
      </c>
      <c r="E1376" s="86" t="s">
        <v>106</v>
      </c>
      <c r="F1376" s="158">
        <v>6</v>
      </c>
      <c r="G1376" s="161">
        <v>4</v>
      </c>
      <c r="H1376" s="158" t="s">
        <v>527</v>
      </c>
      <c r="I1376" s="158">
        <v>2</v>
      </c>
      <c r="J1376" s="158" t="s">
        <v>924</v>
      </c>
      <c r="K1376" s="158" t="s">
        <v>1987</v>
      </c>
      <c r="L1376" s="158" t="s">
        <v>679</v>
      </c>
    </row>
    <row r="1377" spans="1:12" ht="20.25" customHeight="1" x14ac:dyDescent="0.3">
      <c r="A1377" s="90" t="s">
        <v>1652</v>
      </c>
      <c r="B1377" s="84"/>
      <c r="C1377" s="7" t="s">
        <v>1651</v>
      </c>
      <c r="D1377" s="85" t="s">
        <v>182</v>
      </c>
      <c r="E1377" s="86" t="s">
        <v>106</v>
      </c>
      <c r="F1377" s="158">
        <v>4</v>
      </c>
      <c r="G1377" s="161">
        <v>5</v>
      </c>
      <c r="H1377" s="158" t="s">
        <v>528</v>
      </c>
      <c r="I1377" s="158">
        <v>3</v>
      </c>
      <c r="J1377" s="158" t="s">
        <v>850</v>
      </c>
      <c r="K1377" s="158" t="s">
        <v>1987</v>
      </c>
      <c r="L1377" s="158" t="s">
        <v>679</v>
      </c>
    </row>
    <row r="1378" spans="1:12" ht="20.25" customHeight="1" x14ac:dyDescent="0.3">
      <c r="A1378" s="90" t="s">
        <v>1656</v>
      </c>
      <c r="B1378" s="84"/>
      <c r="C1378" s="7" t="s">
        <v>1655</v>
      </c>
      <c r="D1378" s="85" t="s">
        <v>182</v>
      </c>
      <c r="E1378" s="86" t="s">
        <v>106</v>
      </c>
      <c r="F1378" s="158">
        <v>8</v>
      </c>
      <c r="G1378" s="161">
        <v>5</v>
      </c>
      <c r="H1378" s="158" t="s">
        <v>851</v>
      </c>
      <c r="I1378" s="158">
        <v>3</v>
      </c>
      <c r="J1378" s="158" t="s">
        <v>346</v>
      </c>
      <c r="K1378" s="158" t="s">
        <v>1987</v>
      </c>
      <c r="L1378" s="158" t="s">
        <v>679</v>
      </c>
    </row>
    <row r="1379" spans="1:12" ht="20.25" customHeight="1" x14ac:dyDescent="0.3">
      <c r="A1379" s="90" t="s">
        <v>2012</v>
      </c>
      <c r="B1379" s="84"/>
      <c r="C1379" s="7" t="s">
        <v>2011</v>
      </c>
      <c r="D1379" s="85" t="s">
        <v>182</v>
      </c>
      <c r="E1379" s="86" t="s">
        <v>106</v>
      </c>
      <c r="F1379" s="158">
        <v>6</v>
      </c>
      <c r="G1379" s="161">
        <v>5</v>
      </c>
      <c r="H1379" s="158" t="s">
        <v>528</v>
      </c>
      <c r="I1379" s="158">
        <v>3</v>
      </c>
      <c r="J1379" s="158" t="s">
        <v>528</v>
      </c>
      <c r="K1379" s="158" t="s">
        <v>1987</v>
      </c>
      <c r="L1379" s="158" t="s">
        <v>679</v>
      </c>
    </row>
    <row r="1380" spans="1:12" ht="20.25" customHeight="1" x14ac:dyDescent="0.3">
      <c r="A1380" s="90" t="s">
        <v>1659</v>
      </c>
      <c r="B1380" s="84"/>
      <c r="C1380" s="7" t="s">
        <v>1658</v>
      </c>
      <c r="D1380" s="85" t="s">
        <v>182</v>
      </c>
      <c r="E1380" s="86" t="s">
        <v>106</v>
      </c>
      <c r="F1380" s="158">
        <v>6</v>
      </c>
      <c r="G1380" s="161">
        <v>5</v>
      </c>
      <c r="H1380" s="158">
        <v>2</v>
      </c>
      <c r="I1380" s="158">
        <v>3</v>
      </c>
      <c r="J1380" s="158">
        <v>1</v>
      </c>
      <c r="K1380" s="158" t="s">
        <v>1987</v>
      </c>
      <c r="L1380" s="158">
        <v>2012</v>
      </c>
    </row>
    <row r="1381" spans="1:12" ht="20.25" customHeight="1" x14ac:dyDescent="0.3">
      <c r="A1381" s="90" t="s">
        <v>209</v>
      </c>
      <c r="B1381" s="84"/>
      <c r="C1381" s="7" t="s">
        <v>208</v>
      </c>
      <c r="D1381" s="85" t="s">
        <v>182</v>
      </c>
      <c r="E1381" s="86" t="s">
        <v>106</v>
      </c>
      <c r="F1381" s="158">
        <v>6</v>
      </c>
      <c r="G1381" s="161">
        <v>5</v>
      </c>
      <c r="H1381" s="158" t="s">
        <v>527</v>
      </c>
      <c r="I1381" s="158">
        <v>3</v>
      </c>
      <c r="J1381" s="158" t="s">
        <v>854</v>
      </c>
      <c r="K1381" s="158" t="s">
        <v>1987</v>
      </c>
      <c r="L1381" s="158" t="s">
        <v>679</v>
      </c>
    </row>
    <row r="1382" spans="1:12" ht="20.25" customHeight="1" x14ac:dyDescent="0.3">
      <c r="A1382" s="90" t="s">
        <v>2008</v>
      </c>
      <c r="B1382" s="84"/>
      <c r="C1382" s="7" t="s">
        <v>2013</v>
      </c>
      <c r="D1382" s="85" t="s">
        <v>182</v>
      </c>
      <c r="E1382" s="86" t="s">
        <v>106</v>
      </c>
      <c r="F1382" s="158">
        <v>6</v>
      </c>
      <c r="G1382" s="161">
        <v>4</v>
      </c>
      <c r="H1382" s="158" t="s">
        <v>444</v>
      </c>
      <c r="I1382" s="158">
        <v>2</v>
      </c>
      <c r="J1382" s="158" t="s">
        <v>841</v>
      </c>
      <c r="K1382" s="158" t="s">
        <v>1987</v>
      </c>
      <c r="L1382" s="158" t="s">
        <v>361</v>
      </c>
    </row>
    <row r="1383" spans="1:12" ht="20.25" customHeight="1" x14ac:dyDescent="0.3">
      <c r="A1383" s="90" t="s">
        <v>299</v>
      </c>
      <c r="B1383" s="84"/>
      <c r="C1383" s="7" t="s">
        <v>298</v>
      </c>
      <c r="D1383" s="85" t="s">
        <v>183</v>
      </c>
      <c r="E1383" s="86" t="s">
        <v>105</v>
      </c>
      <c r="F1383" s="158">
        <v>6</v>
      </c>
      <c r="G1383" s="161">
        <v>5</v>
      </c>
      <c r="H1383" s="158" t="s">
        <v>199</v>
      </c>
      <c r="I1383" s="158">
        <v>3</v>
      </c>
      <c r="J1383" s="158" t="s">
        <v>1168</v>
      </c>
      <c r="K1383" s="158" t="s">
        <v>1987</v>
      </c>
      <c r="L1383" s="158">
        <v>2013</v>
      </c>
    </row>
    <row r="1384" spans="1:12" ht="20.25" customHeight="1" x14ac:dyDescent="0.3">
      <c r="A1384" s="90" t="s">
        <v>301</v>
      </c>
      <c r="B1384" s="84"/>
      <c r="C1384" s="7" t="s">
        <v>300</v>
      </c>
      <c r="D1384" s="85" t="s">
        <v>183</v>
      </c>
      <c r="E1384" s="86" t="s">
        <v>105</v>
      </c>
      <c r="F1384" s="158">
        <v>6</v>
      </c>
      <c r="G1384" s="161">
        <v>5</v>
      </c>
      <c r="H1384" s="158" t="s">
        <v>199</v>
      </c>
      <c r="I1384" s="158">
        <v>3</v>
      </c>
      <c r="J1384" s="158" t="s">
        <v>1168</v>
      </c>
      <c r="K1384" s="158" t="s">
        <v>1987</v>
      </c>
      <c r="L1384" s="158">
        <v>2013</v>
      </c>
    </row>
    <row r="1385" spans="1:12" ht="20.25" customHeight="1" x14ac:dyDescent="0.3">
      <c r="A1385" s="90" t="s">
        <v>303</v>
      </c>
      <c r="B1385" s="84"/>
      <c r="C1385" s="7" t="s">
        <v>302</v>
      </c>
      <c r="D1385" s="85" t="s">
        <v>183</v>
      </c>
      <c r="E1385" s="86" t="s">
        <v>105</v>
      </c>
      <c r="F1385" s="158">
        <v>6</v>
      </c>
      <c r="G1385" s="161">
        <v>5</v>
      </c>
      <c r="H1385" s="158" t="s">
        <v>199</v>
      </c>
      <c r="I1385" s="158">
        <v>3</v>
      </c>
      <c r="J1385" s="158" t="s">
        <v>1168</v>
      </c>
      <c r="K1385" s="158" t="s">
        <v>1987</v>
      </c>
      <c r="L1385" s="158">
        <v>2013</v>
      </c>
    </row>
    <row r="1386" spans="1:12" ht="20.25" customHeight="1" x14ac:dyDescent="0.3">
      <c r="A1386" s="90" t="s">
        <v>1659</v>
      </c>
      <c r="B1386" s="84"/>
      <c r="C1386" s="7" t="s">
        <v>2014</v>
      </c>
      <c r="D1386" s="85" t="s">
        <v>182</v>
      </c>
      <c r="E1386" s="86" t="s">
        <v>106</v>
      </c>
      <c r="F1386" s="158">
        <v>6</v>
      </c>
      <c r="G1386" s="161">
        <v>5</v>
      </c>
      <c r="H1386" s="158" t="s">
        <v>443</v>
      </c>
      <c r="I1386" s="158">
        <v>3</v>
      </c>
      <c r="J1386" s="158" t="s">
        <v>444</v>
      </c>
      <c r="K1386" s="158" t="s">
        <v>1987</v>
      </c>
      <c r="L1386" s="158" t="s">
        <v>361</v>
      </c>
    </row>
    <row r="1387" spans="1:12" ht="20.25" customHeight="1" x14ac:dyDescent="0.3">
      <c r="A1387" s="90" t="s">
        <v>2016</v>
      </c>
      <c r="B1387" s="84"/>
      <c r="C1387" s="7" t="s">
        <v>2015</v>
      </c>
      <c r="D1387" s="85" t="s">
        <v>182</v>
      </c>
      <c r="E1387" s="86" t="s">
        <v>106</v>
      </c>
      <c r="F1387" s="158">
        <v>16</v>
      </c>
      <c r="G1387" s="161">
        <v>6</v>
      </c>
      <c r="H1387" s="158" t="s">
        <v>842</v>
      </c>
      <c r="I1387" s="158">
        <v>3</v>
      </c>
      <c r="J1387" s="158" t="s">
        <v>344</v>
      </c>
      <c r="K1387" s="158" t="s">
        <v>1987</v>
      </c>
      <c r="L1387" s="158" t="s">
        <v>361</v>
      </c>
    </row>
    <row r="1388" spans="1:12" ht="20.25" customHeight="1" x14ac:dyDescent="0.3">
      <c r="A1388" s="90" t="s">
        <v>2018</v>
      </c>
      <c r="B1388" s="84"/>
      <c r="C1388" s="7" t="s">
        <v>2017</v>
      </c>
      <c r="D1388" s="85" t="s">
        <v>182</v>
      </c>
      <c r="E1388" s="86" t="s">
        <v>106</v>
      </c>
      <c r="F1388" s="158">
        <v>8</v>
      </c>
      <c r="G1388" s="161">
        <v>6</v>
      </c>
      <c r="H1388" s="158" t="s">
        <v>842</v>
      </c>
      <c r="I1388" s="158">
        <v>3</v>
      </c>
      <c r="J1388" s="158" t="s">
        <v>339</v>
      </c>
      <c r="K1388" s="158" t="s">
        <v>1987</v>
      </c>
      <c r="L1388" s="158" t="s">
        <v>361</v>
      </c>
    </row>
    <row r="1389" spans="1:12" ht="20.25" customHeight="1" x14ac:dyDescent="0.3">
      <c r="A1389" s="90" t="s">
        <v>47</v>
      </c>
      <c r="B1389" s="84"/>
      <c r="C1389" s="7" t="s">
        <v>1781</v>
      </c>
      <c r="D1389" s="85" t="s">
        <v>182</v>
      </c>
      <c r="E1389" s="86" t="s">
        <v>106</v>
      </c>
      <c r="F1389" s="158">
        <v>6</v>
      </c>
      <c r="G1389" s="161">
        <v>6</v>
      </c>
      <c r="H1389" s="158" t="s">
        <v>443</v>
      </c>
      <c r="I1389" s="158">
        <v>3</v>
      </c>
      <c r="J1389" s="158" t="s">
        <v>444</v>
      </c>
      <c r="K1389" s="158" t="s">
        <v>1987</v>
      </c>
      <c r="L1389" s="158" t="s">
        <v>361</v>
      </c>
    </row>
    <row r="1390" spans="1:12" ht="20.25" customHeight="1" x14ac:dyDescent="0.3">
      <c r="A1390" s="90" t="s">
        <v>1764</v>
      </c>
      <c r="B1390" s="84"/>
      <c r="C1390" s="7" t="s">
        <v>2019</v>
      </c>
      <c r="D1390" s="85" t="s">
        <v>182</v>
      </c>
      <c r="E1390" s="86" t="s">
        <v>105</v>
      </c>
      <c r="F1390" s="158">
        <v>6</v>
      </c>
      <c r="G1390" s="161">
        <v>3</v>
      </c>
      <c r="H1390" s="158">
        <v>1</v>
      </c>
      <c r="I1390" s="158">
        <v>2</v>
      </c>
      <c r="J1390" s="158">
        <v>3</v>
      </c>
      <c r="K1390" s="158" t="s">
        <v>1987</v>
      </c>
      <c r="L1390" s="158">
        <v>2014</v>
      </c>
    </row>
    <row r="1391" spans="1:12" ht="20.25" customHeight="1" x14ac:dyDescent="0.3">
      <c r="A1391" s="90" t="s">
        <v>859</v>
      </c>
      <c r="B1391" s="84"/>
      <c r="C1391" s="7" t="s">
        <v>858</v>
      </c>
      <c r="D1391" s="85" t="s">
        <v>183</v>
      </c>
      <c r="E1391" s="189" t="s">
        <v>106</v>
      </c>
      <c r="F1391" s="158">
        <v>6</v>
      </c>
      <c r="G1391" s="180">
        <v>8</v>
      </c>
      <c r="H1391" s="158">
        <v>2</v>
      </c>
      <c r="I1391" s="158">
        <v>4</v>
      </c>
      <c r="J1391" s="158">
        <v>4</v>
      </c>
      <c r="K1391" s="158" t="s">
        <v>16</v>
      </c>
      <c r="L1391" s="158">
        <v>2012</v>
      </c>
    </row>
    <row r="1392" spans="1:12" ht="20.25" customHeight="1" x14ac:dyDescent="0.3">
      <c r="A1392" s="90" t="s">
        <v>466</v>
      </c>
      <c r="B1392" s="84"/>
      <c r="C1392" s="7" t="s">
        <v>465</v>
      </c>
      <c r="D1392" s="85" t="s">
        <v>657</v>
      </c>
      <c r="E1392" s="189" t="s">
        <v>110</v>
      </c>
      <c r="F1392" s="158">
        <v>6</v>
      </c>
      <c r="G1392" s="180">
        <v>7</v>
      </c>
      <c r="H1392" s="158" t="s">
        <v>366</v>
      </c>
      <c r="I1392" s="158">
        <v>4</v>
      </c>
      <c r="J1392" s="158" t="s">
        <v>365</v>
      </c>
      <c r="K1392" s="158" t="s">
        <v>16</v>
      </c>
      <c r="L1392" s="158" t="s">
        <v>660</v>
      </c>
    </row>
    <row r="1393" spans="1:12" ht="20.25" customHeight="1" x14ac:dyDescent="0.3">
      <c r="A1393" s="90"/>
      <c r="B1393" s="84"/>
      <c r="C1393" s="7"/>
      <c r="D1393" s="85"/>
      <c r="E1393" s="189"/>
      <c r="F1393" s="158"/>
      <c r="G1393" s="180"/>
      <c r="H1393" s="158"/>
      <c r="I1393" s="158"/>
      <c r="J1393" s="158"/>
      <c r="K1393" s="158"/>
      <c r="L1393" s="158"/>
    </row>
    <row r="1394" spans="1:12" ht="20.25" customHeight="1" x14ac:dyDescent="0.3">
      <c r="A1394" s="90"/>
      <c r="B1394" s="84"/>
      <c r="C1394" s="7"/>
      <c r="D1394" s="85"/>
      <c r="E1394" s="86"/>
      <c r="F1394" s="63"/>
      <c r="G1394" s="142"/>
      <c r="H1394" s="63"/>
      <c r="I1394" s="63"/>
      <c r="J1394" s="63"/>
      <c r="K1394" s="63"/>
      <c r="L1394" s="63"/>
    </row>
    <row r="1395" spans="1:12" ht="21" customHeight="1" x14ac:dyDescent="0.3">
      <c r="A1395" s="90"/>
      <c r="B1395" s="84"/>
      <c r="C1395" s="7"/>
      <c r="D1395" s="85"/>
      <c r="E1395" s="86"/>
      <c r="F1395" s="63"/>
      <c r="G1395" s="128"/>
      <c r="H1395" s="63"/>
      <c r="I1395" s="63"/>
      <c r="J1395" s="63"/>
      <c r="K1395" s="63"/>
      <c r="L1395" s="63"/>
    </row>
    <row r="1396" spans="1:12" ht="21" customHeight="1" x14ac:dyDescent="0.3">
      <c r="A1396" s="90"/>
      <c r="B1396" s="84"/>
      <c r="C1396" s="7"/>
      <c r="D1396" s="85"/>
      <c r="E1396" s="86"/>
      <c r="F1396" s="63"/>
      <c r="G1396" s="128"/>
      <c r="H1396" s="63"/>
      <c r="I1396" s="63"/>
      <c r="J1396" s="63"/>
      <c r="K1396" s="63"/>
      <c r="L1396" s="63"/>
    </row>
    <row r="1397" spans="1:12" ht="20.25" customHeight="1" x14ac:dyDescent="0.3">
      <c r="A1397" s="90"/>
      <c r="B1397" s="84"/>
      <c r="C1397" s="7"/>
      <c r="D1397" s="85"/>
      <c r="E1397" s="86"/>
      <c r="F1397" s="63"/>
      <c r="G1397" s="128"/>
      <c r="H1397" s="63"/>
      <c r="I1397" s="63"/>
      <c r="J1397" s="63"/>
      <c r="K1397" s="63"/>
      <c r="L1397" s="63"/>
    </row>
    <row r="1398" spans="1:12" ht="20.25" customHeight="1" x14ac:dyDescent="0.3">
      <c r="A1398" s="90"/>
      <c r="B1398" s="84"/>
      <c r="C1398" s="7"/>
      <c r="D1398" s="85"/>
      <c r="E1398" s="86"/>
      <c r="F1398" s="63"/>
      <c r="G1398" s="127"/>
      <c r="H1398" s="63"/>
      <c r="I1398" s="63"/>
      <c r="J1398" s="63"/>
      <c r="K1398" s="63"/>
      <c r="L1398" s="63"/>
    </row>
    <row r="1399" spans="1:12" ht="20.25" customHeight="1" x14ac:dyDescent="0.3">
      <c r="A1399" s="90"/>
      <c r="B1399" s="84"/>
      <c r="C1399" s="7"/>
      <c r="D1399" s="85"/>
      <c r="E1399" s="86"/>
      <c r="F1399" s="63"/>
      <c r="G1399" s="127"/>
      <c r="H1399" s="63"/>
      <c r="I1399" s="63"/>
      <c r="J1399" s="63"/>
      <c r="K1399" s="63"/>
      <c r="L1399" s="63"/>
    </row>
    <row r="1400" spans="1:12" ht="20.25" customHeight="1" x14ac:dyDescent="0.3">
      <c r="A1400" s="90"/>
      <c r="B1400" s="84"/>
      <c r="C1400" s="7"/>
      <c r="D1400" s="85"/>
      <c r="E1400" s="86"/>
      <c r="F1400" s="63"/>
      <c r="G1400" s="127"/>
      <c r="H1400" s="63"/>
      <c r="I1400" s="63"/>
      <c r="J1400" s="63"/>
      <c r="K1400" s="63"/>
      <c r="L1400" s="63"/>
    </row>
    <row r="1401" spans="1:12" ht="20.25" customHeight="1" x14ac:dyDescent="0.3"/>
    <row r="1402" spans="1:12" ht="20.25" customHeight="1" x14ac:dyDescent="0.3">
      <c r="A1402" s="90"/>
      <c r="B1402" s="84"/>
      <c r="C1402" s="7"/>
      <c r="D1402" s="85"/>
      <c r="E1402" s="86"/>
      <c r="F1402" s="63"/>
      <c r="G1402" s="127"/>
      <c r="H1402" s="63"/>
      <c r="I1402" s="63"/>
      <c r="J1402" s="63"/>
      <c r="K1402" s="63"/>
      <c r="L1402" s="63"/>
    </row>
    <row r="1403" spans="1:12" ht="20.25" customHeight="1" x14ac:dyDescent="0.3">
      <c r="A1403" s="90"/>
      <c r="B1403" s="84"/>
      <c r="C1403" s="7"/>
      <c r="D1403" s="85"/>
      <c r="E1403" s="86"/>
      <c r="F1403" s="63"/>
      <c r="G1403" s="127"/>
      <c r="H1403" s="63"/>
      <c r="I1403" s="63"/>
      <c r="J1403" s="63"/>
      <c r="K1403" s="63"/>
      <c r="L1403" s="63"/>
    </row>
    <row r="1404" spans="1:12" ht="20.25" customHeight="1" x14ac:dyDescent="0.3">
      <c r="A1404" s="90"/>
      <c r="B1404" s="84"/>
      <c r="C1404" s="7"/>
      <c r="D1404" s="85"/>
      <c r="E1404" s="86"/>
      <c r="F1404" s="63"/>
      <c r="G1404" s="127"/>
      <c r="H1404" s="63"/>
      <c r="I1404" s="63"/>
      <c r="J1404" s="63"/>
      <c r="K1404" s="63"/>
      <c r="L1404" s="63"/>
    </row>
    <row r="1405" spans="1:12" ht="20.25" customHeight="1" x14ac:dyDescent="0.3">
      <c r="A1405" s="90"/>
      <c r="B1405" s="84"/>
      <c r="C1405" s="7"/>
      <c r="D1405" s="85"/>
      <c r="E1405" s="86"/>
      <c r="F1405" s="63"/>
      <c r="G1405" s="127"/>
      <c r="H1405" s="63"/>
      <c r="I1405" s="63"/>
      <c r="J1405" s="63"/>
      <c r="K1405" s="63"/>
      <c r="L1405" s="63"/>
    </row>
    <row r="1406" spans="1:12" ht="20.25" customHeight="1" x14ac:dyDescent="0.3">
      <c r="A1406" s="90"/>
      <c r="B1406" s="84"/>
      <c r="C1406" s="7"/>
      <c r="D1406" s="85"/>
      <c r="E1406" s="86"/>
      <c r="F1406" s="63"/>
      <c r="G1406" s="127"/>
      <c r="H1406" s="63"/>
      <c r="I1406" s="63"/>
      <c r="J1406" s="63"/>
      <c r="K1406" s="63"/>
      <c r="L1406" s="63"/>
    </row>
    <row r="1407" spans="1:12" ht="20.25" customHeight="1" x14ac:dyDescent="0.3">
      <c r="A1407" s="90"/>
      <c r="B1407" s="84"/>
      <c r="C1407" s="7"/>
      <c r="D1407" s="85"/>
      <c r="E1407" s="86"/>
      <c r="F1407" s="63"/>
      <c r="G1407" s="127"/>
      <c r="H1407" s="63"/>
      <c r="I1407" s="63"/>
      <c r="J1407" s="63"/>
      <c r="K1407" s="63"/>
      <c r="L1407" s="63"/>
    </row>
    <row r="1408" spans="1:12" ht="20.25" customHeight="1" x14ac:dyDescent="0.3">
      <c r="A1408" s="90"/>
      <c r="B1408" s="84"/>
      <c r="C1408" s="7"/>
      <c r="D1408" s="85"/>
      <c r="E1408" s="86"/>
      <c r="F1408" s="63"/>
      <c r="G1408" s="127"/>
      <c r="H1408" s="63"/>
      <c r="I1408" s="63"/>
      <c r="J1408" s="63"/>
      <c r="K1408" s="63"/>
      <c r="L1408" s="63"/>
    </row>
    <row r="1409" spans="1:12" ht="20.25" customHeight="1" x14ac:dyDescent="0.3">
      <c r="A1409" s="90"/>
      <c r="B1409" s="84"/>
      <c r="C1409" s="7"/>
      <c r="D1409" s="85"/>
      <c r="E1409" s="86"/>
      <c r="F1409" s="63"/>
      <c r="G1409" s="127"/>
      <c r="H1409" s="63"/>
      <c r="I1409" s="63"/>
      <c r="J1409" s="63"/>
      <c r="K1409" s="63"/>
      <c r="L1409" s="63"/>
    </row>
    <row r="1410" spans="1:12" ht="20.25" customHeight="1" x14ac:dyDescent="0.3">
      <c r="A1410" s="90"/>
      <c r="B1410" s="84"/>
      <c r="C1410" s="7"/>
      <c r="D1410" s="85"/>
      <c r="E1410" s="86"/>
      <c r="F1410" s="63"/>
      <c r="G1410" s="127"/>
      <c r="H1410" s="63"/>
      <c r="I1410" s="63"/>
      <c r="J1410" s="63"/>
      <c r="K1410" s="63"/>
      <c r="L1410" s="63"/>
    </row>
    <row r="1411" spans="1:12" ht="20.25" customHeight="1" x14ac:dyDescent="0.3">
      <c r="A1411" s="90"/>
      <c r="B1411" s="84"/>
      <c r="C1411" s="7"/>
      <c r="D1411" s="85"/>
      <c r="E1411" s="86"/>
      <c r="F1411" s="63"/>
      <c r="G1411" s="127"/>
      <c r="H1411" s="63"/>
      <c r="I1411" s="63"/>
      <c r="J1411" s="63"/>
      <c r="K1411" s="63"/>
      <c r="L1411" s="63"/>
    </row>
    <row r="1412" spans="1:12" ht="20.25" customHeight="1" x14ac:dyDescent="0.3">
      <c r="A1412" s="90"/>
      <c r="B1412" s="84"/>
      <c r="C1412" s="7"/>
      <c r="D1412" s="85"/>
      <c r="E1412" s="86"/>
      <c r="F1412" s="63"/>
      <c r="G1412" s="127"/>
      <c r="H1412" s="63"/>
      <c r="I1412" s="63"/>
      <c r="J1412" s="63"/>
      <c r="K1412" s="63"/>
      <c r="L1412" s="63"/>
    </row>
    <row r="1413" spans="1:12" ht="20.25" customHeight="1" x14ac:dyDescent="0.3">
      <c r="A1413" s="90"/>
      <c r="B1413" s="84"/>
      <c r="C1413" s="7"/>
      <c r="D1413" s="85"/>
      <c r="E1413" s="86"/>
      <c r="F1413" s="63"/>
      <c r="G1413" s="127"/>
      <c r="H1413" s="63"/>
      <c r="I1413" s="63"/>
      <c r="J1413" s="63"/>
      <c r="K1413" s="63"/>
      <c r="L1413" s="63"/>
    </row>
    <row r="1414" spans="1:12" ht="20.25" customHeight="1" x14ac:dyDescent="0.3">
      <c r="A1414" s="90"/>
      <c r="B1414" s="84"/>
      <c r="C1414" s="7"/>
      <c r="D1414" s="85"/>
      <c r="E1414" s="86"/>
      <c r="F1414" s="63"/>
      <c r="G1414" s="127"/>
      <c r="H1414" s="63"/>
      <c r="I1414" s="63"/>
      <c r="J1414" s="63"/>
      <c r="K1414" s="63"/>
      <c r="L1414" s="63"/>
    </row>
    <row r="1415" spans="1:12" ht="20.25" customHeight="1" x14ac:dyDescent="0.3">
      <c r="A1415" s="90"/>
      <c r="B1415" s="84"/>
      <c r="C1415" s="7"/>
      <c r="D1415" s="85"/>
      <c r="E1415" s="86"/>
      <c r="F1415" s="63"/>
      <c r="G1415" s="127"/>
      <c r="H1415" s="63"/>
      <c r="I1415" s="63"/>
      <c r="J1415" s="63"/>
      <c r="K1415" s="63"/>
      <c r="L1415" s="63"/>
    </row>
    <row r="1416" spans="1:12" ht="20.25" customHeight="1" x14ac:dyDescent="0.3">
      <c r="A1416" s="90"/>
      <c r="B1416" s="84"/>
      <c r="C1416" s="7"/>
      <c r="D1416" s="85"/>
      <c r="E1416" s="86"/>
      <c r="F1416" s="63"/>
      <c r="G1416" s="127"/>
      <c r="H1416" s="63"/>
      <c r="I1416" s="63"/>
      <c r="J1416" s="63"/>
      <c r="K1416" s="63"/>
      <c r="L1416" s="63"/>
    </row>
    <row r="1417" spans="1:12" ht="20.25" customHeight="1" x14ac:dyDescent="0.3">
      <c r="A1417" s="90"/>
      <c r="B1417" s="84"/>
      <c r="C1417" s="7"/>
      <c r="D1417" s="85"/>
      <c r="E1417" s="86"/>
      <c r="F1417" s="63"/>
      <c r="G1417" s="127"/>
      <c r="H1417" s="63"/>
      <c r="I1417" s="63"/>
      <c r="J1417" s="63"/>
      <c r="K1417" s="63"/>
      <c r="L1417" s="63"/>
    </row>
    <row r="1418" spans="1:12" ht="20.25" customHeight="1" x14ac:dyDescent="0.3">
      <c r="A1418" s="90"/>
      <c r="B1418" s="84"/>
      <c r="C1418" s="7"/>
      <c r="D1418" s="85"/>
      <c r="E1418" s="86"/>
      <c r="F1418" s="63"/>
      <c r="G1418" s="127"/>
      <c r="H1418" s="63"/>
      <c r="I1418" s="63"/>
      <c r="J1418" s="63"/>
      <c r="K1418" s="63"/>
      <c r="L1418" s="63"/>
    </row>
    <row r="1419" spans="1:12" ht="20.25" customHeight="1" x14ac:dyDescent="0.3">
      <c r="A1419" s="90"/>
      <c r="B1419" s="84"/>
      <c r="C1419" s="7"/>
      <c r="D1419" s="85"/>
      <c r="E1419" s="86"/>
      <c r="F1419" s="63"/>
      <c r="G1419" s="127"/>
      <c r="H1419" s="63"/>
      <c r="I1419" s="63"/>
      <c r="J1419" s="63"/>
      <c r="K1419" s="63"/>
      <c r="L1419" s="63"/>
    </row>
    <row r="1420" spans="1:12" ht="20.25" customHeight="1" x14ac:dyDescent="0.3">
      <c r="A1420" s="90"/>
      <c r="B1420" s="84"/>
      <c r="C1420" s="7"/>
      <c r="D1420" s="85"/>
      <c r="E1420" s="86"/>
      <c r="F1420" s="63"/>
      <c r="G1420" s="127"/>
      <c r="H1420" s="63"/>
      <c r="I1420" s="63"/>
      <c r="J1420" s="63"/>
      <c r="K1420" s="63"/>
      <c r="L1420" s="63"/>
    </row>
    <row r="1421" spans="1:12" ht="20.25" customHeight="1" x14ac:dyDescent="0.3">
      <c r="A1421" s="90"/>
      <c r="B1421" s="84"/>
      <c r="C1421" s="7"/>
      <c r="D1421" s="85"/>
      <c r="E1421" s="86"/>
      <c r="F1421" s="63"/>
      <c r="G1421" s="127"/>
      <c r="H1421" s="63"/>
      <c r="I1421" s="63"/>
      <c r="J1421" s="63"/>
      <c r="K1421" s="63"/>
      <c r="L1421" s="63"/>
    </row>
    <row r="1422" spans="1:12" ht="20.25" customHeight="1" x14ac:dyDescent="0.3">
      <c r="A1422" s="90"/>
      <c r="B1422" s="84"/>
      <c r="C1422" s="7"/>
      <c r="D1422" s="85"/>
      <c r="E1422" s="86"/>
      <c r="F1422" s="63"/>
      <c r="G1422" s="127"/>
      <c r="H1422" s="63"/>
      <c r="I1422" s="63"/>
      <c r="J1422" s="63"/>
      <c r="K1422" s="63"/>
      <c r="L1422" s="63"/>
    </row>
    <row r="1423" spans="1:12" ht="20.25" customHeight="1" x14ac:dyDescent="0.3">
      <c r="A1423" s="90"/>
      <c r="B1423" s="84"/>
      <c r="C1423" s="7"/>
      <c r="D1423" s="85"/>
      <c r="E1423" s="86"/>
      <c r="F1423" s="63"/>
      <c r="G1423" s="127"/>
      <c r="H1423" s="63"/>
      <c r="I1423" s="63"/>
      <c r="J1423" s="63"/>
      <c r="K1423" s="63"/>
      <c r="L1423" s="63"/>
    </row>
    <row r="1424" spans="1:12" ht="20.25" customHeight="1" x14ac:dyDescent="0.3">
      <c r="A1424" s="90"/>
      <c r="B1424" s="84"/>
      <c r="C1424" s="7"/>
      <c r="D1424" s="85"/>
      <c r="E1424" s="86"/>
      <c r="F1424" s="63"/>
      <c r="G1424" s="127"/>
      <c r="H1424" s="63"/>
      <c r="I1424" s="63"/>
      <c r="J1424" s="63"/>
      <c r="K1424" s="63"/>
      <c r="L1424" s="63"/>
    </row>
    <row r="1425" spans="1:12" ht="20.25" customHeight="1" x14ac:dyDescent="0.3">
      <c r="A1425" s="90"/>
      <c r="B1425" s="84"/>
      <c r="C1425" s="7"/>
      <c r="D1425" s="85"/>
      <c r="E1425" s="86"/>
      <c r="F1425" s="63"/>
      <c r="G1425" s="127"/>
      <c r="H1425" s="63"/>
      <c r="I1425" s="63"/>
      <c r="J1425" s="63"/>
      <c r="K1425" s="63"/>
      <c r="L1425" s="63"/>
    </row>
    <row r="1426" spans="1:12" ht="20.25" customHeight="1" x14ac:dyDescent="0.3">
      <c r="A1426" s="90"/>
      <c r="B1426" s="84"/>
      <c r="C1426" s="7"/>
      <c r="D1426" s="85"/>
      <c r="E1426" s="86"/>
      <c r="F1426" s="63"/>
      <c r="G1426" s="127"/>
      <c r="H1426" s="63"/>
      <c r="I1426" s="63"/>
      <c r="J1426" s="63"/>
      <c r="K1426" s="63"/>
      <c r="L1426" s="63"/>
    </row>
    <row r="1427" spans="1:12" ht="20.25" customHeight="1" x14ac:dyDescent="0.3">
      <c r="A1427" s="90"/>
      <c r="B1427" s="84"/>
      <c r="C1427" s="7"/>
      <c r="D1427" s="85"/>
      <c r="E1427" s="86"/>
      <c r="F1427" s="63"/>
      <c r="G1427" s="127"/>
      <c r="H1427" s="63"/>
      <c r="I1427" s="63"/>
      <c r="J1427" s="63"/>
      <c r="K1427" s="63"/>
      <c r="L1427" s="63"/>
    </row>
    <row r="1428" spans="1:12" ht="20.25" customHeight="1" x14ac:dyDescent="0.3">
      <c r="A1428" s="90"/>
      <c r="B1428" s="84"/>
      <c r="C1428" s="7"/>
      <c r="D1428" s="85"/>
      <c r="E1428" s="86"/>
      <c r="F1428" s="63"/>
      <c r="G1428" s="127"/>
      <c r="H1428" s="63"/>
      <c r="I1428" s="63"/>
      <c r="J1428" s="63"/>
      <c r="K1428" s="63"/>
      <c r="L1428" s="63"/>
    </row>
    <row r="1429" spans="1:12" ht="20.25" customHeight="1" x14ac:dyDescent="0.3">
      <c r="A1429" s="90"/>
      <c r="B1429" s="84"/>
      <c r="C1429" s="7"/>
      <c r="D1429" s="85"/>
      <c r="E1429" s="86"/>
      <c r="F1429" s="63"/>
      <c r="G1429" s="127"/>
      <c r="H1429" s="63"/>
      <c r="I1429" s="63"/>
      <c r="J1429" s="63"/>
      <c r="K1429" s="63"/>
      <c r="L1429" s="63"/>
    </row>
    <row r="1430" spans="1:12" ht="20.25" customHeight="1" x14ac:dyDescent="0.3">
      <c r="A1430" s="90"/>
      <c r="B1430" s="84"/>
      <c r="C1430" s="7"/>
      <c r="D1430" s="85"/>
      <c r="E1430" s="86"/>
      <c r="F1430" s="63"/>
      <c r="G1430" s="127"/>
      <c r="H1430" s="63"/>
      <c r="I1430" s="63"/>
      <c r="J1430" s="63"/>
      <c r="K1430" s="63"/>
      <c r="L1430" s="63"/>
    </row>
    <row r="1431" spans="1:12" ht="20.25" customHeight="1" x14ac:dyDescent="0.3">
      <c r="A1431" s="90"/>
      <c r="B1431" s="84"/>
      <c r="C1431" s="7"/>
      <c r="D1431" s="85"/>
      <c r="E1431" s="86"/>
      <c r="F1431" s="63"/>
      <c r="G1431" s="127"/>
      <c r="H1431" s="63"/>
      <c r="I1431" s="63"/>
      <c r="J1431" s="63"/>
      <c r="K1431" s="63"/>
      <c r="L1431" s="63"/>
    </row>
    <row r="1432" spans="1:12" ht="20.25" customHeight="1" x14ac:dyDescent="0.3">
      <c r="A1432" s="90"/>
      <c r="B1432" s="84"/>
      <c r="C1432" s="7"/>
      <c r="D1432" s="85"/>
      <c r="E1432" s="86"/>
      <c r="F1432" s="63"/>
      <c r="G1432" s="127"/>
      <c r="H1432" s="63"/>
      <c r="I1432" s="63"/>
      <c r="J1432" s="63"/>
      <c r="K1432" s="63"/>
      <c r="L1432" s="63"/>
    </row>
    <row r="1433" spans="1:12" ht="20.25" customHeight="1" x14ac:dyDescent="0.3">
      <c r="A1433" s="90"/>
      <c r="B1433" s="84"/>
      <c r="C1433" s="7"/>
      <c r="D1433" s="85"/>
      <c r="E1433" s="86"/>
      <c r="F1433" s="63"/>
      <c r="G1433" s="127"/>
      <c r="H1433" s="63"/>
      <c r="I1433" s="63"/>
      <c r="J1433" s="63"/>
      <c r="K1433" s="63"/>
      <c r="L1433" s="63"/>
    </row>
    <row r="1434" spans="1:12" ht="20.25" customHeight="1" x14ac:dyDescent="0.3">
      <c r="A1434" s="90"/>
      <c r="B1434" s="84"/>
      <c r="C1434" s="7"/>
      <c r="D1434" s="85"/>
      <c r="E1434" s="86"/>
      <c r="F1434" s="63"/>
      <c r="G1434" s="127"/>
      <c r="H1434" s="63"/>
      <c r="I1434" s="63"/>
      <c r="J1434" s="63"/>
      <c r="K1434" s="63"/>
      <c r="L1434" s="63"/>
    </row>
    <row r="1435" spans="1:12" ht="20.25" customHeight="1" x14ac:dyDescent="0.3">
      <c r="A1435" s="90"/>
      <c r="B1435" s="84"/>
      <c r="C1435" s="7"/>
      <c r="D1435" s="85"/>
      <c r="E1435" s="86"/>
      <c r="F1435" s="63"/>
      <c r="G1435" s="127"/>
      <c r="H1435" s="63"/>
      <c r="I1435" s="63"/>
      <c r="J1435" s="63"/>
      <c r="K1435" s="63"/>
      <c r="L1435" s="63"/>
    </row>
    <row r="1436" spans="1:12" ht="20.25" customHeight="1" x14ac:dyDescent="0.3">
      <c r="A1436" s="90"/>
      <c r="B1436" s="84"/>
      <c r="C1436" s="7"/>
      <c r="D1436" s="85"/>
      <c r="E1436" s="86"/>
      <c r="F1436" s="63"/>
      <c r="G1436" s="127"/>
      <c r="H1436" s="63"/>
      <c r="I1436" s="63"/>
      <c r="J1436" s="63"/>
      <c r="K1436" s="63"/>
      <c r="L1436" s="63"/>
    </row>
    <row r="1437" spans="1:12" ht="20.25" customHeight="1" x14ac:dyDescent="0.3">
      <c r="A1437" s="90"/>
      <c r="B1437" s="84"/>
      <c r="C1437" s="7"/>
      <c r="D1437" s="85"/>
      <c r="E1437" s="86"/>
      <c r="F1437" s="63"/>
      <c r="G1437" s="127"/>
      <c r="H1437" s="63"/>
      <c r="I1437" s="63"/>
      <c r="J1437" s="63"/>
      <c r="K1437" s="63"/>
      <c r="L1437" s="63"/>
    </row>
    <row r="1438" spans="1:12" ht="20.25" customHeight="1" x14ac:dyDescent="0.3">
      <c r="A1438" s="90"/>
      <c r="B1438" s="84"/>
      <c r="C1438" s="7"/>
      <c r="D1438" s="85"/>
      <c r="E1438" s="86"/>
      <c r="F1438" s="63"/>
      <c r="G1438" s="127"/>
      <c r="H1438" s="63"/>
      <c r="I1438" s="63"/>
      <c r="J1438" s="63"/>
      <c r="K1438" s="63"/>
      <c r="L1438" s="63"/>
    </row>
    <row r="1439" spans="1:12" ht="20.25" customHeight="1" x14ac:dyDescent="0.3">
      <c r="A1439" s="90"/>
      <c r="B1439" s="84"/>
      <c r="C1439" s="7"/>
      <c r="D1439" s="85"/>
      <c r="E1439" s="86"/>
      <c r="F1439" s="63"/>
      <c r="G1439" s="127"/>
      <c r="H1439" s="63"/>
      <c r="I1439" s="63"/>
      <c r="J1439" s="63"/>
      <c r="K1439" s="63"/>
      <c r="L1439" s="63"/>
    </row>
    <row r="1440" spans="1:12" ht="20.25" customHeight="1" x14ac:dyDescent="0.3">
      <c r="A1440" s="90"/>
      <c r="B1440" s="84"/>
      <c r="C1440" s="7"/>
      <c r="D1440" s="85"/>
      <c r="E1440" s="86"/>
      <c r="F1440" s="63"/>
      <c r="G1440" s="127"/>
      <c r="H1440" s="63"/>
      <c r="I1440" s="63"/>
      <c r="J1440" s="63"/>
      <c r="K1440" s="63"/>
      <c r="L1440" s="63"/>
    </row>
    <row r="1441" spans="1:12" ht="20.25" customHeight="1" x14ac:dyDescent="0.3">
      <c r="A1441" s="90"/>
      <c r="B1441" s="84"/>
      <c r="C1441" s="7"/>
      <c r="D1441" s="85"/>
      <c r="E1441" s="86"/>
      <c r="F1441" s="63"/>
      <c r="G1441" s="127"/>
      <c r="H1441" s="63"/>
      <c r="I1441" s="63"/>
      <c r="J1441" s="63"/>
      <c r="K1441" s="63"/>
      <c r="L1441" s="63"/>
    </row>
    <row r="1442" spans="1:12" ht="20.25" customHeight="1" x14ac:dyDescent="0.3">
      <c r="A1442" s="90"/>
      <c r="B1442" s="84"/>
      <c r="C1442" s="7"/>
      <c r="D1442" s="85"/>
      <c r="E1442" s="86"/>
      <c r="F1442" s="63"/>
      <c r="G1442" s="127"/>
      <c r="H1442" s="63"/>
      <c r="I1442" s="63"/>
      <c r="J1442" s="63"/>
      <c r="K1442" s="63"/>
      <c r="L1442" s="63"/>
    </row>
    <row r="1443" spans="1:12" ht="20.25" customHeight="1" x14ac:dyDescent="0.3">
      <c r="A1443" s="90"/>
      <c r="B1443" s="84"/>
      <c r="C1443" s="7"/>
      <c r="D1443" s="85"/>
      <c r="E1443" s="86"/>
      <c r="F1443" s="63"/>
      <c r="G1443" s="127"/>
      <c r="H1443" s="63"/>
      <c r="I1443" s="63"/>
      <c r="J1443" s="63"/>
      <c r="K1443" s="63"/>
      <c r="L1443" s="63"/>
    </row>
    <row r="1444" spans="1:12" ht="20.25" customHeight="1" x14ac:dyDescent="0.3">
      <c r="A1444" s="90"/>
      <c r="B1444" s="84"/>
      <c r="C1444" s="7"/>
      <c r="D1444" s="85"/>
      <c r="E1444" s="86"/>
      <c r="F1444" s="63"/>
      <c r="G1444" s="127"/>
      <c r="H1444" s="63"/>
      <c r="I1444" s="63"/>
      <c r="J1444" s="63"/>
      <c r="K1444" s="63"/>
      <c r="L1444" s="63"/>
    </row>
    <row r="1445" spans="1:12" ht="20.25" customHeight="1" x14ac:dyDescent="0.3">
      <c r="A1445" s="90"/>
      <c r="B1445" s="84"/>
      <c r="C1445" s="7"/>
      <c r="D1445" s="85"/>
      <c r="E1445" s="86"/>
      <c r="F1445" s="63"/>
      <c r="G1445" s="127"/>
      <c r="H1445" s="63"/>
      <c r="I1445" s="63"/>
      <c r="J1445" s="63"/>
      <c r="K1445" s="63"/>
      <c r="L1445" s="63"/>
    </row>
    <row r="1446" spans="1:12" ht="20.25" customHeight="1" x14ac:dyDescent="0.3">
      <c r="A1446" s="90"/>
      <c r="B1446" s="84"/>
      <c r="C1446" s="7"/>
      <c r="D1446" s="85"/>
      <c r="E1446" s="86"/>
      <c r="F1446" s="63"/>
      <c r="G1446" s="127"/>
      <c r="H1446" s="63"/>
      <c r="I1446" s="63"/>
      <c r="J1446" s="63"/>
      <c r="K1446" s="63"/>
      <c r="L1446" s="63"/>
    </row>
    <row r="1447" spans="1:12" ht="20.25" customHeight="1" x14ac:dyDescent="0.3">
      <c r="A1447" s="90"/>
      <c r="B1447" s="84"/>
      <c r="C1447" s="7"/>
      <c r="D1447" s="85"/>
      <c r="E1447" s="86"/>
      <c r="F1447" s="63"/>
      <c r="G1447" s="127"/>
      <c r="H1447" s="63"/>
      <c r="I1447" s="63"/>
      <c r="J1447" s="63"/>
      <c r="K1447" s="63"/>
      <c r="L1447" s="63"/>
    </row>
    <row r="1448" spans="1:12" ht="20.25" customHeight="1" x14ac:dyDescent="0.3">
      <c r="A1448" s="90"/>
      <c r="B1448" s="84"/>
      <c r="C1448" s="7"/>
      <c r="D1448" s="85"/>
      <c r="E1448" s="86"/>
      <c r="F1448" s="63"/>
      <c r="G1448" s="127"/>
      <c r="H1448" s="63"/>
      <c r="I1448" s="63"/>
      <c r="J1448" s="63"/>
      <c r="K1448" s="63"/>
      <c r="L1448" s="63"/>
    </row>
    <row r="1449" spans="1:12" ht="20.25" customHeight="1" x14ac:dyDescent="0.3">
      <c r="A1449" s="90"/>
      <c r="B1449" s="84"/>
      <c r="C1449" s="7"/>
      <c r="D1449" s="85"/>
      <c r="E1449" s="86"/>
      <c r="F1449" s="63"/>
      <c r="G1449" s="127"/>
      <c r="H1449" s="63"/>
      <c r="I1449" s="63"/>
      <c r="J1449" s="63"/>
      <c r="K1449" s="63"/>
      <c r="L1449" s="63"/>
    </row>
    <row r="1450" spans="1:12" ht="20.25" customHeight="1" x14ac:dyDescent="0.3">
      <c r="A1450" s="90"/>
      <c r="B1450" s="84"/>
      <c r="C1450" s="7"/>
      <c r="D1450" s="85"/>
      <c r="E1450" s="86"/>
      <c r="F1450" s="63"/>
      <c r="G1450" s="127"/>
      <c r="H1450" s="63"/>
      <c r="I1450" s="63"/>
      <c r="J1450" s="63"/>
      <c r="K1450" s="63"/>
      <c r="L1450" s="63"/>
    </row>
    <row r="1451" spans="1:12" ht="20.25" customHeight="1" x14ac:dyDescent="0.3">
      <c r="A1451" s="90"/>
      <c r="B1451" s="84"/>
      <c r="C1451" s="7"/>
      <c r="D1451" s="85"/>
      <c r="E1451" s="86"/>
      <c r="F1451" s="63"/>
      <c r="G1451" s="127"/>
      <c r="H1451" s="63"/>
      <c r="I1451" s="63"/>
      <c r="J1451" s="63"/>
      <c r="K1451" s="63"/>
      <c r="L1451" s="63"/>
    </row>
    <row r="1452" spans="1:12" ht="20.25" customHeight="1" x14ac:dyDescent="0.3">
      <c r="A1452" s="90"/>
      <c r="B1452" s="84"/>
      <c r="C1452" s="7"/>
      <c r="D1452" s="85"/>
      <c r="E1452" s="86"/>
      <c r="F1452" s="63"/>
      <c r="G1452" s="127"/>
      <c r="H1452" s="63"/>
      <c r="I1452" s="63"/>
      <c r="J1452" s="63"/>
      <c r="K1452" s="63"/>
      <c r="L1452" s="63"/>
    </row>
    <row r="1453" spans="1:12" ht="20.25" customHeight="1" x14ac:dyDescent="0.3">
      <c r="A1453" s="90"/>
      <c r="B1453" s="84"/>
      <c r="C1453" s="7"/>
      <c r="D1453" s="85"/>
      <c r="E1453" s="86"/>
      <c r="F1453" s="63"/>
      <c r="G1453" s="127"/>
      <c r="H1453" s="63"/>
      <c r="I1453" s="63"/>
      <c r="J1453" s="63"/>
      <c r="K1453" s="63"/>
      <c r="L1453" s="63"/>
    </row>
    <row r="1454" spans="1:12" ht="20.25" customHeight="1" x14ac:dyDescent="0.3">
      <c r="A1454" s="90"/>
      <c r="B1454" s="84"/>
      <c r="C1454" s="7"/>
      <c r="D1454" s="85"/>
      <c r="E1454" s="86"/>
      <c r="F1454" s="63"/>
      <c r="G1454" s="127"/>
      <c r="H1454" s="63"/>
      <c r="I1454" s="63"/>
      <c r="J1454" s="63"/>
      <c r="K1454" s="63"/>
      <c r="L1454" s="63"/>
    </row>
    <row r="1455" spans="1:12" ht="20.25" customHeight="1" x14ac:dyDescent="0.3">
      <c r="A1455" s="90"/>
      <c r="B1455" s="84"/>
      <c r="C1455" s="7"/>
      <c r="D1455" s="85"/>
      <c r="E1455" s="86"/>
      <c r="F1455" s="63"/>
      <c r="G1455" s="127"/>
      <c r="H1455" s="63"/>
      <c r="I1455" s="63"/>
      <c r="J1455" s="63"/>
      <c r="K1455" s="63"/>
      <c r="L1455" s="63"/>
    </row>
    <row r="1456" spans="1:12" ht="20.25" customHeight="1" x14ac:dyDescent="0.3">
      <c r="A1456" s="90"/>
      <c r="B1456" s="84"/>
      <c r="C1456" s="7"/>
      <c r="D1456" s="85"/>
      <c r="E1456" s="86"/>
      <c r="F1456" s="63"/>
      <c r="G1456" s="127"/>
      <c r="H1456" s="63"/>
      <c r="I1456" s="63"/>
      <c r="J1456" s="63"/>
      <c r="K1456" s="63"/>
      <c r="L1456" s="63"/>
    </row>
    <row r="1457" spans="1:12" ht="20.25" customHeight="1" x14ac:dyDescent="0.3">
      <c r="A1457" s="90"/>
      <c r="B1457" s="84"/>
      <c r="C1457" s="7"/>
      <c r="D1457" s="85"/>
      <c r="E1457" s="86"/>
      <c r="F1457" s="63"/>
      <c r="G1457" s="127"/>
      <c r="H1457" s="63"/>
      <c r="I1457" s="63"/>
      <c r="J1457" s="63"/>
      <c r="K1457" s="63"/>
      <c r="L1457" s="63"/>
    </row>
    <row r="1458" spans="1:12" ht="20.25" customHeight="1" x14ac:dyDescent="0.3">
      <c r="A1458" s="90"/>
      <c r="B1458" s="84"/>
      <c r="C1458" s="7"/>
      <c r="D1458" s="85"/>
      <c r="E1458" s="86"/>
      <c r="F1458" s="63"/>
      <c r="G1458" s="127"/>
      <c r="H1458" s="63"/>
      <c r="I1458" s="63"/>
      <c r="J1458" s="63"/>
      <c r="K1458" s="63"/>
      <c r="L1458" s="63"/>
    </row>
    <row r="1459" spans="1:12" ht="20.25" customHeight="1" x14ac:dyDescent="0.3">
      <c r="A1459" s="90"/>
      <c r="B1459" s="84"/>
      <c r="C1459" s="7"/>
      <c r="D1459" s="85"/>
      <c r="E1459" s="86"/>
      <c r="F1459" s="63"/>
      <c r="G1459" s="127"/>
      <c r="H1459" s="63"/>
      <c r="I1459" s="63"/>
      <c r="J1459" s="63"/>
      <c r="K1459" s="63"/>
      <c r="L1459" s="63"/>
    </row>
    <row r="1460" spans="1:12" ht="20.25" customHeight="1" x14ac:dyDescent="0.3">
      <c r="A1460" s="90"/>
      <c r="B1460" s="84"/>
      <c r="C1460" s="7"/>
      <c r="D1460" s="85"/>
      <c r="E1460" s="86"/>
      <c r="F1460" s="63"/>
      <c r="G1460" s="127"/>
      <c r="H1460" s="63"/>
      <c r="I1460" s="63"/>
      <c r="J1460" s="63"/>
      <c r="K1460" s="63"/>
      <c r="L1460" s="63"/>
    </row>
    <row r="1461" spans="1:12" ht="20.25" customHeight="1" x14ac:dyDescent="0.3">
      <c r="A1461" s="90"/>
      <c r="B1461" s="84"/>
      <c r="C1461" s="7"/>
      <c r="D1461" s="85"/>
      <c r="E1461" s="86"/>
      <c r="F1461" s="63"/>
      <c r="G1461" s="127"/>
      <c r="H1461" s="63"/>
      <c r="I1461" s="63"/>
      <c r="J1461" s="63"/>
      <c r="K1461" s="63"/>
      <c r="L1461" s="63"/>
    </row>
    <row r="1462" spans="1:12" ht="20.25" customHeight="1" x14ac:dyDescent="0.3">
      <c r="A1462" s="90"/>
      <c r="B1462" s="84"/>
      <c r="C1462" s="7"/>
      <c r="D1462" s="85"/>
      <c r="E1462" s="86"/>
      <c r="F1462" s="63"/>
      <c r="G1462" s="127"/>
      <c r="H1462" s="63"/>
      <c r="I1462" s="63"/>
      <c r="J1462" s="63"/>
      <c r="K1462" s="63"/>
      <c r="L1462" s="63"/>
    </row>
    <row r="1463" spans="1:12" ht="20.25" customHeight="1" x14ac:dyDescent="0.3">
      <c r="A1463" s="90"/>
      <c r="B1463" s="84"/>
      <c r="C1463" s="7"/>
      <c r="D1463" s="85"/>
      <c r="E1463" s="86"/>
      <c r="F1463" s="63"/>
      <c r="G1463" s="127"/>
      <c r="H1463" s="63"/>
      <c r="I1463" s="63"/>
      <c r="J1463" s="63"/>
      <c r="K1463" s="63"/>
      <c r="L1463" s="63"/>
    </row>
    <row r="1464" spans="1:12" ht="20.25" customHeight="1" x14ac:dyDescent="0.3">
      <c r="A1464" s="90"/>
      <c r="B1464" s="84"/>
      <c r="C1464" s="7"/>
      <c r="D1464" s="85"/>
      <c r="E1464" s="86"/>
      <c r="F1464" s="63"/>
      <c r="G1464" s="127"/>
      <c r="H1464" s="63"/>
      <c r="I1464" s="63"/>
      <c r="J1464" s="63"/>
      <c r="K1464" s="63"/>
      <c r="L1464" s="63"/>
    </row>
    <row r="1465" spans="1:12" ht="20.25" customHeight="1" x14ac:dyDescent="0.3">
      <c r="A1465" s="90"/>
      <c r="B1465" s="84"/>
      <c r="C1465" s="7"/>
      <c r="D1465" s="85"/>
      <c r="E1465" s="86"/>
      <c r="F1465" s="63"/>
      <c r="G1465" s="127"/>
      <c r="H1465" s="63"/>
      <c r="I1465" s="63"/>
      <c r="J1465" s="63"/>
      <c r="K1465" s="63"/>
      <c r="L1465" s="63"/>
    </row>
    <row r="1466" spans="1:12" ht="20.25" customHeight="1" x14ac:dyDescent="0.3">
      <c r="A1466" s="90"/>
      <c r="B1466" s="84"/>
      <c r="C1466" s="7"/>
      <c r="D1466" s="85"/>
      <c r="E1466" s="86"/>
      <c r="F1466" s="63"/>
      <c r="G1466" s="127"/>
      <c r="H1466" s="63"/>
      <c r="I1466" s="63"/>
      <c r="J1466" s="63"/>
      <c r="K1466" s="63"/>
      <c r="L1466" s="63"/>
    </row>
    <row r="1467" spans="1:12" ht="20.25" customHeight="1" x14ac:dyDescent="0.3">
      <c r="A1467" s="90"/>
      <c r="B1467" s="84"/>
      <c r="C1467" s="7"/>
      <c r="D1467" s="85"/>
      <c r="E1467" s="86"/>
      <c r="F1467" s="63"/>
      <c r="G1467" s="127"/>
      <c r="H1467" s="63"/>
      <c r="I1467" s="63"/>
      <c r="J1467" s="63"/>
      <c r="K1467" s="63"/>
      <c r="L1467" s="63"/>
    </row>
    <row r="1468" spans="1:12" ht="20.25" customHeight="1" x14ac:dyDescent="0.3">
      <c r="A1468" s="90"/>
      <c r="B1468" s="84"/>
      <c r="C1468" s="7"/>
      <c r="D1468" s="85"/>
      <c r="E1468" s="86"/>
      <c r="F1468" s="63"/>
      <c r="G1468" s="127"/>
      <c r="H1468" s="63"/>
      <c r="I1468" s="63"/>
      <c r="J1468" s="63"/>
      <c r="K1468" s="63"/>
      <c r="L1468" s="63"/>
    </row>
    <row r="1469" spans="1:12" ht="20.25" customHeight="1" x14ac:dyDescent="0.3">
      <c r="A1469" s="90"/>
      <c r="B1469" s="84"/>
      <c r="C1469" s="7"/>
      <c r="D1469" s="85"/>
      <c r="E1469" s="86"/>
      <c r="F1469" s="63"/>
      <c r="G1469" s="127"/>
      <c r="H1469" s="63"/>
      <c r="I1469" s="63"/>
      <c r="J1469" s="63"/>
      <c r="K1469" s="63"/>
      <c r="L1469" s="63"/>
    </row>
    <row r="1470" spans="1:12" ht="20.25" customHeight="1" x14ac:dyDescent="0.3">
      <c r="A1470" s="90"/>
      <c r="B1470" s="84"/>
      <c r="C1470" s="7"/>
      <c r="D1470" s="85"/>
      <c r="E1470" s="86"/>
      <c r="F1470" s="63"/>
      <c r="G1470" s="127"/>
      <c r="H1470" s="63"/>
      <c r="I1470" s="63"/>
      <c r="J1470" s="63"/>
      <c r="K1470" s="63"/>
      <c r="L1470" s="63"/>
    </row>
    <row r="1471" spans="1:12" ht="20.25" customHeight="1" x14ac:dyDescent="0.3">
      <c r="A1471" s="90"/>
      <c r="B1471" s="84"/>
      <c r="C1471" s="7"/>
      <c r="D1471" s="85"/>
      <c r="E1471" s="86"/>
      <c r="F1471" s="63"/>
      <c r="G1471" s="127"/>
      <c r="H1471" s="63"/>
      <c r="I1471" s="63"/>
      <c r="J1471" s="63"/>
      <c r="K1471" s="63"/>
      <c r="L1471" s="63"/>
    </row>
    <row r="1472" spans="1:12" ht="20.25" customHeight="1" x14ac:dyDescent="0.3">
      <c r="A1472" s="90"/>
      <c r="B1472" s="84"/>
      <c r="C1472" s="7"/>
      <c r="D1472" s="85"/>
      <c r="E1472" s="86"/>
      <c r="F1472" s="63"/>
      <c r="G1472" s="127"/>
      <c r="H1472" s="63"/>
      <c r="I1472" s="63"/>
      <c r="J1472" s="63"/>
      <c r="K1472" s="63"/>
      <c r="L1472" s="63"/>
    </row>
    <row r="1473" spans="1:12" ht="20.25" customHeight="1" x14ac:dyDescent="0.3">
      <c r="A1473" s="90"/>
      <c r="B1473" s="84"/>
      <c r="C1473" s="7"/>
      <c r="D1473" s="85"/>
      <c r="E1473" s="86"/>
      <c r="F1473" s="63"/>
      <c r="G1473" s="127"/>
      <c r="H1473" s="63"/>
      <c r="I1473" s="63"/>
      <c r="J1473" s="63"/>
      <c r="K1473" s="63"/>
      <c r="L1473" s="63"/>
    </row>
    <row r="1474" spans="1:12" ht="20.25" customHeight="1" x14ac:dyDescent="0.3">
      <c r="A1474" s="90"/>
      <c r="B1474" s="84"/>
      <c r="C1474" s="7"/>
      <c r="D1474" s="85"/>
      <c r="E1474" s="86"/>
      <c r="F1474" s="63"/>
      <c r="G1474" s="127"/>
      <c r="H1474" s="63"/>
      <c r="I1474" s="63"/>
      <c r="J1474" s="63"/>
      <c r="K1474" s="63"/>
      <c r="L1474" s="63"/>
    </row>
    <row r="1475" spans="1:12" ht="20.25" customHeight="1" x14ac:dyDescent="0.3">
      <c r="A1475" s="90"/>
      <c r="B1475" s="84"/>
      <c r="C1475" s="7"/>
      <c r="D1475" s="85"/>
      <c r="E1475" s="86"/>
      <c r="F1475" s="63"/>
      <c r="G1475" s="127"/>
      <c r="H1475" s="63"/>
      <c r="I1475" s="63"/>
      <c r="J1475" s="63"/>
      <c r="K1475" s="63"/>
      <c r="L1475" s="63"/>
    </row>
    <row r="1476" spans="1:12" ht="20.25" customHeight="1" x14ac:dyDescent="0.3">
      <c r="A1476" s="90"/>
      <c r="B1476" s="84"/>
      <c r="C1476" s="7"/>
      <c r="D1476" s="85"/>
      <c r="E1476" s="86"/>
      <c r="F1476" s="63"/>
      <c r="G1476" s="127"/>
      <c r="H1476" s="63"/>
      <c r="I1476" s="63"/>
      <c r="J1476" s="63"/>
      <c r="K1476" s="63"/>
      <c r="L1476" s="63"/>
    </row>
    <row r="1477" spans="1:12" ht="20.25" customHeight="1" x14ac:dyDescent="0.3">
      <c r="A1477" s="90"/>
      <c r="B1477" s="84"/>
      <c r="C1477" s="7"/>
      <c r="D1477" s="85"/>
      <c r="E1477" s="86"/>
      <c r="F1477" s="63"/>
      <c r="G1477" s="127"/>
      <c r="H1477" s="63"/>
      <c r="I1477" s="63"/>
      <c r="J1477" s="63"/>
      <c r="K1477" s="63"/>
      <c r="L1477" s="63"/>
    </row>
    <row r="1478" spans="1:12" ht="20.25" customHeight="1" x14ac:dyDescent="0.3">
      <c r="A1478" s="90"/>
      <c r="B1478" s="84"/>
      <c r="C1478" s="7"/>
      <c r="D1478" s="85"/>
      <c r="E1478" s="86"/>
      <c r="F1478" s="63"/>
      <c r="G1478" s="127"/>
      <c r="H1478" s="63"/>
      <c r="I1478" s="63"/>
      <c r="J1478" s="63"/>
      <c r="K1478" s="63"/>
      <c r="L1478" s="63"/>
    </row>
    <row r="1479" spans="1:12" ht="20.25" customHeight="1" x14ac:dyDescent="0.3">
      <c r="A1479" s="90"/>
      <c r="B1479" s="84"/>
      <c r="C1479" s="7"/>
      <c r="D1479" s="85"/>
      <c r="E1479" s="86"/>
      <c r="F1479" s="63"/>
      <c r="G1479" s="127"/>
      <c r="H1479" s="63"/>
      <c r="I1479" s="63"/>
      <c r="J1479" s="63"/>
      <c r="K1479" s="63"/>
      <c r="L1479" s="63"/>
    </row>
    <row r="1480" spans="1:12" ht="20.25" customHeight="1" x14ac:dyDescent="0.3">
      <c r="A1480" s="90"/>
      <c r="B1480" s="84"/>
      <c r="C1480" s="7"/>
      <c r="D1480" s="85"/>
      <c r="E1480" s="86"/>
      <c r="F1480" s="63"/>
      <c r="G1480" s="127"/>
      <c r="H1480" s="63"/>
      <c r="I1480" s="63"/>
      <c r="J1480" s="63"/>
      <c r="K1480" s="63"/>
      <c r="L1480" s="63"/>
    </row>
    <row r="1481" spans="1:12" ht="20.25" customHeight="1" x14ac:dyDescent="0.3">
      <c r="A1481" s="90"/>
      <c r="B1481" s="84"/>
      <c r="C1481" s="7"/>
      <c r="D1481" s="85"/>
      <c r="E1481" s="86"/>
      <c r="F1481" s="63"/>
      <c r="G1481" s="127"/>
      <c r="H1481" s="63"/>
      <c r="I1481" s="63"/>
      <c r="J1481" s="63"/>
      <c r="K1481" s="63"/>
      <c r="L1481" s="63"/>
    </row>
    <row r="1482" spans="1:12" ht="20.25" customHeight="1" x14ac:dyDescent="0.3">
      <c r="A1482" s="90"/>
      <c r="B1482" s="84"/>
      <c r="C1482" s="7"/>
      <c r="D1482" s="85"/>
      <c r="E1482" s="86"/>
      <c r="F1482" s="63"/>
      <c r="G1482" s="127"/>
      <c r="H1482" s="63"/>
      <c r="I1482" s="63"/>
      <c r="J1482" s="63"/>
      <c r="K1482" s="63"/>
      <c r="L1482" s="63"/>
    </row>
    <row r="1483" spans="1:12" ht="20.25" customHeight="1" x14ac:dyDescent="0.3">
      <c r="A1483" s="90"/>
      <c r="B1483" s="84"/>
      <c r="C1483" s="7"/>
      <c r="D1483" s="85"/>
      <c r="E1483" s="86"/>
      <c r="F1483" s="63"/>
      <c r="G1483" s="127"/>
      <c r="H1483" s="63"/>
      <c r="I1483" s="63"/>
      <c r="J1483" s="63"/>
      <c r="K1483" s="63"/>
      <c r="L1483" s="63"/>
    </row>
    <row r="1484" spans="1:12" ht="20.25" customHeight="1" x14ac:dyDescent="0.3">
      <c r="A1484" s="90"/>
      <c r="B1484" s="84"/>
      <c r="C1484" s="7"/>
      <c r="D1484" s="85"/>
      <c r="E1484" s="86"/>
      <c r="F1484" s="63"/>
      <c r="G1484" s="127"/>
      <c r="H1484" s="63"/>
      <c r="I1484" s="63"/>
      <c r="J1484" s="63"/>
      <c r="K1484" s="63"/>
      <c r="L1484" s="63"/>
    </row>
    <row r="1485" spans="1:12" ht="20.25" customHeight="1" x14ac:dyDescent="0.3">
      <c r="A1485" s="90"/>
      <c r="B1485" s="84"/>
      <c r="C1485" s="7"/>
      <c r="D1485" s="85"/>
      <c r="E1485" s="86"/>
      <c r="F1485" s="63"/>
      <c r="G1485" s="127"/>
      <c r="H1485" s="63"/>
      <c r="I1485" s="63"/>
      <c r="J1485" s="63"/>
      <c r="K1485" s="63"/>
      <c r="L1485" s="63"/>
    </row>
    <row r="1486" spans="1:12" ht="20.25" customHeight="1" x14ac:dyDescent="0.3">
      <c r="A1486" s="90"/>
      <c r="B1486" s="84"/>
      <c r="C1486" s="7"/>
      <c r="D1486" s="85"/>
      <c r="E1486" s="86"/>
      <c r="F1486" s="63"/>
      <c r="G1486" s="127"/>
      <c r="H1486" s="63"/>
      <c r="I1486" s="63"/>
      <c r="J1486" s="63"/>
      <c r="K1486" s="63"/>
      <c r="L1486" s="63"/>
    </row>
    <row r="1487" spans="1:12" ht="20.25" customHeight="1" x14ac:dyDescent="0.3">
      <c r="A1487" s="90"/>
      <c r="B1487" s="84"/>
      <c r="C1487" s="7"/>
      <c r="D1487" s="85"/>
      <c r="E1487" s="86"/>
      <c r="F1487" s="63"/>
      <c r="G1487" s="127"/>
      <c r="H1487" s="63"/>
      <c r="I1487" s="63"/>
      <c r="J1487" s="63"/>
      <c r="K1487" s="63"/>
      <c r="L1487" s="63"/>
    </row>
    <row r="1488" spans="1:12" ht="20.25" customHeight="1" x14ac:dyDescent="0.3">
      <c r="A1488" s="90"/>
      <c r="B1488" s="84"/>
      <c r="C1488" s="7"/>
      <c r="D1488" s="85"/>
      <c r="E1488" s="86"/>
      <c r="F1488" s="63"/>
      <c r="G1488" s="126"/>
      <c r="H1488" s="63"/>
      <c r="I1488" s="63"/>
      <c r="J1488" s="63"/>
      <c r="K1488" s="63"/>
      <c r="L1488" s="63"/>
    </row>
    <row r="1489" spans="1:12" ht="20.25" customHeight="1" x14ac:dyDescent="0.3">
      <c r="A1489" s="90"/>
      <c r="B1489" s="84"/>
      <c r="C1489" s="7"/>
      <c r="D1489" s="85"/>
      <c r="E1489" s="86"/>
      <c r="F1489" s="63"/>
      <c r="G1489" s="124"/>
      <c r="H1489" s="63"/>
      <c r="I1489" s="63"/>
      <c r="J1489" s="63"/>
      <c r="K1489" s="63"/>
      <c r="L1489" s="63"/>
    </row>
    <row r="1490" spans="1:12" ht="20.25" customHeight="1" x14ac:dyDescent="0.3">
      <c r="A1490" s="90"/>
      <c r="B1490" s="84"/>
      <c r="C1490" s="7"/>
      <c r="D1490" s="85"/>
      <c r="E1490" s="86"/>
      <c r="F1490" s="63"/>
      <c r="G1490" s="124"/>
      <c r="H1490" s="63"/>
      <c r="I1490" s="63"/>
      <c r="J1490" s="63"/>
      <c r="K1490" s="63"/>
      <c r="L1490" s="63"/>
    </row>
    <row r="1491" spans="1:12" ht="20.25" customHeight="1" x14ac:dyDescent="0.3">
      <c r="A1491" s="90"/>
      <c r="B1491" s="84"/>
      <c r="C1491" s="7"/>
      <c r="D1491" s="85"/>
      <c r="E1491" s="86"/>
      <c r="F1491" s="63"/>
      <c r="G1491" s="124"/>
      <c r="H1491" s="63"/>
      <c r="I1491" s="63"/>
      <c r="J1491" s="63"/>
      <c r="K1491" s="63"/>
      <c r="L1491" s="63"/>
    </row>
    <row r="1492" spans="1:12" ht="20.25" customHeight="1" x14ac:dyDescent="0.3">
      <c r="A1492" s="90"/>
      <c r="B1492" s="84"/>
      <c r="C1492" s="7"/>
      <c r="D1492" s="85"/>
      <c r="E1492" s="86"/>
      <c r="F1492" s="63"/>
      <c r="G1492" s="124"/>
      <c r="H1492" s="63"/>
      <c r="I1492" s="63"/>
      <c r="J1492" s="63"/>
      <c r="K1492" s="63"/>
      <c r="L1492" s="63"/>
    </row>
    <row r="1493" spans="1:12" ht="20.25" customHeight="1" x14ac:dyDescent="0.3">
      <c r="A1493" s="90"/>
      <c r="B1493" s="84"/>
      <c r="C1493" s="7"/>
      <c r="D1493" s="85"/>
      <c r="E1493" s="86"/>
      <c r="F1493" s="63"/>
      <c r="G1493" s="124"/>
      <c r="H1493" s="63"/>
      <c r="I1493" s="63"/>
      <c r="J1493" s="63"/>
      <c r="K1493" s="63"/>
      <c r="L1493" s="63"/>
    </row>
    <row r="1494" spans="1:12" ht="20.25" customHeight="1" x14ac:dyDescent="0.3">
      <c r="A1494" s="90"/>
      <c r="B1494" s="84"/>
      <c r="C1494" s="7"/>
      <c r="D1494" s="85"/>
      <c r="E1494" s="86"/>
      <c r="F1494" s="63"/>
      <c r="G1494" s="124"/>
      <c r="H1494" s="63"/>
      <c r="I1494" s="63"/>
      <c r="J1494" s="63"/>
      <c r="K1494" s="63"/>
      <c r="L1494" s="63"/>
    </row>
    <row r="1495" spans="1:12" ht="20.25" customHeight="1" x14ac:dyDescent="0.3">
      <c r="A1495" s="90"/>
      <c r="B1495" s="84"/>
      <c r="C1495" s="7"/>
      <c r="D1495" s="85"/>
      <c r="E1495" s="86"/>
      <c r="F1495" s="63"/>
      <c r="G1495" s="123"/>
      <c r="H1495" s="63"/>
      <c r="I1495" s="63"/>
      <c r="J1495" s="63"/>
      <c r="K1495" s="63"/>
      <c r="L1495" s="63"/>
    </row>
    <row r="1496" spans="1:12" ht="20.25" customHeight="1" x14ac:dyDescent="0.3">
      <c r="A1496" s="90"/>
      <c r="B1496" s="84"/>
      <c r="C1496" s="7"/>
      <c r="D1496" s="85"/>
      <c r="E1496" s="86"/>
      <c r="F1496" s="63"/>
      <c r="G1496" s="123"/>
      <c r="H1496" s="63"/>
      <c r="I1496" s="63"/>
      <c r="J1496" s="63"/>
      <c r="K1496" s="63"/>
      <c r="L1496" s="63"/>
    </row>
    <row r="1497" spans="1:12" ht="20.25" customHeight="1" x14ac:dyDescent="0.3">
      <c r="A1497" s="90"/>
      <c r="B1497" s="84"/>
      <c r="C1497" s="7"/>
      <c r="D1497" s="85"/>
      <c r="E1497" s="86"/>
      <c r="F1497" s="63"/>
      <c r="G1497" s="123"/>
      <c r="H1497" s="63"/>
      <c r="I1497" s="63"/>
      <c r="J1497" s="63"/>
      <c r="K1497" s="63"/>
      <c r="L1497" s="63"/>
    </row>
    <row r="1498" spans="1:12" ht="20.25" customHeight="1" x14ac:dyDescent="0.3">
      <c r="A1498" s="90"/>
      <c r="B1498" s="84"/>
      <c r="C1498" s="7"/>
      <c r="D1498" s="85"/>
      <c r="E1498" s="86"/>
      <c r="F1498" s="63"/>
      <c r="G1498" s="123"/>
      <c r="H1498" s="63"/>
      <c r="I1498" s="63"/>
      <c r="J1498" s="63"/>
      <c r="K1498" s="63"/>
      <c r="L1498" s="63"/>
    </row>
    <row r="1499" spans="1:12" ht="20.25" customHeight="1" x14ac:dyDescent="0.3">
      <c r="A1499" s="90"/>
      <c r="B1499" s="84"/>
      <c r="C1499" s="7"/>
      <c r="D1499" s="85"/>
      <c r="E1499" s="86"/>
      <c r="F1499" s="63"/>
      <c r="G1499" s="123"/>
      <c r="H1499" s="63"/>
      <c r="I1499" s="63"/>
      <c r="J1499" s="63"/>
      <c r="K1499" s="63"/>
      <c r="L1499" s="63"/>
    </row>
    <row r="1500" spans="1:12" ht="20.25" customHeight="1" x14ac:dyDescent="0.3">
      <c r="A1500" s="90"/>
      <c r="B1500" s="84"/>
      <c r="C1500" s="7"/>
      <c r="D1500" s="85"/>
      <c r="E1500" s="86"/>
      <c r="F1500" s="63"/>
      <c r="G1500" s="123"/>
      <c r="H1500" s="63"/>
      <c r="I1500" s="63"/>
      <c r="J1500" s="63"/>
      <c r="K1500" s="63"/>
      <c r="L1500" s="63"/>
    </row>
    <row r="1501" spans="1:12" ht="20.25" customHeight="1" x14ac:dyDescent="0.3">
      <c r="A1501" s="90"/>
      <c r="B1501" s="84"/>
      <c r="C1501" s="7"/>
      <c r="D1501" s="85"/>
      <c r="E1501" s="86"/>
      <c r="F1501" s="63"/>
      <c r="G1501" s="123"/>
      <c r="H1501" s="63"/>
      <c r="I1501" s="63"/>
      <c r="J1501" s="63"/>
      <c r="K1501" s="63"/>
      <c r="L1501" s="63"/>
    </row>
    <row r="1502" spans="1:12" ht="20.25" customHeight="1" x14ac:dyDescent="0.3">
      <c r="A1502" s="90"/>
      <c r="B1502" s="84"/>
      <c r="C1502" s="7"/>
      <c r="D1502" s="85"/>
      <c r="E1502" s="86"/>
      <c r="F1502" s="63"/>
      <c r="G1502" s="123"/>
      <c r="H1502" s="63"/>
      <c r="I1502" s="63"/>
      <c r="J1502" s="63"/>
      <c r="K1502" s="63"/>
      <c r="L1502" s="63"/>
    </row>
    <row r="1503" spans="1:12" ht="20.25" customHeight="1" x14ac:dyDescent="0.3">
      <c r="A1503" s="90"/>
      <c r="B1503" s="84"/>
      <c r="C1503" s="7"/>
      <c r="D1503" s="85"/>
      <c r="E1503" s="86"/>
      <c r="F1503" s="63"/>
      <c r="G1503" s="123"/>
      <c r="H1503" s="63"/>
      <c r="I1503" s="63"/>
      <c r="J1503" s="63"/>
      <c r="K1503" s="63"/>
      <c r="L1503" s="63"/>
    </row>
    <row r="1504" spans="1:12" ht="20.25" customHeight="1" x14ac:dyDescent="0.3">
      <c r="A1504" s="90"/>
      <c r="B1504" s="84"/>
      <c r="C1504" s="7"/>
      <c r="D1504" s="85"/>
      <c r="E1504" s="86"/>
      <c r="F1504" s="63"/>
      <c r="G1504" s="123"/>
      <c r="H1504" s="63"/>
      <c r="I1504" s="63"/>
      <c r="J1504" s="63"/>
      <c r="K1504" s="63"/>
      <c r="L1504" s="63"/>
    </row>
    <row r="1505" spans="1:12" ht="20.25" customHeight="1" x14ac:dyDescent="0.3">
      <c r="A1505" s="90"/>
      <c r="B1505" s="84"/>
      <c r="C1505" s="7"/>
      <c r="D1505" s="85"/>
      <c r="E1505" s="86"/>
      <c r="F1505" s="63"/>
      <c r="G1505" s="123"/>
      <c r="H1505" s="63"/>
      <c r="I1505" s="63"/>
      <c r="J1505" s="63"/>
      <c r="K1505" s="63"/>
      <c r="L1505" s="63"/>
    </row>
    <row r="1506" spans="1:12" ht="20.25" customHeight="1" x14ac:dyDescent="0.3">
      <c r="A1506" s="90"/>
      <c r="B1506" s="84"/>
      <c r="C1506" s="7"/>
      <c r="D1506" s="85"/>
      <c r="E1506" s="86"/>
      <c r="F1506" s="63"/>
      <c r="G1506" s="123"/>
      <c r="H1506" s="63"/>
      <c r="I1506" s="63"/>
      <c r="J1506" s="63"/>
      <c r="K1506" s="63"/>
      <c r="L1506" s="63"/>
    </row>
    <row r="1507" spans="1:12" ht="20.25" customHeight="1" x14ac:dyDescent="0.3">
      <c r="A1507" s="90"/>
      <c r="B1507" s="84"/>
      <c r="C1507" s="7"/>
      <c r="D1507" s="85"/>
      <c r="E1507" s="86"/>
      <c r="F1507" s="63"/>
      <c r="G1507" s="123"/>
      <c r="H1507" s="63"/>
      <c r="I1507" s="63"/>
      <c r="J1507" s="63"/>
      <c r="K1507" s="63"/>
      <c r="L1507" s="63"/>
    </row>
    <row r="1508" spans="1:12" ht="20.25" customHeight="1" x14ac:dyDescent="0.3">
      <c r="A1508" s="90"/>
      <c r="B1508" s="84"/>
      <c r="C1508" s="7"/>
      <c r="D1508" s="85"/>
      <c r="E1508" s="86"/>
      <c r="F1508" s="63"/>
      <c r="G1508" s="123"/>
      <c r="H1508" s="63"/>
      <c r="I1508" s="63"/>
      <c r="J1508" s="63"/>
      <c r="K1508" s="63"/>
      <c r="L1508" s="63"/>
    </row>
    <row r="1509" spans="1:12" ht="20.25" customHeight="1" x14ac:dyDescent="0.3">
      <c r="A1509" s="90"/>
      <c r="B1509" s="84"/>
      <c r="C1509" s="7"/>
      <c r="D1509" s="85"/>
      <c r="E1509" s="86"/>
      <c r="F1509" s="63"/>
      <c r="G1509" s="123"/>
      <c r="H1509" s="63"/>
      <c r="I1509" s="63"/>
      <c r="J1509" s="63"/>
      <c r="K1509" s="63"/>
      <c r="L1509" s="63"/>
    </row>
    <row r="1510" spans="1:12" ht="20.25" customHeight="1" x14ac:dyDescent="0.3">
      <c r="A1510" s="90"/>
      <c r="B1510" s="84"/>
      <c r="C1510" s="7"/>
      <c r="D1510" s="85"/>
      <c r="E1510" s="86"/>
      <c r="F1510" s="63"/>
      <c r="G1510" s="123"/>
      <c r="H1510" s="63"/>
      <c r="I1510" s="63"/>
      <c r="J1510" s="63"/>
      <c r="K1510" s="63"/>
      <c r="L1510" s="63"/>
    </row>
    <row r="1511" spans="1:12" ht="20.25" customHeight="1" x14ac:dyDescent="0.3">
      <c r="A1511" s="90"/>
      <c r="B1511" s="84"/>
      <c r="C1511" s="7"/>
      <c r="D1511" s="85"/>
      <c r="E1511" s="86"/>
      <c r="F1511" s="63"/>
      <c r="G1511" s="123"/>
      <c r="H1511" s="63"/>
      <c r="I1511" s="63"/>
      <c r="J1511" s="63"/>
      <c r="K1511" s="63"/>
      <c r="L1511" s="63"/>
    </row>
    <row r="1512" spans="1:12" ht="20.25" customHeight="1" x14ac:dyDescent="0.3">
      <c r="A1512" s="90"/>
      <c r="B1512" s="84"/>
      <c r="C1512" s="7"/>
      <c r="D1512" s="85"/>
      <c r="E1512" s="86"/>
      <c r="F1512" s="63"/>
      <c r="G1512" s="123"/>
      <c r="H1512" s="63"/>
      <c r="I1512" s="63"/>
      <c r="J1512" s="63"/>
      <c r="K1512" s="63"/>
      <c r="L1512" s="63"/>
    </row>
    <row r="1513" spans="1:12" ht="20.25" customHeight="1" x14ac:dyDescent="0.3">
      <c r="A1513" s="90"/>
      <c r="B1513" s="84"/>
      <c r="C1513" s="7"/>
      <c r="D1513" s="85"/>
      <c r="E1513" s="86"/>
      <c r="F1513" s="63"/>
      <c r="G1513" s="123"/>
      <c r="H1513" s="63"/>
      <c r="I1513" s="63"/>
      <c r="J1513" s="63"/>
      <c r="K1513" s="63"/>
      <c r="L1513" s="63"/>
    </row>
    <row r="1514" spans="1:12" ht="20.25" customHeight="1" x14ac:dyDescent="0.3">
      <c r="A1514" s="90"/>
      <c r="B1514" s="84"/>
      <c r="C1514" s="7"/>
      <c r="D1514" s="85"/>
      <c r="E1514" s="86"/>
      <c r="F1514" s="63"/>
      <c r="G1514" s="123"/>
      <c r="H1514" s="63"/>
      <c r="I1514" s="63"/>
      <c r="J1514" s="63"/>
      <c r="K1514" s="63"/>
      <c r="L1514" s="63"/>
    </row>
    <row r="1515" spans="1:12" ht="20.25" customHeight="1" x14ac:dyDescent="0.3">
      <c r="A1515" s="90"/>
      <c r="B1515" s="84"/>
      <c r="C1515" s="7"/>
      <c r="D1515" s="85"/>
      <c r="E1515" s="86"/>
      <c r="F1515" s="63"/>
      <c r="G1515" s="123"/>
      <c r="H1515" s="63"/>
      <c r="I1515" s="63"/>
      <c r="J1515" s="63"/>
      <c r="K1515" s="63"/>
      <c r="L1515" s="63"/>
    </row>
    <row r="1516" spans="1:12" ht="20.25" customHeight="1" x14ac:dyDescent="0.3">
      <c r="A1516" s="90"/>
      <c r="B1516" s="84"/>
      <c r="C1516" s="7"/>
      <c r="D1516" s="85"/>
      <c r="E1516" s="86"/>
      <c r="F1516" s="63"/>
      <c r="G1516" s="123"/>
      <c r="H1516" s="63"/>
      <c r="I1516" s="63"/>
      <c r="J1516" s="63"/>
      <c r="K1516" s="63"/>
      <c r="L1516" s="63"/>
    </row>
    <row r="1517" spans="1:12" ht="20.25" customHeight="1" x14ac:dyDescent="0.3">
      <c r="A1517" s="90"/>
      <c r="B1517" s="84"/>
      <c r="C1517" s="7"/>
      <c r="D1517" s="85"/>
      <c r="E1517" s="86"/>
      <c r="F1517" s="63"/>
      <c r="G1517" s="123"/>
      <c r="H1517" s="63"/>
      <c r="I1517" s="63"/>
      <c r="J1517" s="63"/>
      <c r="K1517" s="63"/>
      <c r="L1517" s="63"/>
    </row>
    <row r="1518" spans="1:12" ht="20.25" customHeight="1" x14ac:dyDescent="0.3">
      <c r="A1518" s="90"/>
      <c r="B1518" s="84"/>
      <c r="C1518" s="7"/>
      <c r="D1518" s="85"/>
      <c r="E1518" s="86"/>
      <c r="F1518" s="63"/>
      <c r="G1518" s="123"/>
      <c r="H1518" s="63"/>
      <c r="I1518" s="63"/>
      <c r="J1518" s="63"/>
      <c r="K1518" s="63"/>
      <c r="L1518" s="63"/>
    </row>
    <row r="1519" spans="1:12" ht="20.25" customHeight="1" x14ac:dyDescent="0.3">
      <c r="A1519" s="90"/>
      <c r="B1519" s="84"/>
      <c r="C1519" s="7"/>
      <c r="D1519" s="85"/>
      <c r="E1519" s="86"/>
      <c r="F1519" s="63"/>
      <c r="G1519" s="123"/>
      <c r="H1519" s="63"/>
      <c r="I1519" s="63"/>
      <c r="J1519" s="63"/>
      <c r="K1519" s="63"/>
      <c r="L1519" s="63"/>
    </row>
    <row r="1520" spans="1:12" ht="20.25" customHeight="1" x14ac:dyDescent="0.3">
      <c r="A1520" s="90"/>
      <c r="B1520" s="84"/>
      <c r="C1520" s="7"/>
      <c r="D1520" s="85"/>
      <c r="E1520" s="86"/>
      <c r="F1520" s="63"/>
      <c r="G1520" s="123"/>
      <c r="H1520" s="63"/>
      <c r="I1520" s="63"/>
      <c r="J1520" s="63"/>
      <c r="K1520" s="63"/>
      <c r="L1520" s="63"/>
    </row>
    <row r="1521" spans="1:12" ht="20.25" customHeight="1" x14ac:dyDescent="0.3">
      <c r="A1521" s="90"/>
      <c r="B1521" s="84"/>
      <c r="C1521" s="7"/>
      <c r="D1521" s="85"/>
      <c r="E1521" s="86"/>
      <c r="F1521" s="63"/>
      <c r="G1521" s="123"/>
      <c r="H1521" s="63"/>
      <c r="I1521" s="63"/>
      <c r="J1521" s="63"/>
      <c r="K1521" s="63"/>
      <c r="L1521" s="63"/>
    </row>
    <row r="1522" spans="1:12" ht="20.25" customHeight="1" x14ac:dyDescent="0.3">
      <c r="A1522" s="90"/>
      <c r="B1522" s="84"/>
      <c r="C1522" s="7"/>
      <c r="D1522" s="85"/>
      <c r="E1522" s="86"/>
      <c r="F1522" s="63"/>
      <c r="G1522" s="123"/>
      <c r="H1522" s="63"/>
      <c r="I1522" s="63"/>
      <c r="J1522" s="63"/>
      <c r="K1522" s="63"/>
      <c r="L1522" s="63"/>
    </row>
    <row r="1523" spans="1:12" ht="20.25" customHeight="1" x14ac:dyDescent="0.3">
      <c r="A1523" s="90"/>
      <c r="B1523" s="84"/>
      <c r="C1523" s="7"/>
      <c r="D1523" s="85"/>
      <c r="E1523" s="86"/>
      <c r="F1523" s="63"/>
      <c r="G1523" s="123"/>
      <c r="H1523" s="63"/>
      <c r="I1523" s="63"/>
      <c r="J1523" s="63"/>
      <c r="K1523" s="63"/>
      <c r="L1523" s="63"/>
    </row>
    <row r="1524" spans="1:12" ht="20.25" customHeight="1" x14ac:dyDescent="0.3">
      <c r="A1524" s="90"/>
      <c r="B1524" s="84"/>
      <c r="C1524" s="7"/>
      <c r="D1524" s="85"/>
      <c r="E1524" s="86"/>
      <c r="F1524" s="63"/>
      <c r="G1524" s="123"/>
      <c r="H1524" s="63"/>
      <c r="I1524" s="63"/>
      <c r="J1524" s="63"/>
      <c r="K1524" s="63"/>
      <c r="L1524" s="63"/>
    </row>
    <row r="1525" spans="1:12" ht="20.25" customHeight="1" x14ac:dyDescent="0.3">
      <c r="A1525" s="90"/>
      <c r="B1525" s="84"/>
      <c r="C1525" s="7"/>
      <c r="D1525" s="85"/>
      <c r="E1525" s="86"/>
      <c r="F1525" s="63"/>
      <c r="G1525" s="123"/>
      <c r="H1525" s="63"/>
      <c r="I1525" s="63"/>
      <c r="J1525" s="63"/>
      <c r="K1525" s="63"/>
      <c r="L1525" s="63"/>
    </row>
    <row r="1526" spans="1:12" ht="20.25" customHeight="1" x14ac:dyDescent="0.3">
      <c r="A1526" s="90"/>
      <c r="B1526" s="84"/>
      <c r="C1526" s="7"/>
      <c r="D1526" s="85"/>
      <c r="E1526" s="86"/>
      <c r="F1526" s="63"/>
      <c r="G1526" s="123"/>
      <c r="H1526" s="63"/>
      <c r="I1526" s="63"/>
      <c r="J1526" s="63"/>
      <c r="K1526" s="63"/>
      <c r="L1526" s="63"/>
    </row>
    <row r="1527" spans="1:12" ht="20.25" customHeight="1" x14ac:dyDescent="0.3">
      <c r="A1527" s="90"/>
      <c r="B1527" s="84"/>
      <c r="C1527" s="7"/>
      <c r="D1527" s="85"/>
      <c r="E1527" s="86"/>
      <c r="F1527" s="63"/>
      <c r="G1527" s="123"/>
      <c r="H1527" s="63"/>
      <c r="I1527" s="63"/>
      <c r="J1527" s="63"/>
      <c r="K1527" s="63"/>
      <c r="L1527" s="63"/>
    </row>
    <row r="1528" spans="1:12" ht="20.25" customHeight="1" x14ac:dyDescent="0.3">
      <c r="A1528" s="90"/>
      <c r="B1528" s="84"/>
      <c r="C1528" s="7"/>
      <c r="D1528" s="85"/>
      <c r="E1528" s="86"/>
      <c r="F1528" s="63"/>
      <c r="G1528" s="123"/>
      <c r="H1528" s="63"/>
      <c r="I1528" s="63"/>
      <c r="J1528" s="63"/>
      <c r="K1528" s="63"/>
      <c r="L1528" s="63"/>
    </row>
    <row r="1529" spans="1:12" ht="20.25" customHeight="1" x14ac:dyDescent="0.3">
      <c r="A1529" s="90"/>
      <c r="B1529" s="84"/>
      <c r="C1529" s="7"/>
      <c r="D1529" s="85"/>
      <c r="E1529" s="86"/>
      <c r="F1529" s="63"/>
      <c r="G1529" s="123"/>
      <c r="H1529" s="63"/>
      <c r="I1529" s="63"/>
      <c r="J1529" s="63"/>
      <c r="K1529" s="63"/>
      <c r="L1529" s="63"/>
    </row>
    <row r="1530" spans="1:12" ht="20.25" customHeight="1" x14ac:dyDescent="0.3">
      <c r="A1530" s="90"/>
      <c r="B1530" s="84"/>
      <c r="C1530" s="7"/>
      <c r="D1530" s="85"/>
      <c r="E1530" s="86"/>
      <c r="F1530" s="63"/>
      <c r="G1530" s="123"/>
      <c r="H1530" s="63"/>
      <c r="I1530" s="63"/>
      <c r="J1530" s="63"/>
      <c r="K1530" s="63"/>
      <c r="L1530" s="63"/>
    </row>
    <row r="1531" spans="1:12" ht="20.25" customHeight="1" x14ac:dyDescent="0.3">
      <c r="A1531" s="90"/>
      <c r="B1531" s="84"/>
      <c r="C1531" s="7"/>
      <c r="D1531" s="85"/>
      <c r="E1531" s="86"/>
      <c r="F1531" s="63"/>
      <c r="G1531" s="123"/>
      <c r="H1531" s="63"/>
      <c r="I1531" s="63"/>
      <c r="J1531" s="63"/>
      <c r="K1531" s="63"/>
      <c r="L1531" s="63"/>
    </row>
    <row r="1532" spans="1:12" ht="20.25" customHeight="1" x14ac:dyDescent="0.3">
      <c r="A1532" s="90"/>
      <c r="B1532" s="84"/>
      <c r="C1532" s="7"/>
      <c r="D1532" s="85"/>
      <c r="E1532" s="86"/>
      <c r="F1532" s="63"/>
      <c r="G1532" s="123"/>
      <c r="H1532" s="63"/>
      <c r="I1532" s="63"/>
      <c r="J1532" s="63"/>
      <c r="K1532" s="63"/>
      <c r="L1532" s="63"/>
    </row>
    <row r="1533" spans="1:12" ht="20.25" customHeight="1" x14ac:dyDescent="0.3">
      <c r="A1533" s="90"/>
      <c r="B1533" s="84"/>
      <c r="C1533" s="7"/>
      <c r="D1533" s="85"/>
      <c r="E1533" s="86"/>
      <c r="F1533" s="63"/>
      <c r="G1533" s="123"/>
      <c r="H1533" s="63"/>
      <c r="I1533" s="63"/>
      <c r="J1533" s="63"/>
      <c r="K1533" s="63"/>
      <c r="L1533" s="63"/>
    </row>
    <row r="1534" spans="1:12" ht="20.25" customHeight="1" x14ac:dyDescent="0.3">
      <c r="A1534" s="90"/>
      <c r="B1534" s="84"/>
      <c r="C1534" s="7"/>
      <c r="D1534" s="85"/>
      <c r="E1534" s="86"/>
      <c r="F1534" s="63"/>
      <c r="G1534" s="123"/>
      <c r="H1534" s="63"/>
      <c r="I1534" s="63"/>
      <c r="J1534" s="63"/>
      <c r="K1534" s="63"/>
      <c r="L1534" s="63"/>
    </row>
    <row r="1535" spans="1:12" ht="20.25" customHeight="1" x14ac:dyDescent="0.3">
      <c r="A1535" s="90"/>
      <c r="B1535" s="84"/>
      <c r="C1535" s="7"/>
      <c r="D1535" s="85"/>
      <c r="E1535" s="86"/>
      <c r="F1535" s="63"/>
      <c r="G1535" s="123"/>
      <c r="H1535" s="63"/>
      <c r="I1535" s="63"/>
      <c r="J1535" s="63"/>
      <c r="K1535" s="63"/>
      <c r="L1535" s="63"/>
    </row>
    <row r="1536" spans="1:12" ht="20.25" customHeight="1" x14ac:dyDescent="0.3">
      <c r="A1536" s="90"/>
      <c r="B1536" s="84"/>
      <c r="C1536" s="7"/>
      <c r="D1536" s="85"/>
      <c r="E1536" s="86"/>
      <c r="F1536" s="63"/>
      <c r="G1536" s="123"/>
      <c r="H1536" s="63"/>
      <c r="I1536" s="63"/>
      <c r="J1536" s="63"/>
      <c r="K1536" s="63"/>
      <c r="L1536" s="63"/>
    </row>
    <row r="1537" spans="1:12" ht="20.25" customHeight="1" x14ac:dyDescent="0.3">
      <c r="A1537" s="90"/>
      <c r="B1537" s="84"/>
      <c r="C1537" s="7"/>
      <c r="D1537" s="85"/>
      <c r="E1537" s="86"/>
      <c r="F1537" s="63"/>
      <c r="G1537" s="123"/>
      <c r="H1537" s="63"/>
      <c r="I1537" s="63"/>
      <c r="J1537" s="63"/>
      <c r="K1537" s="63"/>
      <c r="L1537" s="63"/>
    </row>
    <row r="1538" spans="1:12" ht="20.25" customHeight="1" x14ac:dyDescent="0.3">
      <c r="A1538" s="90"/>
      <c r="B1538" s="84"/>
      <c r="C1538" s="7"/>
      <c r="D1538" s="85"/>
      <c r="E1538" s="86"/>
      <c r="F1538" s="63"/>
      <c r="G1538" s="123"/>
      <c r="H1538" s="63"/>
      <c r="I1538" s="63"/>
      <c r="J1538" s="63"/>
      <c r="K1538" s="63"/>
      <c r="L1538" s="63"/>
    </row>
    <row r="1539" spans="1:12" ht="20.25" customHeight="1" x14ac:dyDescent="0.3">
      <c r="A1539" s="90"/>
      <c r="B1539" s="84"/>
      <c r="C1539" s="7"/>
      <c r="D1539" s="85"/>
      <c r="E1539" s="86"/>
      <c r="F1539" s="63"/>
      <c r="G1539" s="123"/>
      <c r="H1539" s="63"/>
      <c r="I1539" s="63"/>
      <c r="J1539" s="63"/>
      <c r="K1539" s="63"/>
      <c r="L1539" s="63"/>
    </row>
    <row r="1540" spans="1:12" ht="20.25" customHeight="1" x14ac:dyDescent="0.3">
      <c r="A1540" s="90"/>
      <c r="B1540" s="84"/>
      <c r="C1540" s="7"/>
      <c r="D1540" s="85"/>
      <c r="E1540" s="86"/>
      <c r="F1540" s="63"/>
      <c r="G1540" s="123"/>
      <c r="H1540" s="63"/>
      <c r="I1540" s="63"/>
      <c r="J1540" s="63"/>
      <c r="K1540" s="63"/>
      <c r="L1540" s="63"/>
    </row>
    <row r="1541" spans="1:12" ht="20.25" customHeight="1" x14ac:dyDescent="0.3">
      <c r="A1541" s="90"/>
      <c r="B1541" s="84"/>
      <c r="C1541" s="7"/>
      <c r="D1541" s="85"/>
      <c r="E1541" s="86"/>
      <c r="F1541" s="63"/>
      <c r="G1541" s="123"/>
      <c r="H1541" s="63"/>
      <c r="I1541" s="63"/>
      <c r="J1541" s="63"/>
      <c r="K1541" s="63"/>
      <c r="L1541" s="63"/>
    </row>
    <row r="1542" spans="1:12" ht="20.25" customHeight="1" x14ac:dyDescent="0.3">
      <c r="A1542" s="90"/>
      <c r="B1542" s="84"/>
      <c r="C1542" s="7"/>
      <c r="D1542" s="85"/>
      <c r="E1542" s="86"/>
      <c r="F1542" s="63"/>
      <c r="G1542" s="123"/>
      <c r="H1542" s="63"/>
      <c r="I1542" s="63"/>
      <c r="J1542" s="63"/>
      <c r="K1542" s="63"/>
      <c r="L1542" s="63"/>
    </row>
    <row r="1543" spans="1:12" ht="20.25" customHeight="1" x14ac:dyDescent="0.3">
      <c r="A1543" s="90"/>
      <c r="B1543" s="84"/>
      <c r="C1543" s="7"/>
      <c r="D1543" s="85"/>
      <c r="E1543" s="86"/>
      <c r="F1543" s="63"/>
      <c r="G1543" s="123"/>
      <c r="H1543" s="63"/>
      <c r="I1543" s="63"/>
      <c r="J1543" s="63"/>
      <c r="K1543" s="63"/>
      <c r="L1543" s="63"/>
    </row>
    <row r="1544" spans="1:12" ht="20.25" customHeight="1" x14ac:dyDescent="0.3">
      <c r="A1544" s="90"/>
      <c r="B1544" s="84"/>
      <c r="C1544" s="7"/>
      <c r="D1544" s="85"/>
      <c r="E1544" s="86"/>
      <c r="F1544" s="63"/>
      <c r="G1544" s="123"/>
      <c r="H1544" s="63"/>
      <c r="I1544" s="63"/>
      <c r="J1544" s="63"/>
      <c r="K1544" s="63"/>
      <c r="L1544" s="63"/>
    </row>
    <row r="1545" spans="1:12" ht="20.25" customHeight="1" x14ac:dyDescent="0.3">
      <c r="A1545" s="90"/>
      <c r="B1545" s="84"/>
      <c r="C1545" s="7"/>
      <c r="D1545" s="85"/>
      <c r="E1545" s="86"/>
      <c r="F1545" s="63"/>
      <c r="G1545" s="123"/>
      <c r="H1545" s="63"/>
      <c r="I1545" s="63"/>
      <c r="J1545" s="63"/>
      <c r="K1545" s="63"/>
      <c r="L1545" s="63"/>
    </row>
    <row r="1546" spans="1:12" ht="20.25" customHeight="1" x14ac:dyDescent="0.3">
      <c r="A1546" s="90"/>
      <c r="B1546" s="84"/>
      <c r="C1546" s="7"/>
      <c r="D1546" s="85"/>
      <c r="E1546" s="86"/>
      <c r="F1546" s="63"/>
      <c r="G1546" s="123"/>
      <c r="H1546" s="63"/>
      <c r="I1546" s="63"/>
      <c r="J1546" s="63"/>
      <c r="K1546" s="63"/>
      <c r="L1546" s="63"/>
    </row>
    <row r="1547" spans="1:12" ht="20.25" customHeight="1" x14ac:dyDescent="0.3">
      <c r="A1547" s="90"/>
      <c r="B1547" s="84"/>
      <c r="C1547" s="7"/>
      <c r="D1547" s="85"/>
      <c r="E1547" s="86"/>
      <c r="F1547" s="63"/>
      <c r="G1547" s="123"/>
      <c r="H1547" s="63"/>
      <c r="I1547" s="63"/>
      <c r="J1547" s="63"/>
      <c r="K1547" s="63"/>
      <c r="L1547" s="63"/>
    </row>
    <row r="1548" spans="1:12" ht="20.25" customHeight="1" x14ac:dyDescent="0.3">
      <c r="A1548" s="90"/>
      <c r="B1548" s="84"/>
      <c r="C1548" s="7"/>
      <c r="D1548" s="85"/>
      <c r="E1548" s="86"/>
      <c r="F1548" s="63"/>
      <c r="G1548" s="123"/>
      <c r="H1548" s="63"/>
      <c r="I1548" s="63"/>
      <c r="J1548" s="63"/>
      <c r="K1548" s="63"/>
      <c r="L1548" s="63"/>
    </row>
    <row r="1549" spans="1:12" ht="20.25" customHeight="1" x14ac:dyDescent="0.3">
      <c r="A1549" s="90"/>
      <c r="B1549" s="84"/>
      <c r="C1549" s="7"/>
      <c r="D1549" s="85"/>
      <c r="E1549" s="86"/>
      <c r="F1549" s="63"/>
      <c r="G1549" s="123"/>
      <c r="H1549" s="63"/>
      <c r="I1549" s="63"/>
      <c r="J1549" s="63"/>
      <c r="K1549" s="63"/>
      <c r="L1549" s="63"/>
    </row>
    <row r="1550" spans="1:12" ht="20.25" customHeight="1" x14ac:dyDescent="0.3">
      <c r="A1550" s="90"/>
      <c r="B1550" s="84"/>
      <c r="C1550" s="7"/>
      <c r="D1550" s="85"/>
      <c r="E1550" s="86"/>
      <c r="F1550" s="63"/>
      <c r="G1550" s="123"/>
      <c r="H1550" s="63"/>
      <c r="I1550" s="63"/>
      <c r="J1550" s="63"/>
      <c r="K1550" s="63"/>
      <c r="L1550" s="63"/>
    </row>
    <row r="1551" spans="1:12" ht="20.25" customHeight="1" x14ac:dyDescent="0.3">
      <c r="A1551" s="90"/>
      <c r="B1551" s="84"/>
      <c r="C1551" s="7"/>
      <c r="D1551" s="85"/>
      <c r="E1551" s="86"/>
      <c r="F1551" s="63"/>
      <c r="G1551" s="123"/>
      <c r="H1551" s="63"/>
      <c r="I1551" s="63"/>
      <c r="J1551" s="63"/>
      <c r="K1551" s="63"/>
      <c r="L1551" s="63"/>
    </row>
    <row r="1552" spans="1:12" ht="20.25" customHeight="1" x14ac:dyDescent="0.3">
      <c r="A1552" s="90"/>
      <c r="B1552" s="84"/>
      <c r="C1552" s="7"/>
      <c r="D1552" s="85"/>
      <c r="E1552" s="86"/>
      <c r="F1552" s="63"/>
      <c r="G1552" s="123"/>
      <c r="H1552" s="63"/>
      <c r="I1552" s="63"/>
      <c r="J1552" s="63"/>
      <c r="K1552" s="63"/>
      <c r="L1552" s="63"/>
    </row>
    <row r="1553" spans="1:12" ht="20.25" customHeight="1" x14ac:dyDescent="0.3">
      <c r="A1553" s="90"/>
      <c r="B1553" s="84"/>
      <c r="C1553" s="7"/>
      <c r="D1553" s="85"/>
      <c r="E1553" s="86"/>
      <c r="F1553" s="63"/>
      <c r="G1553" s="123"/>
      <c r="H1553" s="63"/>
      <c r="I1553" s="63"/>
      <c r="J1553" s="63"/>
      <c r="K1553" s="63"/>
      <c r="L1553" s="63"/>
    </row>
    <row r="1554" spans="1:12" ht="20.25" customHeight="1" x14ac:dyDescent="0.3">
      <c r="A1554" s="90"/>
      <c r="B1554" s="84"/>
      <c r="C1554" s="7"/>
      <c r="D1554" s="85"/>
      <c r="E1554" s="86"/>
      <c r="F1554" s="63"/>
      <c r="G1554" s="123"/>
      <c r="H1554" s="63"/>
      <c r="I1554" s="63"/>
      <c r="J1554" s="63"/>
      <c r="K1554" s="63"/>
      <c r="L1554" s="63"/>
    </row>
    <row r="1555" spans="1:12" ht="20.25" customHeight="1" x14ac:dyDescent="0.3">
      <c r="A1555" s="90"/>
      <c r="B1555" s="84"/>
      <c r="C1555" s="7"/>
      <c r="D1555" s="85"/>
      <c r="E1555" s="86"/>
      <c r="F1555" s="63"/>
      <c r="G1555" s="123"/>
      <c r="H1555" s="63"/>
      <c r="I1555" s="63"/>
      <c r="J1555" s="63"/>
      <c r="K1555" s="63"/>
      <c r="L1555" s="63"/>
    </row>
    <row r="1556" spans="1:12" ht="20.25" customHeight="1" x14ac:dyDescent="0.3">
      <c r="A1556" s="90"/>
      <c r="B1556" s="84"/>
      <c r="C1556" s="7"/>
      <c r="D1556" s="85"/>
      <c r="E1556" s="86"/>
      <c r="F1556" s="63"/>
      <c r="G1556" s="123"/>
      <c r="H1556" s="63"/>
      <c r="I1556" s="63"/>
      <c r="J1556" s="63"/>
      <c r="K1556" s="63"/>
    </row>
    <row r="1557" spans="1:12" ht="20.25" customHeight="1" x14ac:dyDescent="0.3">
      <c r="A1557" s="90"/>
      <c r="B1557" s="84"/>
      <c r="C1557" s="7"/>
      <c r="D1557" s="85"/>
      <c r="E1557" s="86"/>
      <c r="F1557" s="63"/>
      <c r="G1557" s="123"/>
      <c r="H1557" s="63"/>
      <c r="I1557" s="63"/>
      <c r="J1557" s="63"/>
      <c r="K1557" s="63"/>
    </row>
    <row r="1558" spans="1:12" ht="20.25" customHeight="1" x14ac:dyDescent="0.3">
      <c r="A1558" s="90"/>
      <c r="B1558" s="84"/>
      <c r="C1558" s="7"/>
      <c r="D1558" s="85"/>
      <c r="E1558" s="86"/>
      <c r="F1558" s="63"/>
      <c r="G1558" s="123"/>
      <c r="H1558" s="63"/>
      <c r="I1558" s="63"/>
      <c r="J1558" s="63"/>
      <c r="K1558" s="63"/>
    </row>
    <row r="1559" spans="1:12" ht="20.25" customHeight="1" x14ac:dyDescent="0.3">
      <c r="A1559" s="90"/>
      <c r="B1559" s="84"/>
      <c r="C1559" s="7"/>
      <c r="D1559" s="85"/>
      <c r="E1559" s="86"/>
      <c r="F1559" s="63"/>
      <c r="G1559" s="123"/>
      <c r="H1559" s="63"/>
      <c r="I1559" s="63"/>
      <c r="J1559" s="63"/>
      <c r="K1559" s="63"/>
    </row>
    <row r="1560" spans="1:12" ht="20.25" customHeight="1" x14ac:dyDescent="0.3">
      <c r="A1560" s="90"/>
      <c r="B1560" s="84"/>
      <c r="C1560" s="7"/>
      <c r="D1560" s="85"/>
      <c r="E1560" s="86"/>
      <c r="F1560" s="63"/>
      <c r="G1560" s="123"/>
      <c r="H1560" s="63"/>
      <c r="I1560" s="63"/>
      <c r="J1560" s="63"/>
      <c r="K1560" s="63"/>
    </row>
    <row r="1561" spans="1:12" ht="20.25" customHeight="1" x14ac:dyDescent="0.3">
      <c r="A1561" s="90"/>
      <c r="B1561" s="84"/>
      <c r="C1561" s="7"/>
      <c r="D1561" s="85"/>
      <c r="E1561" s="86"/>
      <c r="F1561" s="63"/>
      <c r="G1561" s="123"/>
      <c r="H1561" s="63"/>
      <c r="I1561" s="63"/>
      <c r="J1561" s="63"/>
      <c r="K1561" s="63"/>
    </row>
    <row r="1562" spans="1:12" ht="20.25" customHeight="1" x14ac:dyDescent="0.3">
      <c r="A1562" s="90"/>
      <c r="B1562" s="84"/>
      <c r="C1562" s="7"/>
      <c r="D1562" s="85"/>
      <c r="E1562" s="86"/>
      <c r="F1562" s="63"/>
      <c r="G1562" s="123"/>
      <c r="H1562" s="63"/>
      <c r="I1562" s="63"/>
      <c r="J1562" s="63"/>
      <c r="K1562" s="63"/>
    </row>
    <row r="1563" spans="1:12" ht="20.25" customHeight="1" x14ac:dyDescent="0.3">
      <c r="A1563" s="90"/>
      <c r="B1563" s="84"/>
      <c r="C1563" s="7"/>
      <c r="D1563" s="85"/>
      <c r="E1563" s="86"/>
      <c r="F1563" s="63"/>
      <c r="G1563" s="122"/>
      <c r="H1563" s="63"/>
      <c r="I1563" s="63"/>
      <c r="J1563" s="63"/>
      <c r="K1563" s="63"/>
    </row>
    <row r="1564" spans="1:12" ht="20.25" customHeight="1" x14ac:dyDescent="0.3">
      <c r="A1564" s="90"/>
      <c r="B1564" s="84"/>
      <c r="C1564" s="7"/>
      <c r="D1564" s="85"/>
      <c r="E1564" s="86"/>
      <c r="F1564" s="63"/>
      <c r="G1564" s="122"/>
      <c r="H1564" s="63"/>
      <c r="I1564" s="63"/>
      <c r="J1564" s="63"/>
      <c r="K1564" s="63"/>
    </row>
    <row r="1565" spans="1:12" ht="20.25" customHeight="1" x14ac:dyDescent="0.3">
      <c r="A1565" s="90"/>
      <c r="B1565" s="84"/>
      <c r="C1565" s="7"/>
      <c r="D1565" s="85"/>
      <c r="E1565" s="86"/>
      <c r="F1565" s="63"/>
      <c r="G1565" s="122"/>
      <c r="H1565" s="63"/>
      <c r="I1565" s="63"/>
      <c r="J1565" s="63"/>
      <c r="K1565" s="63"/>
    </row>
    <row r="1566" spans="1:12" ht="20.25" customHeight="1" x14ac:dyDescent="0.3">
      <c r="A1566" s="90"/>
      <c r="B1566" s="84"/>
      <c r="C1566" s="7"/>
      <c r="D1566" s="85"/>
      <c r="E1566" s="86"/>
      <c r="F1566" s="63"/>
      <c r="G1566" s="122"/>
      <c r="H1566" s="63"/>
      <c r="I1566" s="63"/>
      <c r="J1566" s="63"/>
      <c r="K1566" s="63"/>
    </row>
    <row r="1567" spans="1:12" ht="20.25" customHeight="1" x14ac:dyDescent="0.3">
      <c r="A1567" s="90"/>
      <c r="B1567" s="84"/>
      <c r="C1567" s="7"/>
      <c r="D1567" s="85"/>
      <c r="E1567" s="86"/>
      <c r="F1567" s="63"/>
      <c r="G1567" s="122"/>
      <c r="H1567" s="63"/>
      <c r="I1567" s="63"/>
      <c r="J1567" s="63"/>
      <c r="K1567" s="63"/>
    </row>
    <row r="1568" spans="1:12" ht="20.25" customHeight="1" x14ac:dyDescent="0.3">
      <c r="A1568" s="90"/>
      <c r="B1568" s="84"/>
      <c r="C1568" s="7"/>
      <c r="D1568" s="85"/>
      <c r="E1568" s="86"/>
      <c r="F1568" s="63"/>
      <c r="G1568" s="122"/>
      <c r="H1568" s="63"/>
      <c r="I1568" s="63"/>
      <c r="J1568" s="63"/>
      <c r="K1568" s="63"/>
    </row>
    <row r="1569" spans="1:11" ht="20.25" customHeight="1" x14ac:dyDescent="0.3">
      <c r="A1569" s="90"/>
      <c r="B1569" s="84"/>
      <c r="C1569" s="7"/>
      <c r="D1569" s="85"/>
      <c r="E1569" s="86"/>
      <c r="F1569" s="63"/>
      <c r="G1569" s="122"/>
      <c r="H1569" s="63"/>
      <c r="I1569" s="63"/>
      <c r="J1569" s="63"/>
      <c r="K1569" s="63"/>
    </row>
    <row r="1570" spans="1:11" ht="20.25" customHeight="1" x14ac:dyDescent="0.3">
      <c r="A1570" s="90"/>
      <c r="B1570" s="84"/>
      <c r="C1570" s="7"/>
      <c r="D1570" s="85"/>
      <c r="E1570" s="86"/>
      <c r="F1570" s="63"/>
      <c r="G1570" s="122"/>
      <c r="H1570" s="63"/>
      <c r="I1570" s="63"/>
      <c r="J1570" s="63"/>
      <c r="K1570" s="63"/>
    </row>
    <row r="1571" spans="1:11" ht="20.25" customHeight="1" x14ac:dyDescent="0.3">
      <c r="A1571" s="90"/>
      <c r="B1571" s="84"/>
      <c r="C1571" s="7"/>
      <c r="D1571" s="85"/>
      <c r="E1571" s="86"/>
      <c r="F1571" s="63"/>
      <c r="G1571" s="122"/>
      <c r="H1571" s="63"/>
      <c r="I1571" s="63"/>
      <c r="J1571" s="63"/>
      <c r="K1571" s="63"/>
    </row>
    <row r="1572" spans="1:11" ht="20.25" customHeight="1" x14ac:dyDescent="0.3">
      <c r="A1572" s="90"/>
      <c r="B1572" s="84"/>
      <c r="C1572" s="7"/>
      <c r="D1572" s="85"/>
      <c r="E1572" s="86"/>
      <c r="F1572" s="63"/>
      <c r="G1572" s="122"/>
      <c r="H1572" s="63"/>
      <c r="I1572" s="63"/>
      <c r="J1572" s="63"/>
      <c r="K1572" s="63"/>
    </row>
    <row r="1573" spans="1:11" ht="20.25" customHeight="1" x14ac:dyDescent="0.3">
      <c r="A1573" s="90"/>
      <c r="B1573" s="84"/>
      <c r="C1573" s="7"/>
      <c r="D1573" s="85"/>
      <c r="E1573" s="86"/>
      <c r="F1573" s="63"/>
      <c r="G1573" s="122"/>
      <c r="H1573" s="63"/>
      <c r="I1573" s="63"/>
      <c r="J1573" s="63"/>
      <c r="K1573" s="63"/>
    </row>
    <row r="1574" spans="1:11" ht="20.25" customHeight="1" x14ac:dyDescent="0.3">
      <c r="A1574" s="90"/>
      <c r="B1574" s="84"/>
      <c r="C1574" s="7"/>
      <c r="D1574" s="85"/>
      <c r="E1574" s="86"/>
      <c r="F1574" s="63"/>
      <c r="G1574" s="122"/>
      <c r="H1574" s="63"/>
      <c r="I1574" s="63"/>
      <c r="J1574" s="63"/>
      <c r="K1574" s="63"/>
    </row>
    <row r="1575" spans="1:11" ht="20.25" customHeight="1" x14ac:dyDescent="0.3">
      <c r="A1575" s="90"/>
      <c r="B1575" s="84"/>
      <c r="C1575" s="7"/>
      <c r="D1575" s="85"/>
      <c r="E1575" s="86"/>
      <c r="F1575" s="63"/>
      <c r="G1575" s="122"/>
      <c r="H1575" s="63"/>
      <c r="I1575" s="63"/>
      <c r="J1575" s="63"/>
      <c r="K1575" s="63"/>
    </row>
    <row r="1576" spans="1:11" ht="20.25" customHeight="1" x14ac:dyDescent="0.3">
      <c r="A1576" s="90"/>
      <c r="B1576" s="84"/>
      <c r="C1576" s="7"/>
      <c r="D1576" s="85"/>
      <c r="E1576" s="86"/>
      <c r="F1576" s="63"/>
      <c r="G1576" s="122"/>
      <c r="H1576" s="63"/>
      <c r="I1576" s="63"/>
      <c r="J1576" s="63"/>
      <c r="K1576" s="63"/>
    </row>
    <row r="1577" spans="1:11" ht="20.25" customHeight="1" x14ac:dyDescent="0.3">
      <c r="A1577" s="90"/>
      <c r="B1577" s="84"/>
      <c r="C1577" s="7"/>
      <c r="D1577" s="85"/>
      <c r="E1577" s="86"/>
      <c r="F1577" s="63"/>
      <c r="G1577" s="122"/>
      <c r="H1577" s="63"/>
      <c r="I1577" s="63"/>
      <c r="J1577" s="63"/>
      <c r="K1577" s="63"/>
    </row>
    <row r="1578" spans="1:11" ht="20.25" customHeight="1" x14ac:dyDescent="0.3">
      <c r="A1578" s="90"/>
      <c r="B1578" s="84"/>
      <c r="C1578" s="7"/>
      <c r="D1578" s="85"/>
      <c r="E1578" s="86"/>
      <c r="F1578" s="63"/>
      <c r="G1578" s="122"/>
      <c r="H1578" s="63"/>
      <c r="I1578" s="63"/>
      <c r="J1578" s="63"/>
      <c r="K1578" s="63"/>
    </row>
    <row r="1579" spans="1:11" ht="20.25" customHeight="1" x14ac:dyDescent="0.3">
      <c r="A1579" s="90"/>
      <c r="B1579" s="84"/>
      <c r="C1579" s="7"/>
      <c r="D1579" s="85"/>
      <c r="E1579" s="86"/>
      <c r="F1579" s="63"/>
      <c r="G1579" s="122"/>
      <c r="H1579" s="63"/>
      <c r="I1579" s="63"/>
      <c r="J1579" s="63"/>
      <c r="K1579" s="63"/>
    </row>
    <row r="1580" spans="1:11" ht="20.25" customHeight="1" x14ac:dyDescent="0.3">
      <c r="A1580" s="90"/>
      <c r="B1580" s="84"/>
      <c r="C1580" s="7"/>
      <c r="D1580" s="85"/>
      <c r="E1580" s="86"/>
      <c r="F1580" s="63"/>
      <c r="G1580" s="122"/>
      <c r="H1580" s="63"/>
      <c r="I1580" s="63"/>
      <c r="J1580" s="63"/>
      <c r="K1580" s="63"/>
    </row>
    <row r="1581" spans="1:11" ht="20.25" customHeight="1" x14ac:dyDescent="0.3">
      <c r="A1581" s="90"/>
      <c r="B1581" s="84"/>
      <c r="C1581" s="7"/>
      <c r="D1581" s="85"/>
      <c r="E1581" s="86"/>
      <c r="F1581" s="63"/>
      <c r="G1581" s="122"/>
      <c r="H1581" s="63"/>
      <c r="I1581" s="63"/>
      <c r="J1581" s="63"/>
      <c r="K1581" s="63"/>
    </row>
    <row r="1582" spans="1:11" ht="20.25" customHeight="1" x14ac:dyDescent="0.3">
      <c r="A1582" s="90"/>
      <c r="B1582" s="84"/>
      <c r="C1582" s="7"/>
      <c r="D1582" s="85"/>
      <c r="E1582" s="86"/>
      <c r="F1582" s="63"/>
      <c r="G1582" s="122"/>
      <c r="H1582" s="63"/>
      <c r="I1582" s="63"/>
      <c r="J1582" s="63"/>
      <c r="K1582" s="63"/>
    </row>
    <row r="1583" spans="1:11" ht="20.25" customHeight="1" x14ac:dyDescent="0.3">
      <c r="A1583" s="90"/>
      <c r="B1583" s="84"/>
      <c r="C1583" s="7"/>
      <c r="D1583" s="85"/>
      <c r="E1583" s="86"/>
      <c r="F1583" s="63"/>
      <c r="G1583" s="122"/>
      <c r="H1583" s="63"/>
      <c r="I1583" s="63"/>
      <c r="J1583" s="63"/>
      <c r="K1583" s="63"/>
    </row>
    <row r="1584" spans="1:11" ht="20.25" customHeight="1" x14ac:dyDescent="0.3">
      <c r="A1584" s="90"/>
      <c r="B1584" s="84"/>
      <c r="C1584" s="7"/>
      <c r="D1584" s="85"/>
      <c r="E1584" s="86"/>
      <c r="F1584" s="63"/>
      <c r="G1584" s="122"/>
      <c r="H1584" s="63"/>
      <c r="I1584" s="63"/>
      <c r="J1584" s="63"/>
      <c r="K1584" s="63"/>
    </row>
    <row r="1585" spans="1:11" ht="20.25" customHeight="1" x14ac:dyDescent="0.3">
      <c r="A1585" s="90"/>
      <c r="B1585" s="84"/>
      <c r="C1585" s="7"/>
      <c r="D1585" s="85"/>
      <c r="E1585" s="86"/>
      <c r="F1585" s="63"/>
      <c r="G1585" s="122"/>
      <c r="H1585" s="63"/>
      <c r="I1585" s="63"/>
      <c r="J1585" s="63"/>
      <c r="K1585" s="63"/>
    </row>
    <row r="1586" spans="1:11" ht="20.25" customHeight="1" x14ac:dyDescent="0.3">
      <c r="A1586" s="90"/>
      <c r="B1586" s="84"/>
      <c r="C1586" s="7"/>
      <c r="D1586" s="85"/>
      <c r="E1586" s="86"/>
      <c r="F1586" s="63"/>
      <c r="G1586" s="122"/>
      <c r="H1586" s="63"/>
      <c r="I1586" s="63"/>
      <c r="J1586" s="63"/>
      <c r="K1586" s="63"/>
    </row>
    <row r="1587" spans="1:11" ht="20.25" customHeight="1" x14ac:dyDescent="0.3">
      <c r="A1587" s="90"/>
      <c r="B1587" s="84"/>
      <c r="C1587" s="7"/>
      <c r="D1587" s="85"/>
      <c r="E1587" s="86"/>
      <c r="F1587" s="63"/>
      <c r="G1587" s="122"/>
      <c r="H1587" s="63"/>
      <c r="I1587" s="63"/>
      <c r="J1587" s="63"/>
      <c r="K1587" s="63"/>
    </row>
    <row r="1588" spans="1:11" ht="20.25" customHeight="1" x14ac:dyDescent="0.3">
      <c r="A1588" s="90"/>
      <c r="B1588" s="84"/>
      <c r="C1588" s="7"/>
      <c r="D1588" s="85"/>
      <c r="E1588" s="86"/>
      <c r="F1588" s="63"/>
      <c r="G1588" s="122"/>
      <c r="H1588" s="63"/>
      <c r="I1588" s="63"/>
      <c r="J1588" s="63"/>
      <c r="K1588" s="63"/>
    </row>
    <row r="1589" spans="1:11" ht="20.25" customHeight="1" x14ac:dyDescent="0.3">
      <c r="A1589" s="90"/>
      <c r="B1589" s="84"/>
      <c r="C1589" s="7"/>
      <c r="D1589" s="85"/>
      <c r="E1589" s="86"/>
      <c r="F1589" s="63"/>
      <c r="G1589" s="122"/>
      <c r="H1589" s="63"/>
      <c r="I1589" s="63"/>
      <c r="J1589" s="63"/>
      <c r="K1589" s="63"/>
    </row>
    <row r="1590" spans="1:11" ht="20.25" customHeight="1" x14ac:dyDescent="0.3">
      <c r="A1590" s="90"/>
      <c r="B1590" s="84"/>
      <c r="C1590" s="7"/>
      <c r="D1590" s="85"/>
      <c r="E1590" s="86"/>
      <c r="F1590" s="63"/>
      <c r="G1590" s="122"/>
      <c r="H1590" s="63"/>
      <c r="I1590" s="63"/>
      <c r="J1590" s="63"/>
      <c r="K1590" s="63"/>
    </row>
    <row r="1591" spans="1:11" ht="20.25" customHeight="1" x14ac:dyDescent="0.3">
      <c r="A1591" s="90"/>
      <c r="B1591" s="84"/>
      <c r="C1591" s="7"/>
      <c r="D1591" s="85"/>
      <c r="E1591" s="86"/>
      <c r="F1591" s="63"/>
      <c r="G1591" s="122"/>
      <c r="H1591" s="63"/>
      <c r="I1591" s="63"/>
      <c r="J1591" s="63"/>
      <c r="K1591" s="63"/>
    </row>
    <row r="1592" spans="1:11" ht="20.25" customHeight="1" x14ac:dyDescent="0.3">
      <c r="A1592" s="90"/>
      <c r="B1592" s="84"/>
      <c r="C1592" s="7"/>
      <c r="D1592" s="85"/>
      <c r="E1592" s="86"/>
      <c r="F1592" s="63"/>
      <c r="G1592" s="122"/>
      <c r="H1592" s="63"/>
      <c r="I1592" s="63"/>
      <c r="J1592" s="63"/>
      <c r="K1592" s="63"/>
    </row>
    <row r="1593" spans="1:11" ht="20.25" customHeight="1" x14ac:dyDescent="0.3">
      <c r="A1593" s="90"/>
      <c r="B1593" s="84"/>
      <c r="C1593" s="7"/>
      <c r="D1593" s="85"/>
      <c r="E1593" s="86"/>
      <c r="F1593" s="63"/>
      <c r="G1593" s="122"/>
      <c r="H1593" s="63"/>
      <c r="I1593" s="63"/>
      <c r="J1593" s="63"/>
      <c r="K1593" s="63"/>
    </row>
    <row r="1594" spans="1:11" ht="20.25" customHeight="1" x14ac:dyDescent="0.3">
      <c r="A1594" s="90"/>
      <c r="B1594" s="84"/>
      <c r="C1594" s="7"/>
      <c r="D1594" s="85"/>
      <c r="E1594" s="86"/>
      <c r="F1594" s="63"/>
      <c r="G1594" s="122"/>
      <c r="H1594" s="63"/>
      <c r="I1594" s="63"/>
      <c r="J1594" s="63"/>
      <c r="K1594" s="63"/>
    </row>
    <row r="1595" spans="1:11" ht="20.25" customHeight="1" x14ac:dyDescent="0.3">
      <c r="A1595" s="90"/>
      <c r="B1595" s="84"/>
      <c r="C1595" s="7"/>
      <c r="D1595" s="85"/>
      <c r="E1595" s="86"/>
      <c r="F1595" s="63"/>
      <c r="G1595" s="122"/>
      <c r="H1595" s="63"/>
      <c r="I1595" s="63"/>
      <c r="J1595" s="63"/>
      <c r="K1595" s="63"/>
    </row>
    <row r="1596" spans="1:11" ht="20.25" customHeight="1" x14ac:dyDescent="0.3">
      <c r="A1596" s="90"/>
      <c r="B1596" s="84"/>
      <c r="C1596" s="7"/>
      <c r="D1596" s="85"/>
      <c r="E1596" s="86"/>
      <c r="F1596" s="63"/>
      <c r="G1596" s="122"/>
      <c r="H1596" s="63"/>
      <c r="I1596" s="63"/>
      <c r="J1596" s="63"/>
      <c r="K1596" s="63"/>
    </row>
    <row r="1597" spans="1:11" ht="20.25" customHeight="1" x14ac:dyDescent="0.3">
      <c r="A1597" s="90"/>
      <c r="B1597" s="84"/>
      <c r="C1597" s="7"/>
      <c r="D1597" s="85"/>
      <c r="E1597" s="86"/>
      <c r="F1597" s="63"/>
      <c r="G1597" s="122"/>
      <c r="H1597" s="63"/>
      <c r="I1597" s="63"/>
      <c r="J1597" s="63"/>
      <c r="K1597" s="63"/>
    </row>
    <row r="1598" spans="1:11" ht="20.25" customHeight="1" x14ac:dyDescent="0.3">
      <c r="A1598" s="90"/>
      <c r="B1598" s="84"/>
      <c r="C1598" s="7"/>
      <c r="D1598" s="85"/>
      <c r="E1598" s="86"/>
      <c r="F1598" s="63"/>
      <c r="G1598" s="122"/>
      <c r="H1598" s="63"/>
      <c r="I1598" s="63"/>
      <c r="J1598" s="63"/>
      <c r="K1598" s="63"/>
    </row>
    <row r="1599" spans="1:11" ht="20.25" customHeight="1" x14ac:dyDescent="0.3">
      <c r="A1599" s="90"/>
      <c r="B1599" s="84"/>
      <c r="C1599" s="7"/>
      <c r="D1599" s="85"/>
      <c r="E1599" s="86"/>
      <c r="F1599" s="63"/>
      <c r="G1599" s="122"/>
      <c r="H1599" s="63"/>
      <c r="I1599" s="63"/>
      <c r="J1599" s="63"/>
      <c r="K1599" s="63"/>
    </row>
    <row r="1600" spans="1:11" ht="20.25" customHeight="1" x14ac:dyDescent="0.3">
      <c r="A1600" s="90"/>
      <c r="B1600" s="84"/>
      <c r="C1600" s="7"/>
      <c r="D1600" s="85"/>
      <c r="E1600" s="86"/>
      <c r="F1600" s="63"/>
      <c r="G1600" s="122"/>
      <c r="H1600" s="63"/>
      <c r="I1600" s="63"/>
      <c r="J1600" s="63"/>
      <c r="K1600" s="63"/>
    </row>
    <row r="1601" spans="1:11" ht="20.25" customHeight="1" x14ac:dyDescent="0.3">
      <c r="A1601" s="90"/>
      <c r="B1601" s="84"/>
      <c r="C1601" s="7"/>
      <c r="D1601" s="85"/>
      <c r="E1601" s="86"/>
      <c r="F1601" s="63"/>
      <c r="G1601" s="122"/>
      <c r="H1601" s="63"/>
      <c r="I1601" s="63"/>
      <c r="J1601" s="63"/>
      <c r="K1601" s="63"/>
    </row>
    <row r="1602" spans="1:11" ht="20.25" customHeight="1" x14ac:dyDescent="0.3">
      <c r="A1602" s="90"/>
      <c r="B1602" s="84"/>
      <c r="C1602" s="7"/>
      <c r="D1602" s="85"/>
      <c r="E1602" s="86"/>
      <c r="F1602" s="63"/>
      <c r="G1602" s="122"/>
      <c r="H1602" s="63"/>
      <c r="I1602" s="63"/>
      <c r="J1602" s="63"/>
      <c r="K1602" s="63"/>
    </row>
    <row r="1603" spans="1:11" ht="20.25" customHeight="1" x14ac:dyDescent="0.3">
      <c r="A1603" s="90"/>
      <c r="B1603" s="84"/>
      <c r="C1603" s="7"/>
      <c r="D1603" s="85"/>
      <c r="E1603" s="86"/>
      <c r="F1603" s="63"/>
      <c r="G1603" s="122"/>
      <c r="H1603" s="63"/>
      <c r="I1603" s="63"/>
      <c r="J1603" s="63"/>
      <c r="K1603" s="63"/>
    </row>
    <row r="1604" spans="1:11" ht="20.25" customHeight="1" x14ac:dyDescent="0.3">
      <c r="A1604" s="90"/>
      <c r="B1604" s="84"/>
      <c r="C1604" s="7"/>
      <c r="D1604" s="85"/>
      <c r="E1604" s="86"/>
      <c r="F1604" s="63"/>
      <c r="G1604" s="122"/>
      <c r="H1604" s="63"/>
      <c r="I1604" s="63"/>
      <c r="J1604" s="63"/>
      <c r="K1604" s="63"/>
    </row>
    <row r="1605" spans="1:11" ht="20.25" customHeight="1" x14ac:dyDescent="0.3">
      <c r="A1605" s="90"/>
      <c r="B1605" s="84"/>
      <c r="C1605" s="7"/>
      <c r="D1605" s="85"/>
      <c r="E1605" s="86"/>
      <c r="F1605" s="63"/>
      <c r="G1605" s="122"/>
      <c r="H1605" s="63"/>
      <c r="I1605" s="63"/>
      <c r="J1605" s="63"/>
      <c r="K1605" s="63"/>
    </row>
    <row r="1606" spans="1:11" ht="20.25" customHeight="1" x14ac:dyDescent="0.3">
      <c r="A1606" s="90"/>
      <c r="B1606" s="84"/>
      <c r="C1606" s="7"/>
      <c r="D1606" s="85"/>
      <c r="E1606" s="86"/>
      <c r="F1606" s="63"/>
      <c r="G1606" s="122"/>
      <c r="H1606" s="63"/>
      <c r="I1606" s="63"/>
      <c r="J1606" s="63"/>
      <c r="K1606" s="63"/>
    </row>
    <row r="1607" spans="1:11" ht="20.25" customHeight="1" x14ac:dyDescent="0.3">
      <c r="A1607" s="90"/>
      <c r="B1607" s="84"/>
      <c r="C1607" s="7"/>
      <c r="D1607" s="85"/>
      <c r="E1607" s="86"/>
      <c r="F1607" s="63"/>
      <c r="G1607" s="122"/>
      <c r="H1607" s="63"/>
      <c r="I1607" s="63"/>
      <c r="J1607" s="63"/>
      <c r="K1607" s="63"/>
    </row>
    <row r="1608" spans="1:11" ht="20.25" customHeight="1" x14ac:dyDescent="0.3">
      <c r="A1608" s="90"/>
      <c r="B1608" s="84"/>
      <c r="C1608" s="7"/>
      <c r="D1608" s="85"/>
      <c r="E1608" s="86"/>
      <c r="F1608" s="63"/>
      <c r="G1608" s="122"/>
      <c r="H1608" s="63"/>
      <c r="I1608" s="63"/>
      <c r="J1608" s="63"/>
      <c r="K1608" s="63"/>
    </row>
    <row r="1609" spans="1:11" ht="20.25" customHeight="1" x14ac:dyDescent="0.3">
      <c r="A1609" s="90"/>
      <c r="B1609" s="84"/>
      <c r="C1609" s="7"/>
      <c r="D1609" s="85"/>
      <c r="E1609" s="86"/>
      <c r="F1609" s="63"/>
      <c r="G1609" s="122"/>
      <c r="H1609" s="63"/>
      <c r="I1609" s="63"/>
      <c r="J1609" s="63"/>
      <c r="K1609" s="63"/>
    </row>
    <row r="1610" spans="1:11" ht="20.25" customHeight="1" x14ac:dyDescent="0.3">
      <c r="A1610" s="90"/>
      <c r="B1610" s="84"/>
      <c r="C1610" s="7"/>
      <c r="D1610" s="85"/>
      <c r="E1610" s="86"/>
      <c r="F1610" s="63"/>
      <c r="G1610" s="122"/>
      <c r="H1610" s="63"/>
      <c r="I1610" s="63"/>
      <c r="J1610" s="63"/>
      <c r="K1610" s="63"/>
    </row>
    <row r="1611" spans="1:11" ht="20.25" customHeight="1" x14ac:dyDescent="0.3">
      <c r="A1611" s="90"/>
      <c r="B1611" s="84"/>
      <c r="C1611" s="7"/>
      <c r="D1611" s="85"/>
      <c r="E1611" s="86"/>
      <c r="F1611" s="63"/>
      <c r="G1611" s="122"/>
      <c r="H1611" s="63"/>
      <c r="I1611" s="63"/>
      <c r="J1611" s="63"/>
      <c r="K1611" s="63"/>
    </row>
    <row r="1612" spans="1:11" ht="20.25" customHeight="1" x14ac:dyDescent="0.3">
      <c r="A1612" s="90"/>
      <c r="B1612" s="84"/>
      <c r="C1612" s="7"/>
      <c r="D1612" s="85"/>
      <c r="E1612" s="86"/>
      <c r="F1612" s="63"/>
      <c r="G1612" s="122"/>
      <c r="H1612" s="63"/>
      <c r="I1612" s="63"/>
      <c r="J1612" s="63"/>
      <c r="K1612" s="63"/>
    </row>
    <row r="1613" spans="1:11" ht="20.25" customHeight="1" x14ac:dyDescent="0.3">
      <c r="A1613" s="90"/>
      <c r="B1613" s="84"/>
      <c r="C1613" s="7"/>
      <c r="D1613" s="85"/>
      <c r="E1613" s="86"/>
      <c r="F1613" s="63"/>
      <c r="G1613" s="122"/>
      <c r="H1613" s="63"/>
      <c r="I1613" s="63"/>
      <c r="J1613" s="63"/>
      <c r="K1613" s="63"/>
    </row>
    <row r="1614" spans="1:11" ht="20.25" customHeight="1" x14ac:dyDescent="0.3">
      <c r="A1614" s="90"/>
      <c r="B1614" s="84"/>
      <c r="C1614" s="7"/>
      <c r="D1614" s="85"/>
      <c r="E1614" s="86"/>
      <c r="F1614" s="63"/>
      <c r="G1614" s="122"/>
      <c r="H1614" s="63"/>
      <c r="I1614" s="63"/>
      <c r="J1614" s="63"/>
      <c r="K1614" s="63"/>
    </row>
    <row r="1615" spans="1:11" ht="20.25" customHeight="1" x14ac:dyDescent="0.3">
      <c r="A1615" s="90"/>
      <c r="B1615" s="84"/>
      <c r="C1615" s="7"/>
      <c r="D1615" s="85"/>
      <c r="E1615" s="86"/>
      <c r="F1615" s="63"/>
      <c r="G1615" s="122"/>
      <c r="H1615" s="63"/>
      <c r="I1615" s="63"/>
      <c r="J1615" s="63"/>
      <c r="K1615" s="63"/>
    </row>
    <row r="1616" spans="1:11" ht="20.25" customHeight="1" x14ac:dyDescent="0.3">
      <c r="A1616" s="90"/>
      <c r="B1616" s="84"/>
      <c r="C1616" s="7"/>
      <c r="D1616" s="85"/>
      <c r="E1616" s="86"/>
      <c r="F1616" s="63"/>
      <c r="G1616" s="122"/>
      <c r="H1616" s="63"/>
      <c r="I1616" s="63"/>
      <c r="J1616" s="63"/>
      <c r="K1616" s="63"/>
    </row>
    <row r="1617" spans="1:11" ht="20.25" customHeight="1" x14ac:dyDescent="0.3">
      <c r="A1617" s="90"/>
      <c r="B1617" s="84"/>
      <c r="C1617" s="7"/>
      <c r="D1617" s="85"/>
      <c r="E1617" s="86"/>
      <c r="F1617" s="63"/>
      <c r="G1617" s="122"/>
      <c r="H1617" s="63"/>
      <c r="I1617" s="63"/>
      <c r="J1617" s="63"/>
      <c r="K1617" s="63"/>
    </row>
    <row r="1618" spans="1:11" ht="20.25" customHeight="1" x14ac:dyDescent="0.3">
      <c r="A1618" s="90"/>
      <c r="B1618" s="84"/>
      <c r="C1618" s="7"/>
      <c r="D1618" s="85"/>
      <c r="E1618" s="86"/>
      <c r="F1618" s="63"/>
      <c r="G1618" s="122"/>
      <c r="H1618" s="63"/>
      <c r="I1618" s="63"/>
      <c r="J1618" s="63"/>
      <c r="K1618" s="63"/>
    </row>
    <row r="1619" spans="1:11" ht="20.25" customHeight="1" x14ac:dyDescent="0.3">
      <c r="A1619" s="90"/>
      <c r="B1619" s="84"/>
      <c r="C1619" s="7"/>
      <c r="D1619" s="85"/>
      <c r="E1619" s="86"/>
      <c r="F1619" s="63"/>
      <c r="G1619" s="122"/>
      <c r="H1619" s="63"/>
      <c r="I1619" s="63"/>
      <c r="J1619" s="63"/>
      <c r="K1619" s="63"/>
    </row>
    <row r="1620" spans="1:11" ht="20.25" customHeight="1" x14ac:dyDescent="0.3">
      <c r="A1620" s="90"/>
      <c r="B1620" s="84"/>
      <c r="C1620" s="7"/>
      <c r="D1620" s="85"/>
      <c r="E1620" s="86"/>
      <c r="F1620" s="63"/>
      <c r="G1620" s="122"/>
      <c r="H1620" s="63"/>
      <c r="I1620" s="63"/>
      <c r="J1620" s="63"/>
      <c r="K1620" s="63"/>
    </row>
    <row r="1621" spans="1:11" ht="20.25" customHeight="1" x14ac:dyDescent="0.3">
      <c r="A1621" s="90"/>
      <c r="B1621" s="84"/>
      <c r="C1621" s="7"/>
      <c r="D1621" s="85"/>
      <c r="E1621" s="86"/>
      <c r="F1621" s="63"/>
      <c r="G1621" s="122"/>
      <c r="H1621" s="63"/>
      <c r="I1621" s="63"/>
      <c r="J1621" s="63"/>
      <c r="K1621" s="63"/>
    </row>
    <row r="1622" spans="1:11" ht="20.25" customHeight="1" x14ac:dyDescent="0.3">
      <c r="A1622" s="90"/>
      <c r="B1622" s="84"/>
      <c r="C1622" s="7"/>
      <c r="D1622" s="85"/>
      <c r="E1622" s="86"/>
      <c r="F1622" s="63"/>
      <c r="G1622" s="122"/>
      <c r="H1622" s="63"/>
      <c r="I1622" s="63"/>
      <c r="J1622" s="63"/>
      <c r="K1622" s="63"/>
    </row>
    <row r="1623" spans="1:11" ht="20.25" customHeight="1" x14ac:dyDescent="0.3">
      <c r="A1623" s="90"/>
      <c r="B1623" s="84"/>
      <c r="C1623" s="7"/>
      <c r="D1623" s="85"/>
      <c r="E1623" s="86"/>
      <c r="F1623" s="63"/>
      <c r="G1623" s="122"/>
      <c r="H1623" s="63"/>
      <c r="I1623" s="63"/>
      <c r="J1623" s="63"/>
      <c r="K1623" s="63"/>
    </row>
    <row r="1624" spans="1:11" ht="20.25" customHeight="1" x14ac:dyDescent="0.3">
      <c r="A1624" s="90"/>
      <c r="B1624" s="84"/>
      <c r="C1624" s="7"/>
      <c r="D1624" s="85"/>
      <c r="E1624" s="86"/>
      <c r="F1624" s="63"/>
      <c r="G1624" s="122"/>
      <c r="H1624" s="63"/>
      <c r="I1624" s="63"/>
      <c r="J1624" s="63"/>
      <c r="K1624" s="63"/>
    </row>
    <row r="1625" spans="1:11" ht="20.25" customHeight="1" x14ac:dyDescent="0.3">
      <c r="A1625" s="90"/>
      <c r="B1625" s="84"/>
      <c r="C1625" s="7"/>
      <c r="D1625" s="85"/>
      <c r="E1625" s="86"/>
      <c r="F1625" s="63"/>
      <c r="G1625" s="122"/>
      <c r="H1625" s="63"/>
      <c r="I1625" s="63"/>
      <c r="J1625" s="63"/>
      <c r="K1625" s="63"/>
    </row>
    <row r="1626" spans="1:11" ht="20.25" customHeight="1" x14ac:dyDescent="0.3">
      <c r="A1626" s="90"/>
      <c r="B1626" s="84"/>
      <c r="C1626" s="7"/>
      <c r="D1626" s="85"/>
      <c r="E1626" s="86"/>
      <c r="F1626" s="63"/>
      <c r="G1626" s="122"/>
      <c r="H1626" s="63"/>
      <c r="I1626" s="63"/>
      <c r="J1626" s="63"/>
      <c r="K1626" s="63"/>
    </row>
    <row r="1627" spans="1:11" ht="20.25" customHeight="1" x14ac:dyDescent="0.3">
      <c r="A1627" s="90"/>
      <c r="B1627" s="84"/>
      <c r="C1627" s="7"/>
      <c r="D1627" s="85"/>
      <c r="E1627" s="86"/>
      <c r="F1627" s="63"/>
      <c r="G1627" s="122"/>
      <c r="H1627" s="63"/>
      <c r="I1627" s="63"/>
      <c r="J1627" s="63"/>
      <c r="K1627" s="63"/>
    </row>
    <row r="1628" spans="1:11" ht="20.25" customHeight="1" x14ac:dyDescent="0.3">
      <c r="A1628" s="90"/>
      <c r="B1628" s="84"/>
      <c r="C1628" s="7"/>
      <c r="D1628" s="85"/>
      <c r="E1628" s="86"/>
      <c r="F1628" s="63"/>
      <c r="G1628" s="122"/>
      <c r="H1628" s="63"/>
      <c r="I1628" s="63"/>
      <c r="J1628" s="63"/>
      <c r="K1628" s="63"/>
    </row>
    <row r="1629" spans="1:11" ht="20.25" customHeight="1" x14ac:dyDescent="0.3">
      <c r="A1629" s="90"/>
      <c r="B1629" s="84"/>
      <c r="C1629" s="7"/>
      <c r="D1629" s="85"/>
      <c r="E1629" s="86"/>
      <c r="F1629" s="63"/>
      <c r="G1629" s="122"/>
      <c r="H1629" s="63"/>
      <c r="I1629" s="63"/>
      <c r="J1629" s="63"/>
      <c r="K1629" s="63"/>
    </row>
    <row r="1630" spans="1:11" ht="20.25" customHeight="1" x14ac:dyDescent="0.3">
      <c r="A1630" s="90"/>
      <c r="B1630" s="84"/>
      <c r="C1630" s="7"/>
      <c r="D1630" s="85"/>
      <c r="E1630" s="86"/>
      <c r="F1630" s="63"/>
      <c r="G1630" s="122"/>
      <c r="H1630" s="63"/>
      <c r="I1630" s="63"/>
      <c r="J1630" s="63"/>
      <c r="K1630" s="63"/>
    </row>
    <row r="1631" spans="1:11" ht="20.25" customHeight="1" x14ac:dyDescent="0.3">
      <c r="A1631" s="90"/>
      <c r="B1631" s="84"/>
      <c r="C1631" s="7"/>
      <c r="D1631" s="85"/>
      <c r="E1631" s="86"/>
      <c r="F1631" s="63"/>
      <c r="G1631" s="122"/>
      <c r="H1631" s="63"/>
      <c r="I1631" s="63"/>
      <c r="J1631" s="63"/>
      <c r="K1631" s="63"/>
    </row>
    <row r="1632" spans="1:11" ht="20.25" customHeight="1" x14ac:dyDescent="0.3">
      <c r="A1632" s="90"/>
      <c r="B1632" s="84"/>
      <c r="C1632" s="7"/>
      <c r="D1632" s="85"/>
      <c r="E1632" s="86"/>
      <c r="F1632" s="63"/>
      <c r="G1632" s="122"/>
      <c r="H1632" s="63"/>
      <c r="I1632" s="63"/>
      <c r="J1632" s="63"/>
      <c r="K1632" s="63"/>
    </row>
    <row r="1633" spans="1:11" ht="20.25" customHeight="1" x14ac:dyDescent="0.3">
      <c r="A1633" s="90"/>
      <c r="B1633" s="84"/>
      <c r="C1633" s="7"/>
      <c r="D1633" s="85"/>
      <c r="E1633" s="86"/>
      <c r="F1633" s="63"/>
      <c r="G1633" s="122"/>
      <c r="H1633" s="63"/>
      <c r="I1633" s="63"/>
      <c r="J1633" s="63"/>
      <c r="K1633" s="63"/>
    </row>
    <row r="1634" spans="1:11" ht="20.25" customHeight="1" x14ac:dyDescent="0.3">
      <c r="A1634" s="90"/>
      <c r="B1634" s="84"/>
      <c r="C1634" s="7"/>
      <c r="D1634" s="85"/>
      <c r="E1634" s="86"/>
      <c r="F1634" s="63"/>
      <c r="G1634" s="122"/>
      <c r="H1634" s="63"/>
      <c r="I1634" s="63"/>
      <c r="J1634" s="63"/>
      <c r="K1634" s="63"/>
    </row>
    <row r="1635" spans="1:11" ht="20.25" customHeight="1" x14ac:dyDescent="0.3">
      <c r="A1635" s="90"/>
      <c r="B1635" s="84"/>
      <c r="C1635" s="7"/>
      <c r="D1635" s="85"/>
      <c r="E1635" s="86"/>
      <c r="F1635" s="63"/>
      <c r="G1635" s="122"/>
      <c r="H1635" s="63"/>
      <c r="I1635" s="63"/>
      <c r="J1635" s="63"/>
      <c r="K1635" s="63"/>
    </row>
    <row r="1636" spans="1:11" ht="20.25" customHeight="1" x14ac:dyDescent="0.3">
      <c r="A1636" s="90"/>
      <c r="B1636" s="84"/>
      <c r="C1636" s="7"/>
      <c r="D1636" s="85"/>
      <c r="E1636" s="86"/>
      <c r="F1636" s="63"/>
      <c r="G1636" s="122"/>
      <c r="H1636" s="63"/>
      <c r="I1636" s="63"/>
      <c r="J1636" s="63"/>
      <c r="K1636" s="63"/>
    </row>
    <row r="1637" spans="1:11" ht="20.25" customHeight="1" x14ac:dyDescent="0.3">
      <c r="A1637" s="90"/>
      <c r="B1637" s="84"/>
      <c r="C1637" s="7"/>
      <c r="D1637" s="85"/>
      <c r="E1637" s="86"/>
      <c r="F1637" s="63"/>
      <c r="G1637" s="122"/>
      <c r="H1637" s="63"/>
      <c r="I1637" s="63"/>
      <c r="J1637" s="63"/>
      <c r="K1637" s="63"/>
    </row>
    <row r="1638" spans="1:11" ht="20.25" customHeight="1" x14ac:dyDescent="0.3">
      <c r="A1638" s="90"/>
      <c r="B1638" s="84"/>
      <c r="C1638" s="7"/>
      <c r="D1638" s="85"/>
      <c r="E1638" s="86"/>
      <c r="F1638" s="63"/>
      <c r="G1638" s="122"/>
      <c r="H1638" s="63"/>
      <c r="I1638" s="63"/>
      <c r="J1638" s="63"/>
      <c r="K1638" s="63"/>
    </row>
    <row r="1639" spans="1:11" ht="20.25" customHeight="1" x14ac:dyDescent="0.3">
      <c r="A1639" s="90"/>
      <c r="B1639" s="84"/>
      <c r="C1639" s="7"/>
      <c r="D1639" s="85"/>
      <c r="E1639" s="86"/>
      <c r="F1639" s="63"/>
      <c r="G1639" s="122"/>
      <c r="H1639" s="63"/>
      <c r="I1639" s="63"/>
      <c r="J1639" s="63"/>
      <c r="K1639" s="63"/>
    </row>
    <row r="1640" spans="1:11" ht="20.25" customHeight="1" x14ac:dyDescent="0.3">
      <c r="A1640" s="90"/>
      <c r="B1640" s="84"/>
      <c r="C1640" s="7"/>
      <c r="D1640" s="85"/>
      <c r="E1640" s="86"/>
      <c r="F1640" s="63"/>
      <c r="G1640" s="122"/>
      <c r="H1640" s="63"/>
      <c r="I1640" s="63"/>
      <c r="J1640" s="63"/>
      <c r="K1640" s="63"/>
    </row>
    <row r="1641" spans="1:11" ht="20.25" customHeight="1" x14ac:dyDescent="0.3">
      <c r="A1641" s="90"/>
      <c r="B1641" s="84"/>
      <c r="C1641" s="7"/>
      <c r="D1641" s="85"/>
      <c r="E1641" s="86"/>
      <c r="F1641" s="63"/>
      <c r="G1641" s="122"/>
      <c r="H1641" s="63"/>
      <c r="I1641" s="63"/>
      <c r="J1641" s="63"/>
      <c r="K1641" s="63"/>
    </row>
    <row r="1642" spans="1:11" ht="20.25" customHeight="1" x14ac:dyDescent="0.3">
      <c r="A1642" s="90"/>
      <c r="B1642" s="84"/>
      <c r="C1642" s="7"/>
      <c r="D1642" s="85"/>
      <c r="E1642" s="86"/>
      <c r="F1642" s="63"/>
      <c r="G1642" s="122"/>
      <c r="H1642" s="63"/>
      <c r="I1642" s="63"/>
      <c r="J1642" s="63"/>
      <c r="K1642" s="63"/>
    </row>
    <row r="1643" spans="1:11" ht="20.25" customHeight="1" x14ac:dyDescent="0.3">
      <c r="A1643" s="90"/>
      <c r="B1643" s="84"/>
      <c r="C1643" s="7"/>
      <c r="D1643" s="85"/>
      <c r="E1643" s="86"/>
      <c r="F1643" s="63"/>
      <c r="G1643" s="122"/>
      <c r="H1643" s="63"/>
      <c r="I1643" s="63"/>
      <c r="J1643" s="63"/>
      <c r="K1643" s="63"/>
    </row>
    <row r="1644" spans="1:11" ht="20.25" customHeight="1" x14ac:dyDescent="0.3">
      <c r="A1644" s="90"/>
      <c r="B1644" s="84"/>
      <c r="C1644" s="7"/>
      <c r="D1644" s="85"/>
      <c r="E1644" s="86"/>
      <c r="F1644" s="63"/>
      <c r="G1644" s="122"/>
      <c r="H1644" s="63"/>
      <c r="I1644" s="63"/>
      <c r="J1644" s="63"/>
      <c r="K1644" s="63"/>
    </row>
    <row r="1645" spans="1:11" ht="20.25" customHeight="1" x14ac:dyDescent="0.3">
      <c r="A1645" s="90"/>
      <c r="B1645" s="84"/>
      <c r="C1645" s="7"/>
      <c r="D1645" s="85"/>
      <c r="E1645" s="86"/>
      <c r="F1645" s="63"/>
      <c r="G1645" s="122"/>
      <c r="H1645" s="63"/>
      <c r="I1645" s="63"/>
      <c r="J1645" s="63"/>
      <c r="K1645" s="63"/>
    </row>
    <row r="1646" spans="1:11" ht="20.25" customHeight="1" x14ac:dyDescent="0.3">
      <c r="A1646" s="90"/>
      <c r="B1646" s="84"/>
      <c r="C1646" s="7"/>
      <c r="D1646" s="85"/>
      <c r="E1646" s="86"/>
      <c r="F1646" s="63"/>
      <c r="G1646" s="122"/>
      <c r="H1646" s="63"/>
      <c r="I1646" s="63"/>
      <c r="J1646" s="63"/>
      <c r="K1646" s="63"/>
    </row>
    <row r="1647" spans="1:11" ht="20.25" customHeight="1" x14ac:dyDescent="0.3">
      <c r="A1647" s="90"/>
      <c r="B1647" s="84"/>
      <c r="C1647" s="7"/>
      <c r="D1647" s="85"/>
      <c r="E1647" s="86"/>
      <c r="F1647" s="63"/>
      <c r="G1647" s="122"/>
      <c r="H1647" s="63"/>
      <c r="I1647" s="63"/>
      <c r="J1647" s="63"/>
      <c r="K1647" s="63"/>
    </row>
    <row r="1648" spans="1:11" ht="20.25" customHeight="1" x14ac:dyDescent="0.3">
      <c r="A1648" s="90"/>
      <c r="B1648" s="84"/>
      <c r="C1648" s="7"/>
      <c r="D1648" s="85"/>
      <c r="E1648" s="86"/>
      <c r="F1648" s="63"/>
      <c r="G1648" s="122"/>
      <c r="H1648" s="63"/>
      <c r="I1648" s="63"/>
      <c r="J1648" s="63"/>
      <c r="K1648" s="63"/>
    </row>
    <row r="1649" spans="1:11" ht="20.25" customHeight="1" x14ac:dyDescent="0.3">
      <c r="A1649" s="90"/>
      <c r="B1649" s="84"/>
      <c r="C1649" s="7"/>
      <c r="D1649" s="85"/>
      <c r="E1649" s="86"/>
      <c r="F1649" s="63"/>
      <c r="G1649" s="122"/>
      <c r="H1649" s="63"/>
      <c r="I1649" s="63"/>
      <c r="J1649" s="63"/>
      <c r="K1649" s="63"/>
    </row>
    <row r="1650" spans="1:11" ht="20.25" customHeight="1" x14ac:dyDescent="0.3">
      <c r="A1650" s="90"/>
      <c r="B1650" s="84"/>
      <c r="C1650" s="7"/>
      <c r="D1650" s="85"/>
      <c r="E1650" s="86"/>
      <c r="F1650" s="63"/>
      <c r="G1650" s="122"/>
      <c r="H1650" s="63"/>
      <c r="I1650" s="63"/>
      <c r="J1650" s="63"/>
      <c r="K1650" s="63"/>
    </row>
    <row r="1651" spans="1:11" ht="20.25" customHeight="1" x14ac:dyDescent="0.3">
      <c r="A1651" s="90"/>
      <c r="B1651" s="84"/>
      <c r="C1651" s="7"/>
      <c r="D1651" s="85"/>
      <c r="E1651" s="86"/>
      <c r="F1651" s="63"/>
      <c r="G1651" s="122"/>
      <c r="H1651" s="63"/>
      <c r="I1651" s="63"/>
      <c r="J1651" s="63"/>
      <c r="K1651" s="63"/>
    </row>
    <row r="1652" spans="1:11" ht="20.25" customHeight="1" x14ac:dyDescent="0.3">
      <c r="A1652" s="90"/>
      <c r="B1652" s="84"/>
      <c r="C1652" s="7"/>
      <c r="D1652" s="85"/>
      <c r="E1652" s="86"/>
      <c r="F1652" s="63"/>
      <c r="G1652" s="122"/>
      <c r="H1652" s="63"/>
      <c r="I1652" s="63"/>
      <c r="J1652" s="63"/>
      <c r="K1652" s="63"/>
    </row>
    <row r="1653" spans="1:11" ht="20.25" customHeight="1" x14ac:dyDescent="0.3">
      <c r="A1653" s="90"/>
      <c r="B1653" s="84"/>
      <c r="C1653" s="7"/>
      <c r="D1653" s="85"/>
      <c r="E1653" s="86"/>
      <c r="F1653" s="63"/>
      <c r="G1653" s="122"/>
      <c r="H1653" s="63"/>
      <c r="I1653" s="63"/>
      <c r="J1653" s="63"/>
      <c r="K1653" s="63"/>
    </row>
    <row r="1654" spans="1:11" ht="20.25" customHeight="1" x14ac:dyDescent="0.3">
      <c r="A1654" s="90"/>
      <c r="B1654" s="84"/>
      <c r="C1654" s="7"/>
      <c r="D1654" s="85"/>
      <c r="E1654" s="86"/>
      <c r="F1654" s="63"/>
      <c r="G1654" s="122"/>
      <c r="H1654" s="63"/>
      <c r="I1654" s="63"/>
      <c r="J1654" s="63"/>
      <c r="K1654" s="63"/>
    </row>
    <row r="1655" spans="1:11" ht="20.25" customHeight="1" x14ac:dyDescent="0.3">
      <c r="A1655" s="90"/>
      <c r="B1655" s="84"/>
      <c r="C1655" s="7"/>
      <c r="D1655" s="85"/>
      <c r="E1655" s="86"/>
      <c r="F1655" s="63"/>
      <c r="G1655" s="122"/>
      <c r="H1655" s="63"/>
      <c r="I1655" s="63"/>
      <c r="J1655" s="63"/>
      <c r="K1655" s="63"/>
    </row>
    <row r="1656" spans="1:11" ht="20.25" customHeight="1" x14ac:dyDescent="0.3">
      <c r="A1656" s="90"/>
      <c r="B1656" s="84"/>
      <c r="C1656" s="7"/>
      <c r="D1656" s="85"/>
      <c r="E1656" s="86"/>
      <c r="F1656" s="63"/>
      <c r="G1656" s="122"/>
      <c r="H1656" s="63"/>
      <c r="I1656" s="63"/>
      <c r="J1656" s="63"/>
      <c r="K1656" s="63"/>
    </row>
    <row r="1657" spans="1:11" ht="20.25" customHeight="1" x14ac:dyDescent="0.3">
      <c r="A1657" s="90"/>
      <c r="B1657" s="84"/>
      <c r="C1657" s="7"/>
      <c r="D1657" s="85"/>
      <c r="E1657" s="86"/>
      <c r="F1657" s="63"/>
      <c r="G1657" s="122"/>
      <c r="H1657" s="63"/>
      <c r="I1657" s="63"/>
      <c r="J1657" s="63"/>
      <c r="K1657" s="63"/>
    </row>
    <row r="1658" spans="1:11" ht="20.25" customHeight="1" x14ac:dyDescent="0.3">
      <c r="A1658" s="90"/>
      <c r="B1658" s="84"/>
      <c r="C1658" s="7"/>
      <c r="D1658" s="85"/>
      <c r="E1658" s="86"/>
      <c r="F1658" s="63"/>
      <c r="G1658" s="122"/>
      <c r="H1658" s="63"/>
      <c r="I1658" s="63"/>
      <c r="J1658" s="63"/>
      <c r="K1658" s="63"/>
    </row>
    <row r="1659" spans="1:11" ht="20.25" customHeight="1" x14ac:dyDescent="0.3">
      <c r="A1659" s="90"/>
      <c r="B1659" s="84"/>
      <c r="C1659" s="7"/>
      <c r="D1659" s="85"/>
      <c r="E1659" s="86"/>
      <c r="F1659" s="63"/>
      <c r="G1659" s="122"/>
      <c r="H1659" s="63"/>
      <c r="I1659" s="63"/>
      <c r="J1659" s="63"/>
      <c r="K1659" s="63"/>
    </row>
    <row r="1660" spans="1:11" ht="20.25" customHeight="1" x14ac:dyDescent="0.3">
      <c r="A1660" s="90"/>
      <c r="B1660" s="84"/>
      <c r="C1660" s="7"/>
      <c r="D1660" s="85"/>
      <c r="E1660" s="86"/>
      <c r="F1660" s="63"/>
      <c r="G1660" s="122"/>
      <c r="H1660" s="63"/>
      <c r="I1660" s="63"/>
      <c r="J1660" s="63"/>
      <c r="K1660" s="63"/>
    </row>
    <row r="1661" spans="1:11" ht="20.25" customHeight="1" x14ac:dyDescent="0.3">
      <c r="A1661" s="90"/>
      <c r="B1661" s="84"/>
      <c r="C1661" s="7"/>
      <c r="D1661" s="85"/>
      <c r="E1661" s="86"/>
      <c r="F1661" s="63"/>
      <c r="G1661" s="122"/>
      <c r="H1661" s="63"/>
      <c r="I1661" s="63"/>
      <c r="J1661" s="63"/>
      <c r="K1661" s="63"/>
    </row>
    <row r="1662" spans="1:11" ht="20.25" customHeight="1" x14ac:dyDescent="0.3">
      <c r="A1662" s="90"/>
      <c r="B1662" s="84"/>
      <c r="C1662" s="7"/>
      <c r="D1662" s="85"/>
      <c r="E1662" s="86"/>
      <c r="F1662" s="63"/>
      <c r="G1662" s="122"/>
      <c r="H1662" s="63"/>
      <c r="I1662" s="63"/>
      <c r="J1662" s="63"/>
      <c r="K1662" s="63"/>
    </row>
    <row r="1663" spans="1:11" ht="20.25" customHeight="1" x14ac:dyDescent="0.3">
      <c r="A1663" s="90"/>
      <c r="B1663" s="84"/>
      <c r="C1663" s="7"/>
      <c r="D1663" s="85"/>
      <c r="E1663" s="86"/>
      <c r="F1663" s="63"/>
      <c r="G1663" s="122"/>
      <c r="H1663" s="63"/>
      <c r="I1663" s="63"/>
      <c r="J1663" s="63"/>
      <c r="K1663" s="63"/>
    </row>
    <row r="1664" spans="1:11" ht="20.25" customHeight="1" x14ac:dyDescent="0.3">
      <c r="A1664" s="90"/>
      <c r="B1664" s="84"/>
      <c r="C1664" s="7"/>
      <c r="D1664" s="85"/>
      <c r="E1664" s="86"/>
      <c r="F1664" s="63"/>
      <c r="G1664" s="122"/>
      <c r="H1664" s="63"/>
      <c r="I1664" s="63"/>
      <c r="J1664" s="63"/>
      <c r="K1664" s="63"/>
    </row>
    <row r="1665" spans="1:11" ht="20.25" customHeight="1" x14ac:dyDescent="0.3">
      <c r="A1665" s="90"/>
      <c r="B1665" s="84"/>
      <c r="C1665" s="7"/>
      <c r="D1665" s="85"/>
      <c r="E1665" s="86"/>
      <c r="F1665" s="63"/>
      <c r="G1665" s="122"/>
      <c r="H1665" s="63"/>
      <c r="I1665" s="63"/>
      <c r="J1665" s="63"/>
      <c r="K1665" s="63"/>
    </row>
    <row r="1666" spans="1:11" ht="20.25" customHeight="1" x14ac:dyDescent="0.3">
      <c r="A1666" s="90"/>
      <c r="B1666" s="84"/>
      <c r="C1666" s="7"/>
      <c r="D1666" s="85"/>
      <c r="E1666" s="86"/>
      <c r="F1666" s="63"/>
      <c r="G1666" s="122"/>
      <c r="H1666" s="63"/>
      <c r="I1666" s="63"/>
      <c r="J1666" s="63"/>
      <c r="K1666" s="63"/>
    </row>
    <row r="1667" spans="1:11" ht="20.25" customHeight="1" x14ac:dyDescent="0.3">
      <c r="A1667" s="90"/>
      <c r="B1667" s="84"/>
      <c r="C1667" s="7"/>
      <c r="D1667" s="85"/>
      <c r="E1667" s="86"/>
      <c r="F1667" s="63"/>
      <c r="G1667" s="122"/>
      <c r="H1667" s="63"/>
      <c r="I1667" s="63"/>
      <c r="J1667" s="63"/>
      <c r="K1667" s="63"/>
    </row>
    <row r="1668" spans="1:11" ht="20.25" customHeight="1" x14ac:dyDescent="0.3">
      <c r="A1668" s="90"/>
      <c r="B1668" s="84"/>
      <c r="C1668" s="7"/>
      <c r="D1668" s="85"/>
      <c r="E1668" s="86"/>
      <c r="F1668" s="63"/>
      <c r="G1668" s="122"/>
      <c r="H1668" s="63"/>
      <c r="I1668" s="63"/>
      <c r="J1668" s="63"/>
      <c r="K1668" s="63"/>
    </row>
    <row r="1669" spans="1:11" ht="20.25" customHeight="1" x14ac:dyDescent="0.3">
      <c r="A1669" s="90"/>
      <c r="B1669" s="84"/>
      <c r="C1669" s="7"/>
      <c r="D1669" s="85"/>
      <c r="E1669" s="86"/>
      <c r="F1669" s="63"/>
      <c r="G1669" s="122"/>
      <c r="H1669" s="63"/>
      <c r="I1669" s="63"/>
      <c r="J1669" s="63"/>
      <c r="K1669" s="63"/>
    </row>
    <row r="1670" spans="1:11" ht="20.25" customHeight="1" x14ac:dyDescent="0.3">
      <c r="A1670" s="90"/>
      <c r="B1670" s="84"/>
      <c r="C1670" s="7"/>
      <c r="D1670" s="85"/>
      <c r="E1670" s="86"/>
      <c r="F1670" s="63"/>
      <c r="G1670" s="122"/>
      <c r="H1670" s="63"/>
      <c r="I1670" s="63"/>
      <c r="J1670" s="63"/>
      <c r="K1670" s="63"/>
    </row>
    <row r="1671" spans="1:11" ht="20.25" customHeight="1" x14ac:dyDescent="0.3">
      <c r="A1671" s="90"/>
      <c r="B1671" s="84"/>
      <c r="C1671" s="7"/>
      <c r="D1671" s="85"/>
      <c r="E1671" s="86"/>
      <c r="F1671" s="63"/>
      <c r="G1671" s="122"/>
      <c r="H1671" s="63"/>
      <c r="I1671" s="63"/>
      <c r="J1671" s="63"/>
      <c r="K1671" s="63"/>
    </row>
    <row r="1672" spans="1:11" ht="20.25" customHeight="1" x14ac:dyDescent="0.3">
      <c r="A1672" s="90"/>
      <c r="B1672" s="84"/>
      <c r="C1672" s="7"/>
      <c r="D1672" s="85"/>
      <c r="E1672" s="86"/>
      <c r="F1672" s="63"/>
      <c r="G1672" s="122"/>
      <c r="H1672" s="63"/>
      <c r="I1672" s="63"/>
      <c r="J1672" s="63"/>
      <c r="K1672" s="63"/>
    </row>
    <row r="1673" spans="1:11" ht="20.25" customHeight="1" x14ac:dyDescent="0.3">
      <c r="A1673" s="90"/>
      <c r="B1673" s="84"/>
      <c r="C1673" s="7"/>
      <c r="D1673" s="85"/>
      <c r="E1673" s="86"/>
      <c r="F1673" s="63"/>
      <c r="G1673" s="122"/>
      <c r="H1673" s="63"/>
      <c r="I1673" s="63"/>
      <c r="J1673" s="63"/>
      <c r="K1673" s="63"/>
    </row>
    <row r="1674" spans="1:11" ht="20.25" customHeight="1" x14ac:dyDescent="0.3">
      <c r="A1674" s="90"/>
      <c r="B1674" s="84"/>
      <c r="C1674" s="7"/>
      <c r="D1674" s="85"/>
      <c r="E1674" s="86"/>
      <c r="F1674" s="63"/>
      <c r="G1674" s="122"/>
      <c r="H1674" s="63"/>
      <c r="I1674" s="63"/>
      <c r="J1674" s="63"/>
      <c r="K1674" s="63"/>
    </row>
    <row r="1675" spans="1:11" ht="20.25" customHeight="1" x14ac:dyDescent="0.3">
      <c r="A1675" s="90"/>
      <c r="B1675" s="84"/>
      <c r="C1675" s="7"/>
      <c r="D1675" s="85"/>
      <c r="E1675" s="86"/>
      <c r="F1675" s="63"/>
      <c r="G1675" s="122"/>
      <c r="H1675" s="63"/>
      <c r="I1675" s="63"/>
      <c r="J1675" s="63"/>
      <c r="K1675" s="63"/>
    </row>
    <row r="1676" spans="1:11" ht="20.25" customHeight="1" x14ac:dyDescent="0.3">
      <c r="A1676" s="90"/>
      <c r="B1676" s="84"/>
      <c r="C1676" s="7"/>
      <c r="D1676" s="85"/>
      <c r="E1676" s="86"/>
      <c r="F1676" s="63"/>
      <c r="G1676" s="122"/>
      <c r="H1676" s="63"/>
      <c r="I1676" s="63"/>
      <c r="J1676" s="63"/>
      <c r="K1676" s="63"/>
    </row>
    <row r="1677" spans="1:11" ht="20.25" customHeight="1" x14ac:dyDescent="0.3">
      <c r="A1677" s="90"/>
      <c r="B1677" s="84"/>
      <c r="C1677" s="7"/>
      <c r="D1677" s="85"/>
      <c r="E1677" s="86"/>
      <c r="F1677" s="63"/>
      <c r="G1677" s="122"/>
      <c r="H1677" s="63"/>
      <c r="I1677" s="63"/>
      <c r="J1677" s="63"/>
      <c r="K1677" s="63"/>
    </row>
    <row r="1678" spans="1:11" ht="20.25" customHeight="1" x14ac:dyDescent="0.3">
      <c r="A1678" s="90"/>
      <c r="B1678" s="84"/>
      <c r="C1678" s="7"/>
      <c r="D1678" s="85"/>
      <c r="E1678" s="86"/>
      <c r="F1678" s="63"/>
      <c r="G1678" s="122"/>
      <c r="H1678" s="63"/>
      <c r="I1678" s="63"/>
      <c r="J1678" s="63"/>
      <c r="K1678" s="63"/>
    </row>
    <row r="1679" spans="1:11" ht="20.25" customHeight="1" x14ac:dyDescent="0.3">
      <c r="A1679" s="90"/>
      <c r="B1679" s="84"/>
      <c r="C1679" s="7"/>
      <c r="D1679" s="85"/>
      <c r="E1679" s="86"/>
      <c r="F1679" s="63"/>
      <c r="G1679" s="122"/>
      <c r="H1679" s="63"/>
      <c r="I1679" s="63"/>
      <c r="J1679" s="63"/>
      <c r="K1679" s="63"/>
    </row>
    <row r="1680" spans="1:11" ht="20.25" customHeight="1" x14ac:dyDescent="0.3">
      <c r="A1680" s="90"/>
      <c r="B1680" s="84"/>
      <c r="C1680" s="7"/>
      <c r="D1680" s="85"/>
      <c r="E1680" s="86"/>
      <c r="F1680" s="63"/>
      <c r="G1680" s="122"/>
      <c r="H1680" s="63"/>
      <c r="I1680" s="63"/>
      <c r="J1680" s="63"/>
      <c r="K1680" s="63"/>
    </row>
    <row r="1681" spans="1:11" ht="20.25" customHeight="1" x14ac:dyDescent="0.3">
      <c r="A1681" s="90"/>
      <c r="B1681" s="84"/>
      <c r="C1681" s="7"/>
      <c r="D1681" s="85"/>
      <c r="E1681" s="86"/>
      <c r="F1681" s="63"/>
      <c r="G1681" s="122"/>
      <c r="H1681" s="63"/>
      <c r="I1681" s="63"/>
      <c r="J1681" s="63"/>
      <c r="K1681" s="63"/>
    </row>
    <row r="1682" spans="1:11" ht="20.25" customHeight="1" x14ac:dyDescent="0.3">
      <c r="A1682" s="90"/>
      <c r="B1682" s="84"/>
      <c r="C1682" s="7"/>
      <c r="D1682" s="85"/>
      <c r="E1682" s="86"/>
      <c r="F1682" s="63"/>
      <c r="G1682" s="122"/>
      <c r="H1682" s="63"/>
      <c r="I1682" s="63"/>
      <c r="J1682" s="63"/>
      <c r="K1682" s="63"/>
    </row>
    <row r="1683" spans="1:11" ht="20.25" customHeight="1" x14ac:dyDescent="0.3">
      <c r="A1683" s="90"/>
      <c r="B1683" s="84"/>
      <c r="C1683" s="7"/>
      <c r="D1683" s="85"/>
      <c r="E1683" s="86"/>
      <c r="F1683" s="63"/>
      <c r="G1683" s="122"/>
      <c r="H1683" s="63"/>
      <c r="I1683" s="63"/>
      <c r="J1683" s="63"/>
      <c r="K1683" s="63"/>
    </row>
    <row r="1684" spans="1:11" ht="20.25" customHeight="1" x14ac:dyDescent="0.3">
      <c r="A1684" s="90"/>
      <c r="B1684" s="84"/>
      <c r="C1684" s="7"/>
      <c r="D1684" s="85"/>
      <c r="E1684" s="86"/>
      <c r="F1684" s="63"/>
      <c r="G1684" s="122"/>
      <c r="H1684" s="63"/>
      <c r="I1684" s="63"/>
      <c r="J1684" s="63"/>
      <c r="K1684" s="63"/>
    </row>
    <row r="1685" spans="1:11" ht="20.25" customHeight="1" x14ac:dyDescent="0.3">
      <c r="A1685" s="90"/>
      <c r="B1685" s="84"/>
      <c r="C1685" s="7"/>
      <c r="D1685" s="85"/>
      <c r="E1685" s="86"/>
      <c r="F1685" s="63"/>
      <c r="G1685" s="122"/>
      <c r="H1685" s="63"/>
      <c r="I1685" s="63"/>
      <c r="J1685" s="63"/>
      <c r="K1685" s="63"/>
    </row>
    <row r="1686" spans="1:11" ht="20.25" customHeight="1" x14ac:dyDescent="0.3">
      <c r="A1686" s="90"/>
      <c r="B1686" s="84"/>
      <c r="C1686" s="7"/>
      <c r="D1686" s="85"/>
      <c r="E1686" s="86"/>
      <c r="F1686" s="63"/>
      <c r="G1686" s="122"/>
      <c r="H1686" s="63"/>
      <c r="I1686" s="63"/>
      <c r="J1686" s="63"/>
      <c r="K1686" s="63"/>
    </row>
    <row r="1687" spans="1:11" ht="20.25" customHeight="1" x14ac:dyDescent="0.3">
      <c r="A1687" s="90"/>
      <c r="B1687" s="84"/>
      <c r="C1687" s="7"/>
      <c r="D1687" s="85"/>
      <c r="E1687" s="86"/>
      <c r="F1687" s="63"/>
      <c r="G1687" s="122"/>
      <c r="H1687" s="63"/>
      <c r="I1687" s="63"/>
      <c r="J1687" s="63"/>
      <c r="K1687" s="63"/>
    </row>
    <row r="1688" spans="1:11" ht="20.25" customHeight="1" x14ac:dyDescent="0.3">
      <c r="A1688" s="90"/>
      <c r="B1688" s="84"/>
      <c r="C1688" s="7"/>
      <c r="D1688" s="85"/>
      <c r="E1688" s="86"/>
      <c r="F1688" s="63"/>
      <c r="G1688" s="122"/>
      <c r="H1688" s="63"/>
      <c r="I1688" s="63"/>
      <c r="J1688" s="63"/>
      <c r="K1688" s="63"/>
    </row>
    <row r="1689" spans="1:11" ht="20.25" customHeight="1" x14ac:dyDescent="0.3">
      <c r="A1689" s="90"/>
      <c r="B1689" s="84"/>
      <c r="C1689" s="7"/>
      <c r="D1689" s="85"/>
      <c r="E1689" s="86"/>
      <c r="F1689" s="63"/>
      <c r="G1689" s="122"/>
      <c r="H1689" s="63"/>
      <c r="I1689" s="63"/>
      <c r="J1689" s="63"/>
      <c r="K1689" s="63"/>
    </row>
    <row r="1690" spans="1:11" ht="20.25" customHeight="1" x14ac:dyDescent="0.3">
      <c r="A1690" s="90"/>
      <c r="B1690" s="84"/>
      <c r="C1690" s="7"/>
      <c r="D1690" s="85"/>
      <c r="E1690" s="86"/>
      <c r="F1690" s="63"/>
      <c r="G1690" s="122"/>
      <c r="H1690" s="63"/>
      <c r="I1690" s="63"/>
      <c r="J1690" s="63"/>
      <c r="K1690" s="63"/>
    </row>
    <row r="1691" spans="1:11" ht="20.25" customHeight="1" x14ac:dyDescent="0.3">
      <c r="A1691" s="90"/>
      <c r="B1691" s="84"/>
      <c r="C1691" s="7"/>
      <c r="D1691" s="85"/>
      <c r="E1691" s="86"/>
      <c r="F1691" s="63"/>
      <c r="G1691" s="122"/>
      <c r="H1691" s="63"/>
      <c r="I1691" s="63"/>
      <c r="J1691" s="63"/>
      <c r="K1691" s="63"/>
    </row>
    <row r="1692" spans="1:11" ht="20.25" customHeight="1" x14ac:dyDescent="0.3">
      <c r="A1692" s="90"/>
      <c r="B1692" s="84"/>
      <c r="C1692" s="7"/>
      <c r="D1692" s="85"/>
      <c r="E1692" s="86"/>
      <c r="F1692" s="63"/>
      <c r="G1692" s="122"/>
      <c r="H1692" s="63"/>
      <c r="I1692" s="63"/>
      <c r="J1692" s="63"/>
      <c r="K1692" s="63"/>
    </row>
    <row r="1693" spans="1:11" ht="20.25" customHeight="1" x14ac:dyDescent="0.3">
      <c r="A1693" s="90"/>
      <c r="B1693" s="84"/>
      <c r="C1693" s="7"/>
      <c r="D1693" s="85"/>
      <c r="E1693" s="86"/>
      <c r="F1693" s="63"/>
      <c r="G1693" s="122"/>
      <c r="H1693" s="63"/>
      <c r="I1693" s="63"/>
      <c r="J1693" s="63"/>
      <c r="K1693" s="63"/>
    </row>
    <row r="1694" spans="1:11" ht="20.25" customHeight="1" x14ac:dyDescent="0.3">
      <c r="A1694" s="90"/>
      <c r="B1694" s="84"/>
      <c r="C1694" s="7"/>
      <c r="D1694" s="85"/>
      <c r="E1694" s="86"/>
      <c r="F1694" s="63"/>
      <c r="G1694" s="122"/>
      <c r="H1694" s="63"/>
      <c r="I1694" s="63"/>
      <c r="J1694" s="63"/>
      <c r="K1694" s="63"/>
    </row>
    <row r="1695" spans="1:11" ht="20.25" customHeight="1" x14ac:dyDescent="0.3">
      <c r="A1695" s="90"/>
      <c r="B1695" s="84"/>
      <c r="C1695" s="7"/>
      <c r="D1695" s="85"/>
      <c r="E1695" s="86"/>
      <c r="F1695" s="63"/>
      <c r="G1695" s="122"/>
      <c r="H1695" s="63"/>
      <c r="I1695" s="63"/>
      <c r="J1695" s="63"/>
      <c r="K1695" s="63"/>
    </row>
    <row r="1696" spans="1:11" ht="20.25" customHeight="1" x14ac:dyDescent="0.3">
      <c r="A1696" s="90"/>
      <c r="B1696" s="84"/>
      <c r="C1696" s="7"/>
      <c r="D1696" s="85"/>
      <c r="E1696" s="86"/>
      <c r="F1696" s="63"/>
      <c r="G1696" s="122"/>
      <c r="H1696" s="63"/>
      <c r="I1696" s="63"/>
      <c r="J1696" s="63"/>
      <c r="K1696" s="63"/>
    </row>
    <row r="1697" spans="1:11" ht="20.25" customHeight="1" x14ac:dyDescent="0.3">
      <c r="A1697" s="90"/>
      <c r="B1697" s="84"/>
      <c r="C1697" s="7"/>
      <c r="D1697" s="85"/>
      <c r="E1697" s="86"/>
      <c r="F1697" s="63"/>
      <c r="G1697" s="122"/>
      <c r="H1697" s="63"/>
      <c r="I1697" s="63"/>
      <c r="J1697" s="63"/>
      <c r="K1697" s="63"/>
    </row>
    <row r="1698" spans="1:11" ht="20.25" customHeight="1" x14ac:dyDescent="0.3">
      <c r="A1698" s="90"/>
      <c r="B1698" s="84"/>
      <c r="C1698" s="7"/>
      <c r="D1698" s="85"/>
      <c r="E1698" s="86"/>
      <c r="F1698" s="63"/>
      <c r="G1698" s="122"/>
      <c r="H1698" s="63"/>
      <c r="I1698" s="63"/>
      <c r="J1698" s="63"/>
      <c r="K1698" s="63"/>
    </row>
    <row r="1699" spans="1:11" ht="20.25" customHeight="1" x14ac:dyDescent="0.3">
      <c r="A1699" s="90"/>
      <c r="B1699" s="84"/>
      <c r="C1699" s="7"/>
      <c r="D1699" s="85"/>
      <c r="E1699" s="86"/>
      <c r="F1699" s="63"/>
      <c r="G1699" s="122"/>
      <c r="H1699" s="63"/>
      <c r="I1699" s="63"/>
      <c r="J1699" s="63"/>
      <c r="K1699" s="63"/>
    </row>
    <row r="1700" spans="1:11" ht="20.25" customHeight="1" x14ac:dyDescent="0.3">
      <c r="A1700" s="90"/>
      <c r="B1700" s="84"/>
      <c r="C1700" s="7"/>
      <c r="D1700" s="85"/>
      <c r="E1700" s="86"/>
      <c r="F1700" s="63"/>
      <c r="G1700" s="122"/>
      <c r="H1700" s="63"/>
      <c r="I1700" s="63"/>
      <c r="J1700" s="63"/>
      <c r="K1700" s="63"/>
    </row>
    <row r="1701" spans="1:11" ht="20.25" customHeight="1" x14ac:dyDescent="0.3">
      <c r="A1701" s="90"/>
      <c r="B1701" s="84"/>
      <c r="C1701" s="7"/>
      <c r="D1701" s="85"/>
      <c r="E1701" s="86"/>
      <c r="F1701" s="63"/>
      <c r="G1701" s="122"/>
      <c r="H1701" s="63"/>
      <c r="I1701" s="63"/>
      <c r="J1701" s="63"/>
      <c r="K1701" s="63"/>
    </row>
    <row r="1702" spans="1:11" ht="20.25" customHeight="1" x14ac:dyDescent="0.3">
      <c r="A1702" s="90"/>
      <c r="B1702" s="84"/>
      <c r="C1702" s="7"/>
      <c r="D1702" s="85"/>
      <c r="E1702" s="86"/>
      <c r="F1702" s="63"/>
      <c r="G1702" s="122"/>
      <c r="H1702" s="63"/>
      <c r="I1702" s="63"/>
      <c r="J1702" s="63"/>
      <c r="K1702" s="63"/>
    </row>
    <row r="1703" spans="1:11" ht="20.25" customHeight="1" x14ac:dyDescent="0.3">
      <c r="A1703" s="90"/>
      <c r="B1703" s="84"/>
      <c r="C1703" s="7"/>
      <c r="D1703" s="85"/>
      <c r="E1703" s="86"/>
      <c r="F1703" s="63"/>
      <c r="G1703" s="122"/>
      <c r="H1703" s="63"/>
      <c r="I1703" s="63"/>
      <c r="J1703" s="63"/>
      <c r="K1703" s="63"/>
    </row>
    <row r="1704" spans="1:11" ht="20.25" customHeight="1" x14ac:dyDescent="0.3">
      <c r="A1704" s="90"/>
      <c r="B1704" s="84"/>
      <c r="C1704" s="7"/>
      <c r="D1704" s="85"/>
      <c r="E1704" s="86"/>
      <c r="F1704" s="63"/>
      <c r="G1704" s="122"/>
      <c r="H1704" s="63"/>
      <c r="I1704" s="63"/>
      <c r="J1704" s="63"/>
      <c r="K1704" s="63"/>
    </row>
    <row r="1705" spans="1:11" ht="20.25" customHeight="1" x14ac:dyDescent="0.3">
      <c r="A1705" s="90"/>
      <c r="B1705" s="84"/>
      <c r="C1705" s="7"/>
      <c r="D1705" s="85"/>
      <c r="E1705" s="86"/>
      <c r="F1705" s="63"/>
      <c r="G1705" s="122"/>
      <c r="H1705" s="63"/>
      <c r="I1705" s="63"/>
      <c r="J1705" s="63"/>
      <c r="K1705" s="63"/>
    </row>
    <row r="1706" spans="1:11" ht="20.25" customHeight="1" x14ac:dyDescent="0.3">
      <c r="A1706" s="90"/>
      <c r="B1706" s="84"/>
      <c r="C1706" s="7"/>
      <c r="D1706" s="85"/>
      <c r="E1706" s="86"/>
      <c r="F1706" s="63"/>
      <c r="G1706" s="122"/>
      <c r="H1706" s="63"/>
      <c r="I1706" s="63"/>
      <c r="J1706" s="63"/>
      <c r="K1706" s="63"/>
    </row>
    <row r="1707" spans="1:11" ht="20.25" customHeight="1" x14ac:dyDescent="0.3">
      <c r="A1707" s="90"/>
      <c r="B1707" s="84"/>
      <c r="C1707" s="7"/>
      <c r="D1707" s="85"/>
      <c r="E1707" s="86"/>
      <c r="F1707" s="63"/>
      <c r="G1707" s="122"/>
      <c r="H1707" s="63"/>
      <c r="I1707" s="63"/>
      <c r="J1707" s="63"/>
      <c r="K1707" s="63"/>
    </row>
    <row r="1708" spans="1:11" ht="20.25" customHeight="1" x14ac:dyDescent="0.3">
      <c r="A1708" s="90"/>
      <c r="B1708" s="84"/>
      <c r="C1708" s="7"/>
      <c r="D1708" s="85"/>
      <c r="E1708" s="86"/>
      <c r="F1708" s="63"/>
      <c r="G1708" s="122"/>
      <c r="H1708" s="63"/>
      <c r="I1708" s="63"/>
      <c r="J1708" s="63"/>
      <c r="K1708" s="63"/>
    </row>
    <row r="1709" spans="1:11" ht="20.25" customHeight="1" x14ac:dyDescent="0.3">
      <c r="A1709" s="90"/>
      <c r="B1709" s="84"/>
      <c r="C1709" s="7"/>
      <c r="D1709" s="85"/>
      <c r="E1709" s="86"/>
      <c r="F1709" s="63"/>
      <c r="G1709" s="122"/>
      <c r="H1709" s="63"/>
      <c r="I1709" s="63"/>
      <c r="J1709" s="63"/>
      <c r="K1709" s="63"/>
    </row>
    <row r="1710" spans="1:11" ht="20.25" customHeight="1" x14ac:dyDescent="0.3">
      <c r="A1710" s="90"/>
      <c r="B1710" s="84"/>
      <c r="C1710" s="7"/>
      <c r="D1710" s="85"/>
      <c r="E1710" s="86"/>
      <c r="F1710" s="63"/>
      <c r="G1710" s="122"/>
      <c r="H1710" s="63"/>
      <c r="I1710" s="63"/>
      <c r="J1710" s="63"/>
      <c r="K1710" s="63"/>
    </row>
    <row r="1711" spans="1:11" ht="20.25" customHeight="1" x14ac:dyDescent="0.3">
      <c r="A1711" s="90"/>
      <c r="B1711" s="84"/>
      <c r="C1711" s="7"/>
      <c r="D1711" s="85"/>
      <c r="E1711" s="86"/>
      <c r="F1711" s="63"/>
      <c r="G1711" s="122"/>
      <c r="H1711" s="63"/>
      <c r="I1711" s="63"/>
      <c r="J1711" s="63"/>
      <c r="K1711" s="63"/>
    </row>
    <row r="1712" spans="1:11" ht="20.25" customHeight="1" x14ac:dyDescent="0.3">
      <c r="A1712" s="90"/>
      <c r="B1712" s="84"/>
      <c r="C1712" s="7"/>
      <c r="D1712" s="85"/>
      <c r="E1712" s="86"/>
      <c r="F1712" s="63"/>
      <c r="G1712" s="122"/>
      <c r="H1712" s="63"/>
      <c r="I1712" s="63"/>
      <c r="J1712" s="63"/>
      <c r="K1712" s="63"/>
    </row>
    <row r="1713" spans="1:11" ht="20.25" customHeight="1" x14ac:dyDescent="0.3">
      <c r="A1713" s="90"/>
      <c r="B1713" s="84"/>
      <c r="C1713" s="7"/>
      <c r="D1713" s="85"/>
      <c r="E1713" s="86"/>
      <c r="F1713" s="63"/>
      <c r="G1713" s="122"/>
      <c r="H1713" s="63"/>
      <c r="I1713" s="63"/>
      <c r="J1713" s="63"/>
      <c r="K1713" s="63"/>
    </row>
    <row r="1714" spans="1:11" ht="20.25" customHeight="1" x14ac:dyDescent="0.3">
      <c r="A1714" s="90"/>
      <c r="B1714" s="84"/>
      <c r="C1714" s="7"/>
      <c r="D1714" s="85"/>
      <c r="E1714" s="86"/>
      <c r="F1714" s="63"/>
      <c r="G1714" s="122"/>
      <c r="H1714" s="63"/>
      <c r="I1714" s="63"/>
      <c r="J1714" s="63"/>
      <c r="K1714" s="63"/>
    </row>
    <row r="1715" spans="1:11" ht="20.25" customHeight="1" x14ac:dyDescent="0.3">
      <c r="A1715" s="90"/>
      <c r="B1715" s="84"/>
      <c r="C1715" s="7"/>
      <c r="D1715" s="85"/>
      <c r="E1715" s="86"/>
      <c r="F1715" s="63"/>
      <c r="G1715" s="122"/>
      <c r="H1715" s="63"/>
      <c r="I1715" s="63"/>
      <c r="J1715" s="63"/>
      <c r="K1715" s="63"/>
    </row>
    <row r="1716" spans="1:11" ht="20.25" customHeight="1" x14ac:dyDescent="0.3">
      <c r="A1716" s="90"/>
      <c r="B1716" s="84"/>
      <c r="C1716" s="7"/>
      <c r="D1716" s="85"/>
      <c r="E1716" s="86"/>
      <c r="F1716" s="63"/>
      <c r="G1716" s="122"/>
      <c r="H1716" s="63"/>
      <c r="I1716" s="63"/>
      <c r="J1716" s="63"/>
      <c r="K1716" s="63"/>
    </row>
    <row r="1717" spans="1:11" ht="20.25" customHeight="1" x14ac:dyDescent="0.3">
      <c r="A1717" s="90"/>
      <c r="B1717" s="84"/>
      <c r="C1717" s="7"/>
      <c r="D1717" s="85"/>
      <c r="E1717" s="86"/>
      <c r="F1717" s="63"/>
      <c r="G1717" s="122"/>
      <c r="H1717" s="63"/>
      <c r="I1717" s="63"/>
      <c r="J1717" s="63"/>
      <c r="K1717" s="63"/>
    </row>
    <row r="1718" spans="1:11" ht="20.25" customHeight="1" x14ac:dyDescent="0.3">
      <c r="A1718" s="90"/>
      <c r="B1718" s="84"/>
      <c r="C1718" s="7"/>
      <c r="D1718" s="85"/>
      <c r="E1718" s="86"/>
      <c r="F1718" s="63"/>
      <c r="G1718" s="122"/>
      <c r="H1718" s="63"/>
      <c r="I1718" s="63"/>
      <c r="J1718" s="63"/>
      <c r="K1718" s="63"/>
    </row>
    <row r="1719" spans="1:11" ht="20.25" customHeight="1" x14ac:dyDescent="0.3">
      <c r="A1719" s="90"/>
      <c r="B1719" s="84"/>
      <c r="C1719" s="7"/>
      <c r="D1719" s="85"/>
      <c r="E1719" s="86"/>
      <c r="F1719" s="63"/>
      <c r="G1719" s="122"/>
      <c r="H1719" s="63"/>
      <c r="I1719" s="63"/>
      <c r="J1719" s="63"/>
      <c r="K1719" s="63"/>
    </row>
    <row r="1720" spans="1:11" ht="20.25" customHeight="1" x14ac:dyDescent="0.3">
      <c r="A1720" s="90"/>
      <c r="B1720" s="84"/>
      <c r="C1720" s="7"/>
      <c r="D1720" s="85"/>
      <c r="E1720" s="86"/>
      <c r="F1720" s="63"/>
      <c r="G1720" s="122"/>
      <c r="H1720" s="63"/>
      <c r="I1720" s="63"/>
      <c r="J1720" s="63"/>
      <c r="K1720" s="63"/>
    </row>
    <row r="1721" spans="1:11" ht="20.25" customHeight="1" x14ac:dyDescent="0.3">
      <c r="A1721" s="90"/>
      <c r="B1721" s="84"/>
      <c r="C1721" s="7"/>
      <c r="D1721" s="85"/>
      <c r="E1721" s="86"/>
      <c r="F1721" s="63"/>
      <c r="G1721" s="122"/>
      <c r="H1721" s="63"/>
      <c r="I1721" s="63"/>
      <c r="J1721" s="63"/>
      <c r="K1721" s="63"/>
    </row>
    <row r="1722" spans="1:11" ht="20.25" customHeight="1" x14ac:dyDescent="0.3">
      <c r="A1722" s="90"/>
      <c r="B1722" s="84"/>
      <c r="C1722" s="7"/>
      <c r="D1722" s="85"/>
      <c r="E1722" s="86"/>
      <c r="F1722" s="63"/>
      <c r="G1722" s="122"/>
      <c r="H1722" s="63"/>
      <c r="I1722" s="63"/>
      <c r="J1722" s="63"/>
      <c r="K1722" s="63"/>
    </row>
    <row r="1723" spans="1:11" ht="20.25" customHeight="1" x14ac:dyDescent="0.3">
      <c r="A1723" s="90"/>
      <c r="B1723" s="84"/>
      <c r="C1723" s="7"/>
      <c r="D1723" s="85"/>
      <c r="E1723" s="86"/>
      <c r="F1723" s="63"/>
      <c r="G1723" s="122"/>
      <c r="H1723" s="63"/>
      <c r="I1723" s="63"/>
      <c r="J1723" s="63"/>
      <c r="K1723" s="63"/>
    </row>
    <row r="1724" spans="1:11" ht="20.25" customHeight="1" x14ac:dyDescent="0.3">
      <c r="A1724" s="90"/>
      <c r="B1724" s="84"/>
      <c r="C1724" s="7"/>
      <c r="D1724" s="85"/>
      <c r="E1724" s="86"/>
      <c r="F1724" s="63"/>
      <c r="G1724" s="122"/>
      <c r="H1724" s="63"/>
      <c r="I1724" s="63"/>
      <c r="J1724" s="63"/>
      <c r="K1724" s="63"/>
    </row>
    <row r="1725" spans="1:11" ht="20.25" customHeight="1" x14ac:dyDescent="0.3">
      <c r="A1725" s="90"/>
      <c r="B1725" s="84"/>
      <c r="C1725" s="7"/>
      <c r="D1725" s="85"/>
      <c r="E1725" s="86"/>
      <c r="F1725" s="63"/>
      <c r="G1725" s="122"/>
      <c r="H1725" s="63"/>
      <c r="I1725" s="63"/>
      <c r="J1725" s="63"/>
      <c r="K1725" s="63"/>
    </row>
    <row r="1726" spans="1:11" ht="20.25" customHeight="1" x14ac:dyDescent="0.3">
      <c r="A1726" s="90"/>
      <c r="B1726" s="84"/>
      <c r="C1726" s="7"/>
      <c r="D1726" s="85"/>
      <c r="E1726" s="86"/>
      <c r="F1726" s="63"/>
      <c r="G1726" s="122"/>
      <c r="H1726" s="63"/>
      <c r="I1726" s="63"/>
      <c r="J1726" s="63"/>
      <c r="K1726" s="63"/>
    </row>
    <row r="1727" spans="1:11" ht="20.25" customHeight="1" x14ac:dyDescent="0.3">
      <c r="A1727" s="90"/>
      <c r="B1727" s="84"/>
      <c r="C1727" s="7"/>
      <c r="D1727" s="85"/>
      <c r="E1727" s="86"/>
      <c r="F1727" s="63"/>
      <c r="G1727" s="122"/>
      <c r="H1727" s="63"/>
      <c r="I1727" s="63"/>
      <c r="J1727" s="63"/>
      <c r="K1727" s="63"/>
    </row>
    <row r="1728" spans="1:11" ht="20.25" customHeight="1" x14ac:dyDescent="0.3">
      <c r="A1728" s="90"/>
      <c r="B1728" s="84"/>
      <c r="C1728" s="7"/>
      <c r="D1728" s="85"/>
      <c r="E1728" s="86"/>
      <c r="F1728" s="63"/>
      <c r="G1728" s="122"/>
      <c r="H1728" s="63"/>
      <c r="I1728" s="63"/>
      <c r="J1728" s="63"/>
      <c r="K1728" s="63"/>
    </row>
    <row r="1729" spans="1:11" ht="20.25" customHeight="1" x14ac:dyDescent="0.3">
      <c r="A1729" s="90"/>
      <c r="B1729" s="84"/>
      <c r="C1729" s="7"/>
      <c r="D1729" s="85"/>
      <c r="E1729" s="86"/>
      <c r="F1729" s="63"/>
      <c r="G1729" s="122"/>
      <c r="H1729" s="63"/>
      <c r="I1729" s="63"/>
      <c r="J1729" s="63"/>
      <c r="K1729" s="63"/>
    </row>
    <row r="1730" spans="1:11" ht="20.25" customHeight="1" x14ac:dyDescent="0.3">
      <c r="A1730" s="90"/>
      <c r="B1730" s="84"/>
      <c r="C1730" s="7"/>
      <c r="D1730" s="85"/>
      <c r="E1730" s="86"/>
      <c r="F1730" s="63"/>
      <c r="G1730" s="122"/>
      <c r="H1730" s="63"/>
      <c r="I1730" s="63"/>
      <c r="J1730" s="63"/>
      <c r="K1730" s="63"/>
    </row>
    <row r="1731" spans="1:11" ht="20.25" customHeight="1" x14ac:dyDescent="0.3">
      <c r="A1731" s="90"/>
      <c r="B1731" s="84"/>
      <c r="C1731" s="7"/>
      <c r="D1731" s="85"/>
      <c r="E1731" s="86"/>
      <c r="F1731" s="63"/>
      <c r="G1731" s="122"/>
      <c r="H1731" s="63"/>
      <c r="I1731" s="63"/>
      <c r="J1731" s="63"/>
      <c r="K1731" s="63"/>
    </row>
    <row r="1732" spans="1:11" ht="20.25" customHeight="1" x14ac:dyDescent="0.3">
      <c r="A1732" s="90"/>
      <c r="B1732" s="84"/>
      <c r="C1732" s="7"/>
      <c r="D1732" s="85"/>
      <c r="E1732" s="86"/>
      <c r="F1732" s="63"/>
      <c r="G1732" s="122"/>
      <c r="H1732" s="63"/>
      <c r="I1732" s="63"/>
      <c r="J1732" s="63"/>
      <c r="K1732" s="63"/>
    </row>
    <row r="1733" spans="1:11" ht="20.25" customHeight="1" x14ac:dyDescent="0.3">
      <c r="A1733" s="90"/>
      <c r="B1733" s="84"/>
      <c r="C1733" s="7"/>
      <c r="D1733" s="85"/>
      <c r="E1733" s="86"/>
      <c r="F1733" s="63"/>
      <c r="G1733" s="122"/>
      <c r="H1733" s="63"/>
      <c r="I1733" s="63"/>
      <c r="J1733" s="63"/>
      <c r="K1733" s="63"/>
    </row>
    <row r="1734" spans="1:11" ht="20.25" customHeight="1" x14ac:dyDescent="0.3">
      <c r="A1734" s="90"/>
      <c r="B1734" s="84"/>
      <c r="C1734" s="7"/>
      <c r="D1734" s="85"/>
      <c r="E1734" s="86"/>
      <c r="F1734" s="63"/>
      <c r="G1734" s="122"/>
      <c r="H1734" s="63"/>
      <c r="I1734" s="63"/>
      <c r="J1734" s="63"/>
      <c r="K1734" s="63"/>
    </row>
    <row r="1735" spans="1:11" ht="20.25" customHeight="1" x14ac:dyDescent="0.3">
      <c r="A1735" s="90"/>
      <c r="B1735" s="84"/>
      <c r="C1735" s="7"/>
      <c r="D1735" s="85"/>
      <c r="E1735" s="86"/>
      <c r="F1735" s="63"/>
      <c r="G1735" s="122"/>
      <c r="H1735" s="63"/>
      <c r="I1735" s="63"/>
      <c r="J1735" s="63"/>
      <c r="K1735" s="63"/>
    </row>
    <row r="1736" spans="1:11" ht="20.25" customHeight="1" x14ac:dyDescent="0.3">
      <c r="A1736" s="90"/>
      <c r="B1736" s="84"/>
      <c r="C1736" s="7"/>
      <c r="D1736" s="85"/>
      <c r="E1736" s="86"/>
      <c r="F1736" s="63"/>
      <c r="G1736" s="122"/>
      <c r="H1736" s="63"/>
      <c r="I1736" s="63"/>
      <c r="J1736" s="63"/>
      <c r="K1736" s="63"/>
    </row>
    <row r="1737" spans="1:11" ht="20.25" customHeight="1" x14ac:dyDescent="0.3">
      <c r="A1737" s="90"/>
      <c r="B1737" s="84"/>
      <c r="C1737" s="7"/>
      <c r="D1737" s="85"/>
      <c r="E1737" s="86"/>
      <c r="F1737" s="63"/>
      <c r="G1737" s="122"/>
      <c r="H1737" s="63"/>
      <c r="I1737" s="63"/>
      <c r="J1737" s="63"/>
      <c r="K1737" s="63"/>
    </row>
    <row r="1738" spans="1:11" ht="20.25" customHeight="1" x14ac:dyDescent="0.3">
      <c r="A1738" s="90"/>
      <c r="B1738" s="84"/>
      <c r="C1738" s="7"/>
      <c r="D1738" s="85"/>
      <c r="E1738" s="86"/>
      <c r="F1738" s="63"/>
      <c r="G1738" s="122"/>
      <c r="H1738" s="63"/>
      <c r="I1738" s="63"/>
      <c r="J1738" s="63"/>
      <c r="K1738" s="63"/>
    </row>
    <row r="1739" spans="1:11" ht="20.25" customHeight="1" x14ac:dyDescent="0.3">
      <c r="A1739" s="90"/>
      <c r="B1739" s="84"/>
      <c r="C1739" s="7"/>
      <c r="D1739" s="85"/>
      <c r="E1739" s="86"/>
      <c r="F1739" s="63"/>
      <c r="G1739" s="122"/>
      <c r="H1739" s="63"/>
      <c r="I1739" s="63"/>
      <c r="J1739" s="63"/>
      <c r="K1739" s="63"/>
    </row>
    <row r="1740" spans="1:11" ht="20.25" customHeight="1" x14ac:dyDescent="0.3">
      <c r="A1740" s="90"/>
      <c r="B1740" s="84"/>
      <c r="C1740" s="7"/>
      <c r="D1740" s="85"/>
      <c r="E1740" s="86"/>
      <c r="F1740" s="63"/>
      <c r="G1740" s="122"/>
      <c r="H1740" s="63"/>
      <c r="I1740" s="63"/>
      <c r="J1740" s="63"/>
      <c r="K1740" s="63"/>
    </row>
    <row r="1741" spans="1:11" ht="20.25" customHeight="1" x14ac:dyDescent="0.3">
      <c r="A1741" s="90"/>
      <c r="B1741" s="84"/>
      <c r="C1741" s="7"/>
      <c r="D1741" s="85"/>
      <c r="E1741" s="86"/>
      <c r="F1741" s="63"/>
      <c r="G1741" s="122"/>
      <c r="H1741" s="63"/>
      <c r="I1741" s="63"/>
      <c r="J1741" s="63"/>
      <c r="K1741" s="63"/>
    </row>
    <row r="1742" spans="1:11" ht="20.25" customHeight="1" x14ac:dyDescent="0.3">
      <c r="A1742" s="90"/>
      <c r="B1742" s="84"/>
      <c r="C1742" s="7"/>
      <c r="D1742" s="85"/>
      <c r="E1742" s="86"/>
      <c r="F1742" s="63"/>
      <c r="G1742" s="122"/>
      <c r="H1742" s="63"/>
      <c r="I1742" s="63"/>
      <c r="J1742" s="63"/>
      <c r="K1742" s="63"/>
    </row>
    <row r="1743" spans="1:11" ht="20.25" customHeight="1" x14ac:dyDescent="0.3">
      <c r="A1743" s="90"/>
      <c r="B1743" s="84"/>
      <c r="C1743" s="7"/>
      <c r="D1743" s="85"/>
      <c r="E1743" s="86"/>
      <c r="F1743" s="63"/>
      <c r="G1743" s="122"/>
      <c r="H1743" s="63"/>
      <c r="I1743" s="63"/>
      <c r="J1743" s="63"/>
      <c r="K1743" s="63"/>
    </row>
    <row r="1744" spans="1:11" ht="20.25" customHeight="1" x14ac:dyDescent="0.3">
      <c r="A1744" s="90"/>
      <c r="B1744" s="84"/>
      <c r="C1744" s="7"/>
      <c r="D1744" s="85"/>
      <c r="E1744" s="86"/>
      <c r="F1744" s="63"/>
      <c r="G1744" s="122"/>
      <c r="H1744" s="63"/>
      <c r="I1744" s="63"/>
      <c r="J1744" s="63"/>
      <c r="K1744" s="63"/>
    </row>
    <row r="1745" spans="1:11" ht="20.25" customHeight="1" x14ac:dyDescent="0.3">
      <c r="A1745" s="90"/>
      <c r="B1745" s="84"/>
      <c r="C1745" s="7"/>
      <c r="D1745" s="85"/>
      <c r="E1745" s="86"/>
      <c r="F1745" s="63"/>
      <c r="G1745" s="122"/>
      <c r="H1745" s="63"/>
      <c r="I1745" s="63"/>
      <c r="J1745" s="63"/>
      <c r="K1745" s="63"/>
    </row>
    <row r="1746" spans="1:11" ht="20.25" customHeight="1" x14ac:dyDescent="0.3">
      <c r="A1746" s="90"/>
      <c r="B1746" s="84"/>
      <c r="C1746" s="7"/>
      <c r="D1746" s="85"/>
      <c r="E1746" s="86"/>
      <c r="F1746" s="63"/>
      <c r="G1746" s="122"/>
      <c r="H1746" s="63"/>
      <c r="I1746" s="63"/>
      <c r="J1746" s="63"/>
      <c r="K1746" s="63"/>
    </row>
    <row r="1747" spans="1:11" ht="20.25" customHeight="1" x14ac:dyDescent="0.3">
      <c r="A1747" s="90"/>
      <c r="B1747" s="84"/>
      <c r="C1747" s="7"/>
      <c r="D1747" s="85"/>
      <c r="E1747" s="86"/>
      <c r="F1747" s="63"/>
      <c r="G1747" s="122"/>
      <c r="H1747" s="63"/>
      <c r="I1747" s="63"/>
      <c r="J1747" s="63"/>
      <c r="K1747" s="63"/>
    </row>
    <row r="1748" spans="1:11" ht="20.25" customHeight="1" x14ac:dyDescent="0.3">
      <c r="A1748" s="90"/>
      <c r="B1748" s="84"/>
      <c r="C1748" s="7"/>
      <c r="D1748" s="85"/>
      <c r="E1748" s="86"/>
      <c r="F1748" s="63"/>
      <c r="G1748" s="122"/>
      <c r="H1748" s="63"/>
      <c r="I1748" s="63"/>
      <c r="J1748" s="63"/>
      <c r="K1748" s="63"/>
    </row>
    <row r="1749" spans="1:11" ht="20.25" customHeight="1" x14ac:dyDescent="0.3">
      <c r="A1749" s="90"/>
      <c r="B1749" s="84"/>
      <c r="C1749" s="7"/>
      <c r="D1749" s="85"/>
      <c r="E1749" s="86"/>
      <c r="F1749" s="63"/>
      <c r="G1749" s="122"/>
      <c r="H1749" s="63"/>
      <c r="I1749" s="63"/>
      <c r="J1749" s="63"/>
      <c r="K1749" s="63"/>
    </row>
    <row r="1750" spans="1:11" ht="20.25" customHeight="1" x14ac:dyDescent="0.3">
      <c r="A1750" s="90"/>
      <c r="B1750" s="84"/>
      <c r="C1750" s="7"/>
      <c r="D1750" s="85"/>
      <c r="E1750" s="86"/>
      <c r="F1750" s="63"/>
      <c r="G1750" s="122"/>
      <c r="H1750" s="63"/>
      <c r="I1750" s="63"/>
      <c r="J1750" s="63"/>
      <c r="K1750" s="63"/>
    </row>
    <row r="1751" spans="1:11" ht="20.25" customHeight="1" x14ac:dyDescent="0.3">
      <c r="A1751" s="90"/>
      <c r="B1751" s="84"/>
      <c r="C1751" s="7"/>
      <c r="D1751" s="85"/>
      <c r="E1751" s="86"/>
      <c r="F1751" s="63"/>
      <c r="G1751" s="122"/>
      <c r="H1751" s="63"/>
      <c r="I1751" s="63"/>
      <c r="J1751" s="63"/>
      <c r="K1751" s="63"/>
    </row>
    <row r="1752" spans="1:11" ht="20.25" customHeight="1" x14ac:dyDescent="0.3">
      <c r="A1752" s="90"/>
      <c r="B1752" s="84"/>
      <c r="C1752" s="7"/>
      <c r="D1752" s="85"/>
      <c r="E1752" s="86"/>
      <c r="F1752" s="63"/>
      <c r="G1752" s="122"/>
      <c r="H1752" s="63"/>
      <c r="I1752" s="63"/>
      <c r="J1752" s="63"/>
      <c r="K1752" s="63"/>
    </row>
    <row r="1753" spans="1:11" ht="20.25" customHeight="1" x14ac:dyDescent="0.3">
      <c r="A1753" s="90"/>
      <c r="B1753" s="84"/>
      <c r="C1753" s="7"/>
      <c r="D1753" s="85"/>
      <c r="E1753" s="86"/>
      <c r="F1753" s="63"/>
      <c r="G1753" s="122"/>
      <c r="H1753" s="63"/>
      <c r="I1753" s="63"/>
      <c r="J1753" s="63"/>
      <c r="K1753" s="63"/>
    </row>
    <row r="1754" spans="1:11" ht="20.25" customHeight="1" x14ac:dyDescent="0.3">
      <c r="A1754" s="90"/>
      <c r="B1754" s="84"/>
      <c r="C1754" s="7"/>
      <c r="D1754" s="85"/>
      <c r="E1754" s="86"/>
      <c r="F1754" s="63"/>
      <c r="G1754" s="122"/>
      <c r="H1754" s="63"/>
      <c r="I1754" s="63"/>
      <c r="J1754" s="63"/>
      <c r="K1754" s="63"/>
    </row>
    <row r="1755" spans="1:11" ht="20.25" customHeight="1" x14ac:dyDescent="0.3">
      <c r="A1755" s="90"/>
      <c r="B1755" s="84"/>
      <c r="C1755" s="7"/>
      <c r="D1755" s="85"/>
      <c r="E1755" s="86"/>
      <c r="F1755" s="63"/>
      <c r="G1755" s="122"/>
      <c r="H1755" s="63"/>
      <c r="I1755" s="63"/>
      <c r="J1755" s="63"/>
      <c r="K1755" s="63"/>
    </row>
    <row r="1756" spans="1:11" ht="20.25" customHeight="1" x14ac:dyDescent="0.3">
      <c r="A1756" s="90"/>
      <c r="B1756" s="84"/>
      <c r="C1756" s="7"/>
      <c r="D1756" s="85"/>
      <c r="E1756" s="86"/>
      <c r="F1756" s="63"/>
      <c r="G1756" s="122"/>
      <c r="H1756" s="63"/>
      <c r="I1756" s="63"/>
      <c r="J1756" s="63"/>
      <c r="K1756" s="63"/>
    </row>
    <row r="1757" spans="1:11" ht="20.25" customHeight="1" x14ac:dyDescent="0.3">
      <c r="A1757" s="90"/>
      <c r="B1757" s="84"/>
      <c r="C1757" s="7"/>
      <c r="D1757" s="85"/>
      <c r="E1757" s="86"/>
      <c r="F1757" s="63"/>
      <c r="G1757" s="122"/>
      <c r="H1757" s="63"/>
      <c r="I1757" s="63"/>
      <c r="J1757" s="63"/>
      <c r="K1757" s="63"/>
    </row>
    <row r="1758" spans="1:11" ht="20.25" customHeight="1" x14ac:dyDescent="0.3">
      <c r="A1758" s="90"/>
      <c r="B1758" s="84"/>
      <c r="C1758" s="7"/>
      <c r="D1758" s="85"/>
      <c r="E1758" s="86"/>
      <c r="F1758" s="63"/>
      <c r="G1758" s="122"/>
      <c r="H1758" s="63"/>
      <c r="I1758" s="63"/>
      <c r="J1758" s="63"/>
      <c r="K1758" s="63"/>
    </row>
    <row r="1759" spans="1:11" ht="20.25" customHeight="1" x14ac:dyDescent="0.3">
      <c r="A1759" s="90"/>
      <c r="B1759" s="84"/>
      <c r="C1759" s="7"/>
      <c r="D1759" s="85"/>
      <c r="E1759" s="86"/>
      <c r="F1759" s="63"/>
      <c r="G1759" s="122"/>
      <c r="H1759" s="63"/>
      <c r="I1759" s="63"/>
      <c r="J1759" s="63"/>
      <c r="K1759" s="63"/>
    </row>
    <row r="1760" spans="1:11" ht="20.25" customHeight="1" x14ac:dyDescent="0.3">
      <c r="A1760" s="90"/>
      <c r="B1760" s="84"/>
      <c r="C1760" s="7"/>
      <c r="D1760" s="85"/>
      <c r="E1760" s="86"/>
      <c r="F1760" s="63"/>
      <c r="G1760" s="122"/>
      <c r="H1760" s="63"/>
      <c r="I1760" s="63"/>
      <c r="J1760" s="63"/>
      <c r="K1760" s="63"/>
    </row>
    <row r="1761" spans="1:11" ht="20.25" customHeight="1" x14ac:dyDescent="0.3">
      <c r="A1761" s="90"/>
      <c r="B1761" s="84"/>
      <c r="C1761" s="7"/>
      <c r="D1761" s="85"/>
      <c r="E1761" s="86"/>
      <c r="F1761" s="63"/>
      <c r="G1761" s="122"/>
      <c r="H1761" s="63"/>
      <c r="I1761" s="63"/>
      <c r="J1761" s="63"/>
      <c r="K1761" s="63"/>
    </row>
    <row r="1762" spans="1:11" ht="20.25" customHeight="1" x14ac:dyDescent="0.3">
      <c r="A1762" s="90"/>
      <c r="B1762" s="84"/>
      <c r="C1762" s="7"/>
      <c r="D1762" s="85"/>
      <c r="E1762" s="86"/>
      <c r="F1762" s="63"/>
      <c r="G1762" s="122"/>
      <c r="H1762" s="63"/>
      <c r="I1762" s="63"/>
      <c r="J1762" s="63"/>
      <c r="K1762" s="63"/>
    </row>
    <row r="1763" spans="1:11" ht="20.25" customHeight="1" x14ac:dyDescent="0.3">
      <c r="A1763" s="90"/>
      <c r="B1763" s="84"/>
      <c r="C1763" s="7"/>
      <c r="D1763" s="85"/>
      <c r="E1763" s="86"/>
      <c r="F1763" s="63"/>
      <c r="G1763" s="122"/>
      <c r="H1763" s="63"/>
      <c r="I1763" s="63"/>
      <c r="J1763" s="63"/>
      <c r="K1763" s="63"/>
    </row>
    <row r="1764" spans="1:11" ht="20.25" customHeight="1" x14ac:dyDescent="0.3">
      <c r="A1764" s="90"/>
      <c r="B1764" s="84"/>
      <c r="C1764" s="7"/>
      <c r="D1764" s="85"/>
      <c r="E1764" s="86"/>
      <c r="F1764" s="63"/>
      <c r="G1764" s="122"/>
      <c r="H1764" s="63"/>
      <c r="I1764" s="63"/>
      <c r="J1764" s="63"/>
      <c r="K1764" s="63"/>
    </row>
    <row r="1765" spans="1:11" ht="20.25" customHeight="1" x14ac:dyDescent="0.3">
      <c r="A1765" s="90"/>
      <c r="B1765" s="84"/>
      <c r="C1765" s="7"/>
      <c r="D1765" s="85"/>
      <c r="E1765" s="86"/>
      <c r="F1765" s="63"/>
      <c r="G1765" s="122"/>
      <c r="H1765" s="63"/>
      <c r="I1765" s="63"/>
      <c r="J1765" s="63"/>
      <c r="K1765" s="63"/>
    </row>
    <row r="1766" spans="1:11" ht="20.25" customHeight="1" x14ac:dyDescent="0.3">
      <c r="A1766" s="90"/>
      <c r="B1766" s="84"/>
      <c r="C1766" s="7"/>
      <c r="D1766" s="85"/>
      <c r="E1766" s="86"/>
      <c r="F1766" s="63"/>
      <c r="G1766" s="122"/>
      <c r="H1766" s="63"/>
      <c r="I1766" s="63"/>
      <c r="J1766" s="63"/>
      <c r="K1766" s="63"/>
    </row>
    <row r="1767" spans="1:11" ht="20.25" customHeight="1" x14ac:dyDescent="0.3">
      <c r="A1767" s="90"/>
      <c r="B1767" s="84"/>
      <c r="C1767" s="7"/>
      <c r="D1767" s="85"/>
      <c r="E1767" s="86"/>
      <c r="F1767" s="63"/>
      <c r="G1767" s="122"/>
      <c r="H1767" s="63"/>
      <c r="I1767" s="63"/>
      <c r="J1767" s="63"/>
      <c r="K1767" s="63"/>
    </row>
    <row r="1768" spans="1:11" ht="20.25" customHeight="1" x14ac:dyDescent="0.3">
      <c r="A1768" s="90"/>
      <c r="B1768" s="84"/>
      <c r="C1768" s="7"/>
      <c r="D1768" s="85"/>
      <c r="E1768" s="86"/>
      <c r="F1768" s="63"/>
      <c r="G1768" s="122"/>
      <c r="H1768" s="63"/>
      <c r="I1768" s="63"/>
      <c r="J1768" s="63"/>
      <c r="K1768" s="63"/>
    </row>
    <row r="1769" spans="1:11" ht="20.25" customHeight="1" x14ac:dyDescent="0.3">
      <c r="A1769" s="90"/>
      <c r="B1769" s="84"/>
      <c r="C1769" s="7"/>
      <c r="D1769" s="85"/>
      <c r="E1769" s="86"/>
      <c r="F1769" s="63"/>
      <c r="G1769" s="122"/>
      <c r="H1769" s="63"/>
      <c r="I1769" s="63"/>
      <c r="J1769" s="63"/>
      <c r="K1769" s="63"/>
    </row>
    <row r="1770" spans="1:11" ht="20.25" customHeight="1" x14ac:dyDescent="0.3">
      <c r="A1770" s="90"/>
      <c r="B1770" s="84"/>
      <c r="C1770" s="7"/>
      <c r="D1770" s="85"/>
      <c r="E1770" s="86"/>
      <c r="F1770" s="63"/>
      <c r="G1770" s="122"/>
      <c r="H1770" s="63"/>
      <c r="I1770" s="63"/>
      <c r="J1770" s="63"/>
      <c r="K1770" s="63"/>
    </row>
    <row r="1771" spans="1:11" ht="20.25" customHeight="1" x14ac:dyDescent="0.3">
      <c r="A1771" s="90"/>
      <c r="B1771" s="84"/>
      <c r="C1771" s="7"/>
      <c r="D1771" s="85"/>
      <c r="E1771" s="86"/>
      <c r="F1771" s="63"/>
      <c r="G1771" s="122"/>
      <c r="H1771" s="63"/>
      <c r="I1771" s="63"/>
      <c r="J1771" s="63"/>
      <c r="K1771" s="63"/>
    </row>
    <row r="1772" spans="1:11" ht="20.25" customHeight="1" x14ac:dyDescent="0.3">
      <c r="A1772" s="90"/>
      <c r="B1772" s="84"/>
      <c r="C1772" s="7"/>
      <c r="D1772" s="85"/>
      <c r="E1772" s="86"/>
      <c r="F1772" s="63"/>
      <c r="G1772" s="122"/>
      <c r="H1772" s="63"/>
      <c r="I1772" s="63"/>
      <c r="J1772" s="63"/>
      <c r="K1772" s="63"/>
    </row>
    <row r="1773" spans="1:11" ht="20.25" customHeight="1" x14ac:dyDescent="0.3">
      <c r="A1773" s="90"/>
      <c r="B1773" s="84"/>
      <c r="C1773" s="7"/>
      <c r="D1773" s="85"/>
      <c r="E1773" s="86"/>
      <c r="F1773" s="63"/>
      <c r="G1773" s="122"/>
      <c r="H1773" s="63"/>
      <c r="I1773" s="63"/>
      <c r="J1773" s="63"/>
      <c r="K1773" s="63"/>
    </row>
    <row r="1774" spans="1:11" ht="20.25" customHeight="1" x14ac:dyDescent="0.3">
      <c r="A1774" s="90"/>
      <c r="B1774" s="84"/>
      <c r="C1774" s="7"/>
      <c r="D1774" s="85"/>
      <c r="E1774" s="86"/>
      <c r="F1774" s="63"/>
      <c r="G1774" s="122"/>
      <c r="H1774" s="63"/>
      <c r="I1774" s="63"/>
      <c r="J1774" s="63"/>
      <c r="K1774" s="63"/>
    </row>
    <row r="1775" spans="1:11" ht="20.25" customHeight="1" x14ac:dyDescent="0.3">
      <c r="A1775" s="90"/>
      <c r="B1775" s="84"/>
      <c r="C1775" s="7"/>
      <c r="D1775" s="85"/>
      <c r="E1775" s="86"/>
      <c r="F1775" s="63"/>
      <c r="G1775" s="122"/>
      <c r="H1775" s="63"/>
      <c r="I1775" s="63"/>
      <c r="J1775" s="63"/>
      <c r="K1775" s="63"/>
    </row>
    <row r="1776" spans="1:11" ht="20.25" customHeight="1" x14ac:dyDescent="0.3">
      <c r="A1776" s="90"/>
      <c r="B1776" s="84"/>
      <c r="C1776" s="7"/>
      <c r="D1776" s="85"/>
      <c r="E1776" s="86"/>
      <c r="F1776" s="63"/>
      <c r="G1776" s="122"/>
      <c r="H1776" s="63"/>
      <c r="I1776" s="63"/>
      <c r="J1776" s="63"/>
      <c r="K1776" s="63"/>
    </row>
    <row r="1777" spans="1:11" ht="20.25" customHeight="1" x14ac:dyDescent="0.3">
      <c r="A1777" s="90"/>
      <c r="B1777" s="84"/>
      <c r="C1777" s="7"/>
      <c r="D1777" s="85"/>
      <c r="E1777" s="86"/>
      <c r="F1777" s="63"/>
      <c r="G1777" s="122"/>
      <c r="H1777" s="63"/>
      <c r="I1777" s="63"/>
      <c r="J1777" s="63"/>
      <c r="K1777" s="63"/>
    </row>
    <row r="1778" spans="1:11" ht="20.25" customHeight="1" x14ac:dyDescent="0.3">
      <c r="A1778" s="90"/>
      <c r="B1778" s="84"/>
      <c r="C1778" s="7"/>
      <c r="D1778" s="85"/>
      <c r="E1778" s="86"/>
      <c r="F1778" s="63"/>
      <c r="G1778" s="122"/>
      <c r="H1778" s="63"/>
      <c r="I1778" s="63"/>
      <c r="J1778" s="63"/>
      <c r="K1778" s="63"/>
    </row>
    <row r="1779" spans="1:11" ht="20.25" customHeight="1" x14ac:dyDescent="0.3">
      <c r="A1779" s="90"/>
      <c r="B1779" s="84"/>
      <c r="C1779" s="7"/>
      <c r="D1779" s="85"/>
      <c r="E1779" s="86"/>
      <c r="F1779" s="63"/>
      <c r="G1779" s="122"/>
      <c r="H1779" s="63"/>
      <c r="I1779" s="63"/>
      <c r="J1779" s="63"/>
      <c r="K1779" s="63"/>
    </row>
    <row r="1780" spans="1:11" ht="20.25" customHeight="1" x14ac:dyDescent="0.3">
      <c r="A1780" s="90"/>
      <c r="B1780" s="84"/>
      <c r="C1780" s="7"/>
      <c r="D1780" s="85"/>
      <c r="E1780" s="86"/>
      <c r="F1780" s="63"/>
      <c r="G1780" s="122"/>
      <c r="H1780" s="63"/>
      <c r="I1780" s="63"/>
      <c r="J1780" s="63"/>
      <c r="K1780" s="63"/>
    </row>
    <row r="1781" spans="1:11" ht="20.25" customHeight="1" x14ac:dyDescent="0.3">
      <c r="A1781" s="90"/>
      <c r="B1781" s="84"/>
      <c r="C1781" s="7"/>
      <c r="D1781" s="85"/>
      <c r="E1781" s="86"/>
      <c r="F1781" s="63"/>
      <c r="G1781" s="122"/>
      <c r="H1781" s="63"/>
      <c r="I1781" s="63"/>
      <c r="J1781" s="63"/>
      <c r="K1781" s="63"/>
    </row>
    <row r="1782" spans="1:11" ht="20.25" customHeight="1" x14ac:dyDescent="0.3">
      <c r="A1782" s="90"/>
      <c r="B1782" s="84"/>
      <c r="C1782" s="7"/>
      <c r="D1782" s="85"/>
      <c r="E1782" s="86"/>
      <c r="F1782" s="63"/>
      <c r="G1782" s="122"/>
      <c r="H1782" s="63"/>
      <c r="I1782" s="63"/>
      <c r="J1782" s="63"/>
      <c r="K1782" s="63"/>
    </row>
    <row r="1783" spans="1:11" ht="20.25" customHeight="1" x14ac:dyDescent="0.3">
      <c r="A1783" s="90"/>
      <c r="B1783" s="84"/>
      <c r="C1783" s="7"/>
      <c r="D1783" s="85"/>
      <c r="E1783" s="86"/>
      <c r="F1783" s="63"/>
      <c r="G1783" s="122"/>
      <c r="H1783" s="63"/>
      <c r="I1783" s="63"/>
      <c r="J1783" s="63"/>
      <c r="K1783" s="63"/>
    </row>
    <row r="1784" spans="1:11" ht="20.25" customHeight="1" x14ac:dyDescent="0.3">
      <c r="A1784" s="90"/>
      <c r="B1784" s="84"/>
      <c r="C1784" s="7"/>
      <c r="D1784" s="85"/>
      <c r="E1784" s="86"/>
      <c r="F1784" s="63"/>
      <c r="G1784" s="122"/>
      <c r="H1784" s="63"/>
      <c r="I1784" s="63"/>
      <c r="J1784" s="63"/>
      <c r="K1784" s="63"/>
    </row>
    <row r="1785" spans="1:11" ht="20.25" customHeight="1" x14ac:dyDescent="0.3">
      <c r="A1785" s="90"/>
      <c r="B1785" s="84"/>
      <c r="C1785" s="7"/>
      <c r="D1785" s="85"/>
      <c r="E1785" s="86"/>
      <c r="F1785" s="63"/>
      <c r="G1785" s="122"/>
      <c r="H1785" s="63"/>
      <c r="I1785" s="63"/>
      <c r="J1785" s="63"/>
      <c r="K1785" s="63"/>
    </row>
    <row r="1786" spans="1:11" ht="20.25" customHeight="1" x14ac:dyDescent="0.3">
      <c r="A1786" s="90"/>
      <c r="B1786" s="84"/>
      <c r="C1786" s="7"/>
      <c r="D1786" s="85"/>
      <c r="E1786" s="86"/>
      <c r="F1786" s="63"/>
      <c r="G1786" s="122"/>
      <c r="H1786" s="63"/>
      <c r="I1786" s="63"/>
      <c r="J1786" s="63"/>
      <c r="K1786" s="63"/>
    </row>
    <row r="1787" spans="1:11" ht="20.25" customHeight="1" x14ac:dyDescent="0.3">
      <c r="A1787" s="90"/>
      <c r="B1787" s="84"/>
      <c r="C1787" s="7"/>
      <c r="D1787" s="85"/>
      <c r="E1787" s="86"/>
      <c r="F1787" s="63"/>
      <c r="G1787" s="122"/>
      <c r="H1787" s="63"/>
      <c r="I1787" s="63"/>
      <c r="J1787" s="63"/>
      <c r="K1787" s="63"/>
    </row>
    <row r="1788" spans="1:11" ht="20.25" customHeight="1" x14ac:dyDescent="0.3">
      <c r="A1788" s="90"/>
      <c r="B1788" s="84"/>
      <c r="C1788" s="7"/>
      <c r="D1788" s="85"/>
      <c r="E1788" s="86"/>
      <c r="F1788" s="63"/>
      <c r="G1788" s="122"/>
      <c r="H1788" s="63"/>
      <c r="I1788" s="63"/>
      <c r="J1788" s="63"/>
      <c r="K1788" s="63"/>
    </row>
    <row r="1789" spans="1:11" ht="20.25" customHeight="1" x14ac:dyDescent="0.3">
      <c r="A1789" s="90"/>
      <c r="B1789" s="84"/>
      <c r="C1789" s="7"/>
      <c r="D1789" s="85"/>
      <c r="E1789" s="86"/>
      <c r="F1789" s="63"/>
      <c r="G1789" s="122"/>
      <c r="H1789" s="63"/>
      <c r="I1789" s="63"/>
      <c r="J1789" s="63"/>
      <c r="K1789" s="63"/>
    </row>
    <row r="1790" spans="1:11" ht="20.25" customHeight="1" x14ac:dyDescent="0.3">
      <c r="A1790" s="90"/>
      <c r="B1790" s="84"/>
      <c r="C1790" s="7"/>
      <c r="D1790" s="85"/>
      <c r="E1790" s="86"/>
      <c r="F1790" s="63"/>
      <c r="G1790" s="122"/>
      <c r="H1790" s="63"/>
      <c r="I1790" s="63"/>
      <c r="J1790" s="63"/>
      <c r="K1790" s="63"/>
    </row>
    <row r="1791" spans="1:11" ht="20.25" customHeight="1" x14ac:dyDescent="0.3">
      <c r="A1791" s="90"/>
      <c r="B1791" s="84"/>
      <c r="C1791" s="7"/>
      <c r="D1791" s="85"/>
      <c r="E1791" s="86"/>
      <c r="F1791" s="63"/>
      <c r="G1791" s="122"/>
      <c r="H1791" s="63"/>
      <c r="I1791" s="63"/>
      <c r="J1791" s="63"/>
      <c r="K1791" s="63"/>
    </row>
    <row r="1792" spans="1:11" ht="20.25" customHeight="1" x14ac:dyDescent="0.3">
      <c r="A1792" s="90"/>
      <c r="B1792" s="84"/>
      <c r="C1792" s="7"/>
      <c r="D1792" s="85"/>
      <c r="E1792" s="86"/>
      <c r="F1792" s="63"/>
      <c r="G1792" s="122"/>
      <c r="H1792" s="63"/>
      <c r="I1792" s="63"/>
      <c r="J1792" s="63"/>
      <c r="K1792" s="63"/>
    </row>
    <row r="1793" spans="1:11" ht="20.25" customHeight="1" x14ac:dyDescent="0.3">
      <c r="A1793" s="90"/>
      <c r="B1793" s="84"/>
      <c r="C1793" s="7"/>
      <c r="D1793" s="85"/>
      <c r="E1793" s="86"/>
      <c r="F1793" s="63"/>
      <c r="G1793" s="122"/>
      <c r="H1793" s="63"/>
      <c r="I1793" s="63"/>
      <c r="J1793" s="63"/>
      <c r="K1793" s="63"/>
    </row>
    <row r="1794" spans="1:11" ht="20.25" customHeight="1" x14ac:dyDescent="0.3">
      <c r="A1794" s="90"/>
      <c r="B1794" s="84"/>
      <c r="C1794" s="7"/>
      <c r="D1794" s="85"/>
      <c r="E1794" s="86"/>
      <c r="F1794" s="63"/>
      <c r="G1794" s="122"/>
      <c r="H1794" s="63"/>
      <c r="I1794" s="63"/>
      <c r="J1794" s="63"/>
      <c r="K1794" s="63"/>
    </row>
    <row r="1795" spans="1:11" ht="20.25" customHeight="1" x14ac:dyDescent="0.3">
      <c r="A1795" s="90"/>
      <c r="B1795" s="84"/>
      <c r="C1795" s="7"/>
      <c r="D1795" s="85"/>
      <c r="E1795" s="86"/>
      <c r="F1795" s="63"/>
      <c r="G1795" s="122"/>
      <c r="H1795" s="63"/>
      <c r="I1795" s="63"/>
      <c r="J1795" s="63"/>
      <c r="K1795" s="63"/>
    </row>
    <row r="1796" spans="1:11" ht="20.25" customHeight="1" x14ac:dyDescent="0.3">
      <c r="A1796" s="90"/>
      <c r="B1796" s="84"/>
      <c r="C1796" s="7"/>
      <c r="D1796" s="85"/>
      <c r="E1796" s="86"/>
      <c r="F1796" s="63"/>
      <c r="G1796" s="122"/>
      <c r="H1796" s="63"/>
      <c r="I1796" s="63"/>
      <c r="J1796" s="63"/>
      <c r="K1796" s="63"/>
    </row>
    <row r="1797" spans="1:11" ht="20.25" customHeight="1" x14ac:dyDescent="0.3">
      <c r="A1797" s="90"/>
      <c r="B1797" s="84"/>
      <c r="C1797" s="7"/>
      <c r="D1797" s="85"/>
      <c r="E1797" s="86"/>
      <c r="F1797" s="63"/>
      <c r="G1797" s="122"/>
      <c r="H1797" s="63"/>
      <c r="I1797" s="63"/>
      <c r="J1797" s="63"/>
      <c r="K1797" s="63"/>
    </row>
    <row r="1798" spans="1:11" ht="20.25" customHeight="1" x14ac:dyDescent="0.3">
      <c r="A1798" s="90"/>
      <c r="B1798" s="84"/>
      <c r="C1798" s="7"/>
      <c r="D1798" s="85"/>
      <c r="E1798" s="86"/>
      <c r="F1798" s="63"/>
      <c r="G1798" s="122"/>
      <c r="H1798" s="63"/>
      <c r="I1798" s="63"/>
      <c r="J1798" s="63"/>
      <c r="K1798" s="63"/>
    </row>
    <row r="1799" spans="1:11" ht="20.25" customHeight="1" x14ac:dyDescent="0.3">
      <c r="A1799" s="90"/>
      <c r="B1799" s="84"/>
      <c r="C1799" s="7"/>
      <c r="D1799" s="85"/>
      <c r="E1799" s="86"/>
      <c r="F1799" s="63"/>
      <c r="G1799" s="122"/>
      <c r="H1799" s="63"/>
      <c r="I1799" s="63"/>
      <c r="J1799" s="63"/>
      <c r="K1799" s="63"/>
    </row>
    <row r="1800" spans="1:11" ht="20.25" customHeight="1" x14ac:dyDescent="0.3">
      <c r="A1800" s="90"/>
      <c r="B1800" s="84"/>
      <c r="C1800" s="7"/>
      <c r="D1800" s="85"/>
      <c r="E1800" s="86"/>
      <c r="F1800" s="63"/>
      <c r="G1800" s="122"/>
      <c r="H1800" s="63"/>
      <c r="I1800" s="63"/>
      <c r="J1800" s="63"/>
      <c r="K1800" s="63"/>
    </row>
    <row r="1801" spans="1:11" ht="20.25" customHeight="1" x14ac:dyDescent="0.3">
      <c r="A1801" s="90"/>
      <c r="B1801" s="84"/>
      <c r="C1801" s="7"/>
      <c r="D1801" s="85"/>
      <c r="E1801" s="86"/>
      <c r="F1801" s="63"/>
      <c r="G1801" s="122"/>
      <c r="H1801" s="63"/>
      <c r="I1801" s="63"/>
      <c r="J1801" s="63"/>
      <c r="K1801" s="63"/>
    </row>
    <row r="1802" spans="1:11" ht="20.25" customHeight="1" x14ac:dyDescent="0.3">
      <c r="A1802" s="90"/>
      <c r="B1802" s="84"/>
      <c r="C1802" s="7"/>
      <c r="D1802" s="85"/>
      <c r="E1802" s="86"/>
      <c r="F1802" s="63"/>
      <c r="G1802" s="122"/>
      <c r="H1802" s="63"/>
      <c r="I1802" s="63"/>
      <c r="J1802" s="63"/>
      <c r="K1802" s="63"/>
    </row>
    <row r="1803" spans="1:11" ht="20.25" customHeight="1" x14ac:dyDescent="0.3">
      <c r="A1803" s="90"/>
      <c r="B1803" s="84"/>
      <c r="C1803" s="7"/>
      <c r="D1803" s="85"/>
      <c r="E1803" s="86"/>
      <c r="F1803" s="63"/>
      <c r="G1803" s="122"/>
      <c r="H1803" s="63"/>
      <c r="I1803" s="63"/>
      <c r="J1803" s="63"/>
      <c r="K1803" s="63"/>
    </row>
    <row r="1804" spans="1:11" ht="20.25" customHeight="1" x14ac:dyDescent="0.3">
      <c r="A1804" s="90"/>
      <c r="B1804" s="84"/>
      <c r="C1804" s="7"/>
      <c r="D1804" s="85"/>
      <c r="E1804" s="86"/>
      <c r="F1804" s="63"/>
      <c r="G1804" s="122"/>
      <c r="H1804" s="63"/>
      <c r="I1804" s="63"/>
      <c r="J1804" s="63"/>
      <c r="K1804" s="63"/>
    </row>
    <row r="1805" spans="1:11" ht="20.25" customHeight="1" x14ac:dyDescent="0.3">
      <c r="A1805" s="90"/>
      <c r="B1805" s="84"/>
      <c r="C1805" s="7"/>
      <c r="D1805" s="85"/>
      <c r="E1805" s="86"/>
      <c r="F1805" s="63"/>
      <c r="G1805" s="122"/>
      <c r="H1805" s="63"/>
      <c r="I1805" s="63"/>
      <c r="J1805" s="63"/>
      <c r="K1805" s="63"/>
    </row>
    <row r="1806" spans="1:11" ht="20.25" customHeight="1" x14ac:dyDescent="0.3">
      <c r="A1806" s="90"/>
      <c r="B1806" s="84"/>
      <c r="C1806" s="7"/>
      <c r="D1806" s="85"/>
      <c r="E1806" s="86"/>
      <c r="F1806" s="63"/>
      <c r="G1806" s="122"/>
      <c r="H1806" s="63"/>
      <c r="I1806" s="63"/>
      <c r="J1806" s="63"/>
      <c r="K1806" s="63"/>
    </row>
    <row r="1807" spans="1:11" ht="20.25" customHeight="1" x14ac:dyDescent="0.3">
      <c r="A1807" s="90"/>
      <c r="B1807" s="84"/>
      <c r="C1807" s="7"/>
      <c r="D1807" s="85"/>
      <c r="E1807" s="86"/>
      <c r="F1807" s="63"/>
      <c r="G1807" s="122"/>
      <c r="H1807" s="63"/>
      <c r="I1807" s="63"/>
      <c r="J1807" s="63"/>
      <c r="K1807" s="63"/>
    </row>
    <row r="1808" spans="1:11" ht="20.25" customHeight="1" x14ac:dyDescent="0.3">
      <c r="A1808" s="90"/>
      <c r="B1808" s="84"/>
      <c r="C1808" s="7"/>
      <c r="D1808" s="85"/>
      <c r="E1808" s="86"/>
      <c r="F1808" s="63"/>
      <c r="G1808" s="122"/>
      <c r="H1808" s="63"/>
      <c r="I1808" s="63"/>
      <c r="J1808" s="63"/>
      <c r="K1808" s="63"/>
    </row>
    <row r="1809" spans="1:11" ht="20.25" customHeight="1" x14ac:dyDescent="0.3">
      <c r="A1809" s="90"/>
      <c r="B1809" s="84"/>
      <c r="C1809" s="7"/>
      <c r="D1809" s="85"/>
      <c r="E1809" s="86"/>
      <c r="F1809" s="63"/>
      <c r="G1809" s="122"/>
      <c r="H1809" s="63"/>
      <c r="I1809" s="63"/>
      <c r="J1809" s="63"/>
      <c r="K1809" s="63"/>
    </row>
    <row r="1810" spans="1:11" ht="20.25" customHeight="1" x14ac:dyDescent="0.3">
      <c r="A1810" s="90"/>
      <c r="B1810" s="84"/>
      <c r="C1810" s="7"/>
      <c r="D1810" s="85"/>
      <c r="E1810" s="86"/>
      <c r="F1810" s="63"/>
      <c r="G1810" s="122"/>
      <c r="H1810" s="63"/>
      <c r="I1810" s="63"/>
      <c r="J1810" s="63"/>
      <c r="K1810" s="63"/>
    </row>
    <row r="1811" spans="1:11" ht="20.25" customHeight="1" x14ac:dyDescent="0.3">
      <c r="A1811" s="90"/>
      <c r="B1811" s="84"/>
      <c r="C1811" s="7"/>
      <c r="D1811" s="85"/>
      <c r="E1811" s="86"/>
      <c r="F1811" s="63"/>
      <c r="G1811" s="122"/>
      <c r="H1811" s="63"/>
      <c r="I1811" s="63"/>
      <c r="J1811" s="63"/>
      <c r="K1811" s="63"/>
    </row>
    <row r="1812" spans="1:11" ht="20.25" customHeight="1" x14ac:dyDescent="0.3">
      <c r="A1812" s="90"/>
      <c r="B1812" s="84"/>
      <c r="C1812" s="7"/>
      <c r="D1812" s="85"/>
      <c r="E1812" s="86"/>
      <c r="F1812" s="63"/>
      <c r="G1812" s="122"/>
      <c r="H1812" s="63"/>
      <c r="I1812" s="63"/>
      <c r="J1812" s="63"/>
      <c r="K1812" s="63"/>
    </row>
    <row r="1813" spans="1:11" ht="20.25" customHeight="1" x14ac:dyDescent="0.3">
      <c r="A1813" s="90"/>
      <c r="B1813" s="84"/>
      <c r="C1813" s="7"/>
      <c r="D1813" s="85"/>
      <c r="E1813" s="86"/>
      <c r="F1813" s="63"/>
      <c r="G1813" s="122"/>
      <c r="H1813" s="63"/>
      <c r="I1813" s="63"/>
      <c r="J1813" s="63"/>
      <c r="K1813" s="63"/>
    </row>
    <row r="1814" spans="1:11" ht="20.25" customHeight="1" x14ac:dyDescent="0.3">
      <c r="A1814" s="90"/>
      <c r="B1814" s="84"/>
      <c r="C1814" s="7"/>
      <c r="D1814" s="85"/>
      <c r="E1814" s="86"/>
      <c r="F1814" s="63"/>
      <c r="G1814" s="122"/>
      <c r="H1814" s="63"/>
      <c r="I1814" s="63"/>
      <c r="J1814" s="63"/>
      <c r="K1814" s="63"/>
    </row>
    <row r="1815" spans="1:11" ht="20.25" customHeight="1" x14ac:dyDescent="0.3">
      <c r="A1815" s="90"/>
      <c r="B1815" s="84"/>
      <c r="C1815" s="7"/>
      <c r="D1815" s="85"/>
      <c r="E1815" s="86"/>
      <c r="F1815" s="63"/>
      <c r="G1815" s="122"/>
      <c r="H1815" s="63"/>
      <c r="I1815" s="63"/>
      <c r="J1815" s="63"/>
      <c r="K1815" s="63"/>
    </row>
    <row r="1816" spans="1:11" ht="20.25" customHeight="1" x14ac:dyDescent="0.3">
      <c r="A1816" s="90"/>
      <c r="B1816" s="84"/>
      <c r="C1816" s="7"/>
      <c r="D1816" s="85"/>
      <c r="E1816" s="86"/>
      <c r="F1816" s="63"/>
      <c r="G1816" s="122"/>
      <c r="H1816" s="63"/>
      <c r="I1816" s="63"/>
      <c r="J1816" s="63"/>
      <c r="K1816" s="63"/>
    </row>
    <row r="1817" spans="1:11" ht="20.25" customHeight="1" x14ac:dyDescent="0.3">
      <c r="A1817" s="90"/>
      <c r="B1817" s="84"/>
      <c r="C1817" s="7"/>
      <c r="D1817" s="85"/>
      <c r="E1817" s="86"/>
      <c r="F1817" s="63"/>
      <c r="G1817" s="122"/>
      <c r="H1817" s="63"/>
      <c r="I1817" s="63"/>
      <c r="J1817" s="63"/>
      <c r="K1817" s="63"/>
    </row>
    <row r="1818" spans="1:11" ht="20.25" customHeight="1" x14ac:dyDescent="0.3">
      <c r="A1818" s="90"/>
      <c r="B1818" s="84"/>
      <c r="C1818" s="7"/>
      <c r="D1818" s="85"/>
      <c r="E1818" s="86"/>
      <c r="F1818" s="63"/>
      <c r="G1818" s="122"/>
      <c r="H1818" s="63"/>
      <c r="I1818" s="63"/>
      <c r="J1818" s="63"/>
      <c r="K1818" s="63"/>
    </row>
    <row r="1819" spans="1:11" ht="20.25" customHeight="1" x14ac:dyDescent="0.3">
      <c r="A1819" s="90"/>
      <c r="B1819" s="84"/>
      <c r="C1819" s="7"/>
      <c r="D1819" s="85"/>
      <c r="E1819" s="86"/>
      <c r="F1819" s="63"/>
      <c r="G1819" s="122"/>
      <c r="H1819" s="63"/>
      <c r="I1819" s="63"/>
      <c r="J1819" s="63"/>
      <c r="K1819" s="63"/>
    </row>
    <row r="1820" spans="1:11" ht="20.25" customHeight="1" x14ac:dyDescent="0.3">
      <c r="A1820" s="90"/>
      <c r="B1820" s="84"/>
      <c r="C1820" s="7"/>
      <c r="D1820" s="85"/>
      <c r="E1820" s="86"/>
      <c r="F1820" s="63"/>
      <c r="G1820" s="122"/>
      <c r="H1820" s="63"/>
      <c r="I1820" s="63"/>
      <c r="J1820" s="63"/>
      <c r="K1820" s="63"/>
    </row>
    <row r="1821" spans="1:11" ht="20.25" customHeight="1" x14ac:dyDescent="0.3">
      <c r="A1821" s="90"/>
      <c r="B1821" s="84"/>
      <c r="C1821" s="7"/>
      <c r="D1821" s="85"/>
      <c r="E1821" s="86"/>
      <c r="F1821" s="63"/>
      <c r="G1821" s="122"/>
      <c r="H1821" s="63"/>
      <c r="I1821" s="63"/>
      <c r="J1821" s="63"/>
      <c r="K1821" s="63"/>
    </row>
    <row r="1822" spans="1:11" ht="20.25" customHeight="1" x14ac:dyDescent="0.3">
      <c r="A1822" s="90"/>
      <c r="B1822" s="84"/>
      <c r="C1822" s="7"/>
      <c r="D1822" s="85"/>
      <c r="E1822" s="86"/>
      <c r="F1822" s="63"/>
      <c r="G1822" s="122"/>
      <c r="H1822" s="63"/>
      <c r="I1822" s="63"/>
      <c r="J1822" s="63"/>
      <c r="K1822" s="63"/>
    </row>
    <row r="1823" spans="1:11" ht="20.25" customHeight="1" x14ac:dyDescent="0.3">
      <c r="A1823" s="90"/>
      <c r="B1823" s="84"/>
      <c r="C1823" s="7"/>
      <c r="D1823" s="85"/>
      <c r="E1823" s="86"/>
      <c r="F1823" s="63"/>
      <c r="G1823" s="122"/>
      <c r="H1823" s="63"/>
      <c r="I1823" s="63"/>
      <c r="J1823" s="63"/>
      <c r="K1823" s="63"/>
    </row>
    <row r="1824" spans="1:11" ht="20.25" customHeight="1" x14ac:dyDescent="0.3">
      <c r="A1824" s="90"/>
      <c r="B1824" s="84"/>
      <c r="C1824" s="7"/>
      <c r="D1824" s="85"/>
      <c r="E1824" s="86"/>
      <c r="F1824" s="63"/>
      <c r="G1824" s="122"/>
      <c r="H1824" s="63"/>
      <c r="I1824" s="63"/>
      <c r="J1824" s="63"/>
      <c r="K1824" s="63"/>
    </row>
    <row r="1825" spans="1:11" ht="20.25" customHeight="1" x14ac:dyDescent="0.3">
      <c r="A1825" s="90"/>
      <c r="B1825" s="84"/>
      <c r="C1825" s="7"/>
      <c r="D1825" s="85"/>
      <c r="E1825" s="86"/>
      <c r="F1825" s="63"/>
      <c r="G1825" s="122"/>
      <c r="H1825" s="63"/>
      <c r="I1825" s="63"/>
      <c r="J1825" s="63"/>
      <c r="K1825" s="63"/>
    </row>
    <row r="1826" spans="1:11" ht="20.25" customHeight="1" x14ac:dyDescent="0.3">
      <c r="A1826" s="90"/>
      <c r="B1826" s="84"/>
      <c r="C1826" s="7"/>
      <c r="D1826" s="85"/>
      <c r="E1826" s="86"/>
      <c r="F1826" s="63"/>
      <c r="G1826" s="122"/>
      <c r="H1826" s="63"/>
      <c r="I1826" s="63"/>
      <c r="J1826" s="63"/>
      <c r="K1826" s="63"/>
    </row>
    <row r="1827" spans="1:11" ht="20.25" customHeight="1" x14ac:dyDescent="0.3">
      <c r="A1827" s="90"/>
      <c r="B1827" s="84"/>
      <c r="C1827" s="7"/>
      <c r="D1827" s="85"/>
      <c r="E1827" s="86"/>
      <c r="F1827" s="63"/>
      <c r="G1827" s="122"/>
      <c r="H1827" s="63"/>
      <c r="I1827" s="63"/>
      <c r="J1827" s="63"/>
      <c r="K1827" s="63"/>
    </row>
    <row r="1828" spans="1:11" ht="20.25" customHeight="1" x14ac:dyDescent="0.3">
      <c r="A1828" s="90"/>
      <c r="B1828" s="84"/>
      <c r="C1828" s="7"/>
      <c r="D1828" s="85"/>
      <c r="E1828" s="86"/>
      <c r="F1828" s="63"/>
      <c r="G1828" s="122"/>
      <c r="H1828" s="63"/>
      <c r="I1828" s="63"/>
      <c r="J1828" s="63"/>
      <c r="K1828" s="63"/>
    </row>
    <row r="1829" spans="1:11" ht="20.25" customHeight="1" x14ac:dyDescent="0.3">
      <c r="A1829" s="90"/>
      <c r="B1829" s="84"/>
      <c r="C1829" s="7"/>
      <c r="D1829" s="85"/>
      <c r="E1829" s="86"/>
      <c r="F1829" s="63"/>
      <c r="G1829" s="122"/>
      <c r="H1829" s="63"/>
      <c r="I1829" s="63"/>
      <c r="J1829" s="63"/>
      <c r="K1829" s="63"/>
    </row>
    <row r="1830" spans="1:11" ht="20.25" customHeight="1" x14ac:dyDescent="0.3">
      <c r="A1830" s="90"/>
      <c r="B1830" s="84"/>
      <c r="C1830" s="7"/>
      <c r="D1830" s="85"/>
      <c r="E1830" s="86"/>
      <c r="F1830" s="63"/>
      <c r="G1830" s="122"/>
      <c r="H1830" s="63"/>
      <c r="I1830" s="63"/>
      <c r="J1830" s="63"/>
      <c r="K1830" s="63"/>
    </row>
    <row r="1831" spans="1:11" ht="20.25" customHeight="1" x14ac:dyDescent="0.3">
      <c r="A1831" s="90"/>
      <c r="B1831" s="84"/>
      <c r="C1831" s="7"/>
      <c r="D1831" s="85"/>
      <c r="E1831" s="86"/>
      <c r="F1831" s="63"/>
      <c r="G1831" s="122"/>
      <c r="H1831" s="63"/>
      <c r="I1831" s="63"/>
      <c r="J1831" s="63"/>
      <c r="K1831" s="63"/>
    </row>
    <row r="1832" spans="1:11" ht="20.25" customHeight="1" x14ac:dyDescent="0.3">
      <c r="A1832" s="90"/>
      <c r="B1832" s="84"/>
      <c r="C1832" s="7"/>
      <c r="D1832" s="85"/>
      <c r="E1832" s="86"/>
      <c r="F1832" s="63"/>
      <c r="G1832" s="122"/>
      <c r="H1832" s="63"/>
      <c r="I1832" s="63"/>
      <c r="J1832" s="63"/>
      <c r="K1832" s="63"/>
    </row>
    <row r="1833" spans="1:11" ht="20.25" customHeight="1" x14ac:dyDescent="0.3">
      <c r="A1833" s="90"/>
      <c r="B1833" s="84"/>
      <c r="C1833" s="7"/>
      <c r="D1833" s="85"/>
      <c r="E1833" s="86"/>
      <c r="F1833" s="63"/>
      <c r="G1833" s="122"/>
      <c r="H1833" s="63"/>
      <c r="I1833" s="63"/>
      <c r="J1833" s="63"/>
      <c r="K1833" s="63"/>
    </row>
    <row r="1834" spans="1:11" ht="20.25" customHeight="1" x14ac:dyDescent="0.3">
      <c r="A1834" s="90"/>
      <c r="B1834" s="84"/>
      <c r="C1834" s="7"/>
      <c r="D1834" s="85"/>
      <c r="E1834" s="86"/>
      <c r="F1834" s="63"/>
      <c r="G1834" s="122"/>
      <c r="H1834" s="63"/>
      <c r="I1834" s="63"/>
      <c r="J1834" s="63"/>
      <c r="K1834" s="63"/>
    </row>
    <row r="1835" spans="1:11" ht="20.25" customHeight="1" x14ac:dyDescent="0.3">
      <c r="A1835" s="90"/>
      <c r="B1835" s="84"/>
      <c r="C1835" s="7"/>
      <c r="D1835" s="85"/>
      <c r="E1835" s="86"/>
      <c r="F1835" s="63"/>
      <c r="G1835" s="122"/>
      <c r="H1835" s="63"/>
      <c r="I1835" s="63"/>
      <c r="J1835" s="63"/>
      <c r="K1835" s="63"/>
    </row>
    <row r="1836" spans="1:11" ht="20.25" customHeight="1" x14ac:dyDescent="0.3">
      <c r="A1836" s="90"/>
      <c r="B1836" s="84"/>
      <c r="C1836" s="7"/>
      <c r="D1836" s="85"/>
      <c r="E1836" s="86"/>
      <c r="F1836" s="63"/>
      <c r="G1836" s="122"/>
      <c r="H1836" s="63"/>
      <c r="I1836" s="63"/>
      <c r="J1836" s="63"/>
      <c r="K1836" s="63"/>
    </row>
    <row r="1837" spans="1:11" ht="20.25" customHeight="1" x14ac:dyDescent="0.3">
      <c r="A1837" s="90"/>
      <c r="B1837" s="84"/>
      <c r="C1837" s="7"/>
      <c r="D1837" s="85"/>
      <c r="E1837" s="86"/>
      <c r="F1837" s="63"/>
      <c r="G1837" s="122"/>
      <c r="H1837" s="63"/>
      <c r="I1837" s="63"/>
      <c r="J1837" s="63"/>
      <c r="K1837" s="63"/>
    </row>
    <row r="1838" spans="1:11" ht="20.25" customHeight="1" x14ac:dyDescent="0.3">
      <c r="A1838" s="90"/>
      <c r="B1838" s="84"/>
      <c r="C1838" s="7"/>
      <c r="D1838" s="85"/>
      <c r="E1838" s="86"/>
      <c r="F1838" s="63"/>
      <c r="G1838" s="122"/>
      <c r="H1838" s="63"/>
      <c r="I1838" s="63"/>
      <c r="J1838" s="63"/>
      <c r="K1838" s="63"/>
    </row>
    <row r="1839" spans="1:11" ht="20.25" customHeight="1" x14ac:dyDescent="0.3">
      <c r="A1839" s="90"/>
      <c r="B1839" s="84"/>
      <c r="C1839" s="7"/>
      <c r="D1839" s="85"/>
      <c r="E1839" s="86"/>
      <c r="F1839" s="63"/>
      <c r="G1839" s="122"/>
      <c r="H1839" s="63"/>
      <c r="I1839" s="63"/>
      <c r="J1839" s="63"/>
      <c r="K1839" s="63"/>
    </row>
    <row r="1840" spans="1:11" ht="20.25" customHeight="1" x14ac:dyDescent="0.3">
      <c r="A1840" s="90"/>
      <c r="B1840" s="84"/>
      <c r="C1840" s="7"/>
      <c r="D1840" s="85"/>
      <c r="E1840" s="86"/>
      <c r="F1840" s="63"/>
      <c r="G1840" s="122"/>
      <c r="H1840" s="63"/>
      <c r="I1840" s="63"/>
      <c r="J1840" s="63"/>
      <c r="K1840" s="63"/>
    </row>
    <row r="1841" spans="1:11" ht="20.25" customHeight="1" x14ac:dyDescent="0.3">
      <c r="A1841" s="90"/>
      <c r="B1841" s="84"/>
      <c r="C1841" s="7"/>
      <c r="D1841" s="85"/>
      <c r="E1841" s="86"/>
      <c r="F1841" s="63"/>
      <c r="G1841" s="122"/>
      <c r="H1841" s="63"/>
      <c r="I1841" s="63"/>
      <c r="J1841" s="63"/>
      <c r="K1841" s="63"/>
    </row>
    <row r="1842" spans="1:11" ht="20.25" customHeight="1" x14ac:dyDescent="0.3">
      <c r="A1842" s="90"/>
      <c r="B1842" s="84"/>
      <c r="C1842" s="7"/>
      <c r="D1842" s="85"/>
      <c r="E1842" s="86"/>
      <c r="F1842" s="63"/>
      <c r="G1842" s="122"/>
      <c r="H1842" s="63"/>
      <c r="I1842" s="63"/>
      <c r="J1842" s="63"/>
      <c r="K1842" s="63"/>
    </row>
    <row r="1843" spans="1:11" ht="20.25" customHeight="1" x14ac:dyDescent="0.3">
      <c r="A1843" s="90"/>
      <c r="B1843" s="84"/>
      <c r="C1843" s="7"/>
      <c r="D1843" s="85"/>
      <c r="E1843" s="86"/>
      <c r="F1843" s="63"/>
      <c r="G1843" s="122"/>
      <c r="H1843" s="63"/>
      <c r="I1843" s="63"/>
      <c r="J1843" s="63"/>
      <c r="K1843" s="63"/>
    </row>
    <row r="1844" spans="1:11" ht="20.25" customHeight="1" x14ac:dyDescent="0.3">
      <c r="A1844" s="90"/>
      <c r="B1844" s="84"/>
      <c r="C1844" s="7"/>
      <c r="D1844" s="85"/>
      <c r="E1844" s="86"/>
      <c r="F1844" s="63"/>
      <c r="G1844" s="122"/>
      <c r="H1844" s="63"/>
      <c r="I1844" s="63"/>
      <c r="J1844" s="63"/>
      <c r="K1844" s="63"/>
    </row>
    <row r="1845" spans="1:11" ht="20.25" customHeight="1" x14ac:dyDescent="0.3">
      <c r="A1845" s="90"/>
      <c r="B1845" s="84"/>
      <c r="C1845" s="7"/>
      <c r="D1845" s="85"/>
      <c r="E1845" s="86"/>
      <c r="F1845" s="63"/>
      <c r="G1845" s="122"/>
      <c r="H1845" s="63"/>
      <c r="I1845" s="63"/>
      <c r="J1845" s="63"/>
      <c r="K1845" s="63"/>
    </row>
    <row r="1846" spans="1:11" ht="20.25" customHeight="1" x14ac:dyDescent="0.3">
      <c r="A1846" s="90"/>
      <c r="B1846" s="84"/>
      <c r="C1846" s="7"/>
      <c r="D1846" s="85"/>
      <c r="E1846" s="86"/>
      <c r="F1846" s="63"/>
      <c r="G1846" s="122"/>
      <c r="H1846" s="63"/>
      <c r="I1846" s="63"/>
      <c r="J1846" s="63"/>
      <c r="K1846" s="63"/>
    </row>
    <row r="1847" spans="1:11" ht="20.25" customHeight="1" x14ac:dyDescent="0.3">
      <c r="A1847" s="90"/>
      <c r="B1847" s="84"/>
      <c r="C1847" s="7"/>
      <c r="D1847" s="85"/>
      <c r="E1847" s="86"/>
      <c r="F1847" s="63"/>
      <c r="G1847" s="122"/>
      <c r="H1847" s="63"/>
      <c r="I1847" s="63"/>
      <c r="J1847" s="63"/>
      <c r="K1847" s="63"/>
    </row>
    <row r="1848" spans="1:11" ht="20.25" customHeight="1" x14ac:dyDescent="0.3">
      <c r="A1848" s="90"/>
      <c r="B1848" s="84"/>
      <c r="C1848" s="7"/>
      <c r="D1848" s="85"/>
      <c r="E1848" s="86"/>
      <c r="F1848" s="63"/>
      <c r="G1848" s="122"/>
      <c r="H1848" s="63"/>
      <c r="I1848" s="63"/>
      <c r="J1848" s="63"/>
      <c r="K1848" s="63"/>
    </row>
    <row r="1849" spans="1:11" ht="20.25" customHeight="1" x14ac:dyDescent="0.3">
      <c r="A1849" s="90"/>
      <c r="B1849" s="84"/>
      <c r="C1849" s="7"/>
      <c r="D1849" s="85"/>
      <c r="E1849" s="86"/>
      <c r="F1849" s="63"/>
      <c r="G1849" s="122"/>
      <c r="H1849" s="63"/>
      <c r="I1849" s="63"/>
      <c r="J1849" s="63"/>
      <c r="K1849" s="63"/>
    </row>
    <row r="1850" spans="1:11" ht="20.25" customHeight="1" x14ac:dyDescent="0.3">
      <c r="A1850" s="90"/>
      <c r="B1850" s="84"/>
      <c r="C1850" s="7"/>
      <c r="D1850" s="85"/>
      <c r="E1850" s="86"/>
      <c r="F1850" s="63"/>
      <c r="G1850" s="122"/>
      <c r="H1850" s="63"/>
      <c r="I1850" s="63"/>
      <c r="J1850" s="63"/>
      <c r="K1850" s="63"/>
    </row>
    <row r="1851" spans="1:11" ht="20.25" customHeight="1" x14ac:dyDescent="0.3">
      <c r="A1851" s="90"/>
      <c r="B1851" s="84"/>
      <c r="C1851" s="7"/>
      <c r="D1851" s="85"/>
      <c r="E1851" s="86"/>
      <c r="F1851" s="63"/>
      <c r="G1851" s="122"/>
      <c r="H1851" s="63"/>
      <c r="I1851" s="63"/>
      <c r="J1851" s="63"/>
      <c r="K1851" s="63"/>
    </row>
    <row r="1852" spans="1:11" ht="20.25" customHeight="1" x14ac:dyDescent="0.3">
      <c r="A1852" s="90"/>
      <c r="B1852" s="84"/>
      <c r="C1852" s="7"/>
      <c r="D1852" s="85"/>
      <c r="E1852" s="86"/>
      <c r="F1852" s="63"/>
      <c r="G1852" s="122"/>
      <c r="H1852" s="63"/>
      <c r="I1852" s="63"/>
      <c r="J1852" s="63"/>
      <c r="K1852" s="63"/>
    </row>
    <row r="1853" spans="1:11" ht="20.25" customHeight="1" x14ac:dyDescent="0.3">
      <c r="A1853" s="90"/>
      <c r="B1853" s="84"/>
      <c r="C1853" s="7"/>
      <c r="D1853" s="85"/>
      <c r="E1853" s="86"/>
      <c r="F1853" s="63"/>
      <c r="G1853" s="122"/>
      <c r="H1853" s="63"/>
      <c r="I1853" s="63"/>
      <c r="J1853" s="63"/>
      <c r="K1853" s="63"/>
    </row>
    <row r="1854" spans="1:11" ht="20.25" customHeight="1" x14ac:dyDescent="0.3">
      <c r="A1854" s="90"/>
      <c r="B1854" s="84"/>
      <c r="C1854" s="7"/>
      <c r="D1854" s="85"/>
      <c r="E1854" s="86"/>
      <c r="F1854" s="63"/>
      <c r="G1854" s="122"/>
      <c r="H1854" s="63"/>
      <c r="I1854" s="63"/>
      <c r="J1854" s="63"/>
      <c r="K1854" s="63"/>
    </row>
    <row r="1855" spans="1:11" ht="20.25" customHeight="1" x14ac:dyDescent="0.3">
      <c r="A1855" s="90"/>
      <c r="B1855" s="84"/>
      <c r="C1855" s="7"/>
      <c r="D1855" s="85"/>
      <c r="E1855" s="86"/>
      <c r="F1855" s="63"/>
      <c r="G1855" s="122"/>
      <c r="H1855" s="63"/>
      <c r="I1855" s="63"/>
      <c r="J1855" s="63"/>
      <c r="K1855" s="63"/>
    </row>
    <row r="1856" spans="1:11" ht="20.25" customHeight="1" x14ac:dyDescent="0.3">
      <c r="A1856" s="90"/>
      <c r="B1856" s="84"/>
      <c r="C1856" s="7"/>
      <c r="D1856" s="85"/>
      <c r="E1856" s="86"/>
      <c r="F1856" s="63"/>
      <c r="G1856" s="120"/>
      <c r="H1856" s="63"/>
      <c r="I1856" s="63"/>
      <c r="J1856" s="63"/>
      <c r="K1856" s="63"/>
    </row>
    <row r="1857" spans="1:11" ht="20.25" customHeight="1" x14ac:dyDescent="0.3">
      <c r="A1857" s="90"/>
      <c r="B1857" s="84"/>
      <c r="C1857" s="7"/>
      <c r="D1857" s="85"/>
      <c r="E1857" s="86"/>
      <c r="F1857" s="63"/>
      <c r="G1857" s="120"/>
      <c r="H1857" s="63"/>
      <c r="I1857" s="63"/>
      <c r="J1857" s="63"/>
      <c r="K1857" s="63"/>
    </row>
    <row r="1858" spans="1:11" ht="20.25" customHeight="1" x14ac:dyDescent="0.3">
      <c r="A1858" s="90"/>
      <c r="B1858" s="84"/>
      <c r="C1858" s="7"/>
      <c r="D1858" s="85"/>
      <c r="E1858" s="86"/>
      <c r="F1858" s="63"/>
      <c r="G1858" s="120"/>
      <c r="H1858" s="63"/>
      <c r="I1858" s="63"/>
      <c r="J1858" s="63"/>
      <c r="K1858" s="63"/>
    </row>
    <row r="1859" spans="1:11" ht="20.25" customHeight="1" x14ac:dyDescent="0.3">
      <c r="A1859" s="90"/>
      <c r="B1859" s="84"/>
      <c r="C1859" s="7"/>
      <c r="D1859" s="85"/>
      <c r="E1859" s="86"/>
      <c r="F1859" s="63"/>
      <c r="G1859" s="120"/>
      <c r="H1859" s="63"/>
      <c r="I1859" s="63"/>
      <c r="J1859" s="63"/>
      <c r="K1859" s="63"/>
    </row>
    <row r="1860" spans="1:11" ht="20.25" customHeight="1" x14ac:dyDescent="0.3">
      <c r="A1860" s="90"/>
      <c r="B1860" s="84"/>
      <c r="C1860" s="7"/>
      <c r="D1860" s="85"/>
      <c r="E1860" s="86"/>
      <c r="F1860" s="63"/>
      <c r="G1860" s="120"/>
      <c r="H1860" s="63"/>
      <c r="I1860" s="63"/>
      <c r="J1860" s="63"/>
      <c r="K1860" s="63"/>
    </row>
    <row r="1861" spans="1:11" ht="20.25" customHeight="1" x14ac:dyDescent="0.3">
      <c r="A1861" s="90"/>
      <c r="B1861" s="84"/>
      <c r="C1861" s="7"/>
      <c r="D1861" s="85"/>
      <c r="E1861" s="86"/>
      <c r="F1861" s="63"/>
      <c r="G1861" s="120"/>
      <c r="H1861" s="63"/>
      <c r="I1861" s="63"/>
      <c r="J1861" s="63"/>
      <c r="K1861" s="63"/>
    </row>
    <row r="1862" spans="1:11" ht="20.25" customHeight="1" x14ac:dyDescent="0.3">
      <c r="A1862" s="90"/>
      <c r="B1862" s="84"/>
      <c r="C1862" s="7"/>
      <c r="D1862" s="85"/>
      <c r="E1862" s="86"/>
      <c r="F1862" s="63"/>
      <c r="G1862" s="120"/>
      <c r="H1862" s="63"/>
      <c r="I1862" s="63"/>
      <c r="J1862" s="63"/>
      <c r="K1862" s="63"/>
    </row>
    <row r="1863" spans="1:11" ht="20.25" customHeight="1" x14ac:dyDescent="0.3">
      <c r="A1863" s="90"/>
      <c r="B1863" s="84"/>
      <c r="C1863" s="7"/>
      <c r="D1863" s="85"/>
      <c r="E1863" s="86"/>
      <c r="F1863" s="63"/>
      <c r="G1863" s="120"/>
      <c r="H1863" s="63"/>
      <c r="I1863" s="63"/>
      <c r="J1863" s="63"/>
      <c r="K1863" s="63"/>
    </row>
    <row r="1864" spans="1:11" ht="20.25" customHeight="1" x14ac:dyDescent="0.3">
      <c r="A1864" s="90"/>
      <c r="B1864" s="84"/>
      <c r="C1864" s="7"/>
      <c r="D1864" s="85"/>
      <c r="E1864" s="86"/>
      <c r="F1864" s="63"/>
      <c r="G1864" s="96"/>
      <c r="H1864" s="63"/>
      <c r="I1864" s="63"/>
      <c r="J1864" s="63"/>
      <c r="K1864" s="63"/>
    </row>
    <row r="1865" spans="1:11" ht="20.25" customHeight="1" x14ac:dyDescent="0.3">
      <c r="A1865" s="90"/>
      <c r="B1865" s="84"/>
      <c r="C1865" s="7"/>
      <c r="D1865" s="85"/>
      <c r="E1865" s="86"/>
      <c r="F1865" s="63"/>
      <c r="G1865" s="96"/>
      <c r="H1865" s="63"/>
      <c r="I1865" s="63"/>
      <c r="J1865" s="63"/>
      <c r="K1865" s="63"/>
    </row>
    <row r="1866" spans="1:11" ht="20.25" customHeight="1" x14ac:dyDescent="0.3">
      <c r="A1866" s="90"/>
      <c r="B1866" s="84"/>
      <c r="C1866" s="7"/>
      <c r="D1866" s="85"/>
      <c r="E1866" s="86"/>
      <c r="F1866" s="63"/>
      <c r="G1866" s="96"/>
      <c r="H1866" s="63"/>
      <c r="I1866" s="63"/>
      <c r="J1866" s="63"/>
      <c r="K1866" s="63"/>
    </row>
    <row r="1867" spans="1:11" ht="20.25" customHeight="1" x14ac:dyDescent="0.3">
      <c r="A1867" s="90"/>
      <c r="B1867" s="84"/>
      <c r="C1867" s="7"/>
      <c r="D1867" s="85"/>
      <c r="E1867" s="86"/>
      <c r="F1867" s="63"/>
      <c r="G1867" s="96"/>
      <c r="H1867" s="63"/>
      <c r="I1867" s="63"/>
      <c r="J1867" s="63"/>
      <c r="K1867" s="63"/>
    </row>
    <row r="1868" spans="1:11" ht="20.25" customHeight="1" x14ac:dyDescent="0.3">
      <c r="A1868" s="90"/>
      <c r="B1868" s="84"/>
      <c r="C1868" s="7"/>
      <c r="D1868" s="85"/>
      <c r="E1868" s="86"/>
      <c r="F1868" s="63"/>
      <c r="G1868" s="96"/>
      <c r="H1868" s="63"/>
      <c r="I1868" s="63"/>
      <c r="J1868" s="63"/>
      <c r="K1868" s="63"/>
    </row>
    <row r="1869" spans="1:11" ht="20.25" customHeight="1" x14ac:dyDescent="0.3">
      <c r="A1869" s="90"/>
      <c r="B1869" s="84"/>
      <c r="C1869" s="7"/>
      <c r="D1869" s="85"/>
      <c r="E1869" s="86"/>
      <c r="F1869" s="63"/>
      <c r="G1869" s="96"/>
      <c r="H1869" s="63"/>
      <c r="I1869" s="63"/>
      <c r="J1869" s="63"/>
      <c r="K1869" s="63"/>
    </row>
    <row r="1870" spans="1:11" ht="20.25" customHeight="1" x14ac:dyDescent="0.3">
      <c r="A1870" s="90"/>
      <c r="B1870" s="84"/>
      <c r="C1870" s="7"/>
      <c r="D1870" s="85"/>
      <c r="E1870" s="86"/>
      <c r="F1870" s="63"/>
      <c r="G1870" s="96"/>
      <c r="H1870" s="63"/>
      <c r="I1870" s="63"/>
      <c r="J1870" s="63"/>
      <c r="K1870" s="63"/>
    </row>
    <row r="1871" spans="1:11" ht="20.25" customHeight="1" x14ac:dyDescent="0.3">
      <c r="A1871" s="90"/>
      <c r="B1871" s="84"/>
      <c r="C1871" s="7"/>
      <c r="D1871" s="85"/>
      <c r="E1871" s="86"/>
      <c r="F1871" s="63"/>
      <c r="G1871" s="96"/>
      <c r="H1871" s="63"/>
      <c r="I1871" s="63"/>
      <c r="J1871" s="63"/>
      <c r="K1871" s="63"/>
    </row>
    <row r="1872" spans="1:11" ht="20.25" customHeight="1" x14ac:dyDescent="0.3">
      <c r="A1872" s="90"/>
      <c r="B1872" s="84"/>
      <c r="C1872" s="7"/>
      <c r="D1872" s="85"/>
      <c r="E1872" s="86"/>
      <c r="F1872" s="63"/>
      <c r="G1872" s="96"/>
      <c r="H1872" s="63"/>
      <c r="I1872" s="63"/>
      <c r="J1872" s="63"/>
      <c r="K1872" s="63"/>
    </row>
    <row r="1873" spans="1:11" ht="20.25" customHeight="1" x14ac:dyDescent="0.3">
      <c r="A1873" s="90"/>
      <c r="B1873" s="84"/>
      <c r="C1873" s="7"/>
      <c r="D1873" s="85"/>
      <c r="E1873" s="86"/>
      <c r="F1873" s="63"/>
      <c r="G1873" s="96"/>
      <c r="H1873" s="63"/>
      <c r="I1873" s="63"/>
      <c r="J1873" s="63"/>
      <c r="K1873" s="63"/>
    </row>
    <row r="1874" spans="1:11" ht="20.25" customHeight="1" x14ac:dyDescent="0.3">
      <c r="A1874" s="90"/>
      <c r="B1874" s="84"/>
      <c r="C1874" s="7"/>
      <c r="D1874" s="85"/>
      <c r="E1874" s="86"/>
      <c r="F1874" s="63"/>
      <c r="G1874" s="96"/>
      <c r="H1874" s="63"/>
      <c r="I1874" s="63"/>
      <c r="J1874" s="63"/>
      <c r="K1874" s="63"/>
    </row>
    <row r="1875" spans="1:11" ht="20.25" customHeight="1" x14ac:dyDescent="0.3">
      <c r="A1875" s="90"/>
      <c r="B1875" s="84"/>
      <c r="C1875" s="7"/>
      <c r="D1875" s="85"/>
      <c r="E1875" s="86"/>
      <c r="F1875" s="63"/>
      <c r="G1875" s="96"/>
      <c r="H1875" s="63"/>
      <c r="I1875" s="63"/>
      <c r="J1875" s="63"/>
      <c r="K1875" s="63"/>
    </row>
    <row r="1876" spans="1:11" ht="20.25" customHeight="1" x14ac:dyDescent="0.3">
      <c r="A1876" s="90"/>
      <c r="B1876" s="84"/>
      <c r="C1876" s="7"/>
      <c r="D1876" s="85"/>
      <c r="E1876" s="86"/>
      <c r="F1876" s="63"/>
      <c r="G1876" s="96"/>
      <c r="H1876" s="63"/>
      <c r="I1876" s="63"/>
      <c r="J1876" s="63"/>
      <c r="K1876" s="63"/>
    </row>
    <row r="1877" spans="1:11" ht="20.25" customHeight="1" x14ac:dyDescent="0.3">
      <c r="A1877" s="90"/>
      <c r="B1877" s="84"/>
      <c r="C1877" s="7"/>
      <c r="D1877" s="85"/>
      <c r="E1877" s="86"/>
      <c r="F1877" s="63"/>
      <c r="G1877" s="96"/>
      <c r="H1877" s="63"/>
      <c r="I1877" s="63"/>
      <c r="J1877" s="63"/>
      <c r="K1877" s="63"/>
    </row>
    <row r="1878" spans="1:11" ht="20.25" customHeight="1" x14ac:dyDescent="0.3">
      <c r="A1878" s="90"/>
      <c r="B1878" s="84"/>
      <c r="C1878" s="7"/>
      <c r="D1878" s="85"/>
      <c r="E1878" s="86"/>
      <c r="F1878" s="63"/>
      <c r="G1878" s="96"/>
      <c r="H1878" s="63"/>
      <c r="I1878" s="63"/>
      <c r="J1878" s="63"/>
      <c r="K1878" s="63"/>
    </row>
    <row r="1879" spans="1:11" ht="20.25" customHeight="1" x14ac:dyDescent="0.3">
      <c r="A1879" s="90"/>
      <c r="B1879" s="84"/>
      <c r="C1879" s="7"/>
      <c r="D1879" s="85"/>
      <c r="E1879" s="86"/>
      <c r="F1879" s="63"/>
      <c r="G1879" s="96"/>
      <c r="H1879" s="63"/>
      <c r="I1879" s="63"/>
      <c r="J1879" s="63"/>
      <c r="K1879" s="63"/>
    </row>
    <row r="1880" spans="1:11" ht="20.25" customHeight="1" x14ac:dyDescent="0.3">
      <c r="A1880" s="90"/>
      <c r="B1880" s="84"/>
      <c r="C1880" s="7"/>
      <c r="D1880" s="85"/>
      <c r="E1880" s="86"/>
      <c r="F1880" s="63"/>
      <c r="G1880" s="96"/>
      <c r="H1880" s="63"/>
      <c r="I1880" s="63"/>
      <c r="J1880" s="63"/>
      <c r="K1880" s="63"/>
    </row>
    <row r="1881" spans="1:11" ht="20.25" customHeight="1" x14ac:dyDescent="0.3">
      <c r="A1881" s="90"/>
      <c r="B1881" s="84"/>
      <c r="C1881" s="7"/>
      <c r="D1881" s="85"/>
      <c r="E1881" s="86"/>
      <c r="F1881" s="63"/>
      <c r="G1881" s="96"/>
      <c r="H1881" s="63"/>
      <c r="I1881" s="63"/>
      <c r="J1881" s="63"/>
      <c r="K1881" s="63"/>
    </row>
    <row r="1882" spans="1:11" ht="20.25" customHeight="1" x14ac:dyDescent="0.3">
      <c r="A1882" s="90"/>
      <c r="B1882" s="84"/>
      <c r="C1882" s="7"/>
      <c r="D1882" s="85"/>
      <c r="E1882" s="86"/>
      <c r="F1882" s="63"/>
      <c r="G1882" s="96"/>
      <c r="H1882" s="63"/>
      <c r="I1882" s="63"/>
      <c r="J1882" s="63"/>
      <c r="K1882" s="63"/>
    </row>
    <row r="1883" spans="1:11" ht="20.25" customHeight="1" x14ac:dyDescent="0.3">
      <c r="A1883" s="90"/>
      <c r="B1883" s="84"/>
      <c r="C1883" s="7"/>
      <c r="D1883" s="85"/>
      <c r="E1883" s="86"/>
      <c r="F1883" s="63"/>
      <c r="G1883" s="96"/>
      <c r="H1883" s="63"/>
      <c r="I1883" s="63"/>
      <c r="J1883" s="63"/>
      <c r="K1883" s="63"/>
    </row>
    <row r="1884" spans="1:11" ht="20.25" customHeight="1" x14ac:dyDescent="0.3">
      <c r="A1884" s="90"/>
      <c r="B1884" s="84"/>
      <c r="C1884" s="7"/>
      <c r="D1884" s="85"/>
      <c r="E1884" s="86"/>
      <c r="F1884" s="63"/>
      <c r="G1884" s="96"/>
      <c r="H1884" s="63"/>
      <c r="I1884" s="63"/>
      <c r="J1884" s="63"/>
      <c r="K1884" s="63"/>
    </row>
    <row r="1885" spans="1:11" ht="20.25" customHeight="1" x14ac:dyDescent="0.3">
      <c r="A1885" s="90"/>
      <c r="B1885" s="84"/>
      <c r="C1885" s="7"/>
      <c r="D1885" s="85"/>
      <c r="E1885" s="86"/>
      <c r="F1885" s="63"/>
      <c r="G1885" s="96"/>
      <c r="H1885" s="63"/>
      <c r="I1885" s="63"/>
      <c r="J1885" s="63"/>
      <c r="K1885" s="63"/>
    </row>
    <row r="1886" spans="1:11" ht="20.25" customHeight="1" x14ac:dyDescent="0.3">
      <c r="A1886" s="90"/>
      <c r="B1886" s="84"/>
      <c r="C1886" s="7"/>
      <c r="D1886" s="85"/>
      <c r="E1886" s="86"/>
      <c r="F1886" s="63"/>
      <c r="G1886" s="96"/>
      <c r="H1886" s="63"/>
      <c r="I1886" s="63"/>
      <c r="J1886" s="63"/>
      <c r="K1886" s="63"/>
    </row>
    <row r="1887" spans="1:11" ht="20.25" customHeight="1" x14ac:dyDescent="0.3">
      <c r="A1887" s="90"/>
      <c r="B1887" s="84"/>
      <c r="C1887" s="7"/>
      <c r="D1887" s="85"/>
      <c r="E1887" s="86"/>
      <c r="F1887" s="63"/>
      <c r="G1887" s="96"/>
      <c r="H1887" s="63"/>
      <c r="I1887" s="63"/>
      <c r="J1887" s="63"/>
      <c r="K1887" s="63"/>
    </row>
    <row r="1888" spans="1:11" ht="20.25" customHeight="1" x14ac:dyDescent="0.3">
      <c r="A1888" s="90"/>
      <c r="B1888" s="84"/>
      <c r="C1888" s="7"/>
      <c r="D1888" s="85"/>
      <c r="E1888" s="86"/>
      <c r="F1888" s="63"/>
      <c r="G1888" s="96"/>
      <c r="H1888" s="63"/>
      <c r="I1888" s="63"/>
      <c r="J1888" s="63"/>
      <c r="K1888" s="63"/>
    </row>
    <row r="1889" spans="1:11" ht="20.25" customHeight="1" x14ac:dyDescent="0.3">
      <c r="A1889" s="90"/>
      <c r="B1889" s="84"/>
      <c r="C1889" s="7"/>
      <c r="D1889" s="85"/>
      <c r="E1889" s="86"/>
      <c r="F1889" s="63"/>
      <c r="G1889" s="96"/>
      <c r="H1889" s="63"/>
      <c r="I1889" s="63"/>
      <c r="J1889" s="63"/>
      <c r="K1889" s="63"/>
    </row>
    <row r="1890" spans="1:11" ht="20.25" customHeight="1" x14ac:dyDescent="0.3">
      <c r="A1890" s="90"/>
      <c r="B1890" s="84"/>
      <c r="C1890" s="7"/>
      <c r="D1890" s="85"/>
      <c r="E1890" s="86"/>
      <c r="F1890" s="63"/>
      <c r="G1890" s="96"/>
      <c r="H1890" s="63"/>
      <c r="I1890" s="63"/>
      <c r="J1890" s="63"/>
      <c r="K1890" s="63"/>
    </row>
    <row r="1891" spans="1:11" ht="20.25" customHeight="1" x14ac:dyDescent="0.3">
      <c r="A1891" s="90"/>
      <c r="B1891" s="84"/>
      <c r="C1891" s="7"/>
      <c r="D1891" s="85"/>
      <c r="E1891" s="86"/>
      <c r="F1891" s="63"/>
      <c r="G1891" s="96"/>
      <c r="H1891" s="63"/>
      <c r="I1891" s="63"/>
      <c r="J1891" s="63"/>
      <c r="K1891" s="63"/>
    </row>
    <row r="1892" spans="1:11" ht="20.25" customHeight="1" x14ac:dyDescent="0.3">
      <c r="A1892" s="90"/>
      <c r="B1892" s="84"/>
      <c r="C1892" s="7"/>
      <c r="D1892" s="85"/>
      <c r="E1892" s="86"/>
      <c r="F1892" s="63"/>
      <c r="G1892" s="96"/>
      <c r="H1892" s="63"/>
      <c r="I1892" s="63"/>
      <c r="J1892" s="63"/>
      <c r="K1892" s="63"/>
    </row>
    <row r="1893" spans="1:11" ht="20.25" customHeight="1" x14ac:dyDescent="0.3">
      <c r="A1893" s="90"/>
      <c r="B1893" s="84"/>
      <c r="C1893" s="7"/>
      <c r="D1893" s="85"/>
      <c r="E1893" s="86"/>
      <c r="F1893" s="63"/>
      <c r="G1893" s="96"/>
      <c r="H1893" s="63"/>
      <c r="I1893" s="63"/>
      <c r="J1893" s="63"/>
      <c r="K1893" s="63"/>
    </row>
    <row r="1894" spans="1:11" ht="20.25" customHeight="1" x14ac:dyDescent="0.3">
      <c r="A1894" s="90"/>
      <c r="B1894" s="84"/>
      <c r="C1894" s="7"/>
      <c r="D1894" s="85"/>
      <c r="E1894" s="86"/>
      <c r="F1894" s="63"/>
      <c r="G1894" s="96"/>
      <c r="H1894" s="63"/>
      <c r="I1894" s="63"/>
      <c r="J1894" s="63"/>
      <c r="K1894" s="63"/>
    </row>
    <row r="1895" spans="1:11" ht="20.25" customHeight="1" x14ac:dyDescent="0.3">
      <c r="A1895" s="90"/>
      <c r="B1895" s="84"/>
      <c r="C1895" s="7"/>
      <c r="D1895" s="85"/>
      <c r="E1895" s="86"/>
      <c r="F1895" s="63"/>
      <c r="G1895" s="96"/>
      <c r="H1895" s="63"/>
      <c r="I1895" s="63"/>
      <c r="J1895" s="63"/>
      <c r="K1895" s="63"/>
    </row>
    <row r="1896" spans="1:11" ht="20.25" customHeight="1" x14ac:dyDescent="0.3">
      <c r="A1896" s="90"/>
      <c r="B1896" s="84"/>
      <c r="C1896" s="7"/>
      <c r="D1896" s="85"/>
      <c r="E1896" s="86"/>
      <c r="F1896" s="63"/>
      <c r="G1896" s="96"/>
      <c r="H1896" s="63"/>
      <c r="I1896" s="63"/>
      <c r="J1896" s="63"/>
      <c r="K1896" s="63"/>
    </row>
    <row r="1897" spans="1:11" ht="20.25" customHeight="1" x14ac:dyDescent="0.3">
      <c r="A1897" s="90"/>
      <c r="B1897" s="84"/>
      <c r="C1897" s="7"/>
      <c r="D1897" s="85"/>
      <c r="E1897" s="86"/>
      <c r="F1897" s="63"/>
      <c r="G1897" s="96"/>
      <c r="H1897" s="63"/>
      <c r="I1897" s="63"/>
      <c r="J1897" s="63"/>
      <c r="K1897" s="63"/>
    </row>
    <row r="1898" spans="1:11" ht="20.25" customHeight="1" x14ac:dyDescent="0.3">
      <c r="A1898" s="90"/>
      <c r="B1898" s="84"/>
      <c r="C1898" s="7"/>
      <c r="D1898" s="85"/>
      <c r="E1898" s="86"/>
      <c r="F1898" s="63"/>
      <c r="G1898" s="96"/>
      <c r="H1898" s="63"/>
      <c r="I1898" s="63"/>
      <c r="J1898" s="63"/>
      <c r="K1898" s="63"/>
    </row>
    <row r="1899" spans="1:11" ht="20.25" customHeight="1" x14ac:dyDescent="0.3">
      <c r="A1899" s="90"/>
      <c r="B1899" s="84"/>
      <c r="C1899" s="7"/>
      <c r="D1899" s="85"/>
      <c r="E1899" s="86"/>
      <c r="F1899" s="63"/>
      <c r="G1899" s="96"/>
      <c r="H1899" s="63"/>
      <c r="I1899" s="63"/>
      <c r="J1899" s="63"/>
      <c r="K1899" s="63"/>
    </row>
    <row r="1900" spans="1:11" ht="20.25" customHeight="1" x14ac:dyDescent="0.3">
      <c r="A1900" s="90"/>
      <c r="B1900" s="84"/>
      <c r="C1900" s="7"/>
      <c r="D1900" s="85"/>
      <c r="E1900" s="86"/>
      <c r="F1900" s="63"/>
      <c r="G1900" s="96"/>
      <c r="H1900" s="63"/>
      <c r="I1900" s="63"/>
      <c r="J1900" s="63"/>
      <c r="K1900" s="63"/>
    </row>
    <row r="1901" spans="1:11" ht="20.25" customHeight="1" x14ac:dyDescent="0.3">
      <c r="A1901" s="90"/>
      <c r="B1901" s="84"/>
      <c r="C1901" s="7"/>
      <c r="D1901" s="85"/>
      <c r="E1901" s="86"/>
      <c r="F1901" s="63"/>
      <c r="G1901" s="96"/>
      <c r="H1901" s="63"/>
      <c r="I1901" s="63"/>
      <c r="J1901" s="63"/>
      <c r="K1901" s="63"/>
    </row>
    <row r="1902" spans="1:11" ht="20.25" customHeight="1" x14ac:dyDescent="0.3">
      <c r="A1902" s="90"/>
      <c r="B1902" s="84"/>
      <c r="C1902" s="7"/>
      <c r="D1902" s="85"/>
      <c r="E1902" s="86"/>
      <c r="F1902" s="63"/>
      <c r="G1902" s="96"/>
      <c r="H1902" s="63"/>
      <c r="I1902" s="63"/>
      <c r="J1902" s="63"/>
      <c r="K1902" s="63"/>
    </row>
    <row r="1903" spans="1:11" ht="20.25" customHeight="1" x14ac:dyDescent="0.3">
      <c r="A1903" s="90"/>
      <c r="B1903" s="84"/>
      <c r="C1903" s="7"/>
      <c r="D1903" s="85"/>
      <c r="E1903" s="86"/>
      <c r="F1903" s="63"/>
      <c r="G1903" s="96"/>
      <c r="H1903" s="63"/>
      <c r="I1903" s="63"/>
      <c r="J1903" s="63"/>
      <c r="K1903" s="63"/>
    </row>
    <row r="1904" spans="1:11" ht="20.25" customHeight="1" x14ac:dyDescent="0.3">
      <c r="A1904" s="90"/>
      <c r="B1904" s="84"/>
      <c r="C1904" s="7"/>
      <c r="D1904" s="85"/>
      <c r="E1904" s="86"/>
      <c r="F1904" s="63"/>
      <c r="G1904" s="96"/>
      <c r="H1904" s="63"/>
      <c r="I1904" s="63"/>
      <c r="J1904" s="63"/>
      <c r="K1904" s="63"/>
    </row>
    <row r="1905" spans="1:11" ht="20.25" customHeight="1" x14ac:dyDescent="0.3">
      <c r="A1905" s="90"/>
      <c r="B1905" s="84"/>
      <c r="C1905" s="7"/>
      <c r="D1905" s="85"/>
      <c r="E1905" s="86"/>
      <c r="F1905" s="63"/>
      <c r="G1905" s="96"/>
      <c r="H1905" s="63"/>
      <c r="I1905" s="63"/>
      <c r="J1905" s="63"/>
      <c r="K1905" s="63"/>
    </row>
    <row r="1906" spans="1:11" ht="20.25" customHeight="1" x14ac:dyDescent="0.3">
      <c r="A1906" s="90"/>
      <c r="B1906" s="84"/>
      <c r="C1906" s="7"/>
      <c r="D1906" s="85"/>
      <c r="E1906" s="86"/>
      <c r="F1906" s="63"/>
      <c r="G1906" s="96"/>
      <c r="H1906" s="63"/>
      <c r="I1906" s="63"/>
      <c r="J1906" s="63"/>
      <c r="K1906" s="63"/>
    </row>
    <row r="1907" spans="1:11" ht="20.25" customHeight="1" x14ac:dyDescent="0.3">
      <c r="A1907" s="90"/>
      <c r="B1907" s="84"/>
      <c r="C1907" s="7"/>
      <c r="D1907" s="85"/>
      <c r="E1907" s="86"/>
      <c r="F1907" s="63"/>
      <c r="G1907" s="96"/>
      <c r="H1907" s="63"/>
      <c r="I1907" s="63"/>
      <c r="J1907" s="63"/>
      <c r="K1907" s="63"/>
    </row>
    <row r="1908" spans="1:11" ht="20.25" customHeight="1" x14ac:dyDescent="0.3">
      <c r="A1908" s="90"/>
      <c r="B1908" s="84"/>
      <c r="C1908" s="7"/>
      <c r="D1908" s="85"/>
      <c r="E1908" s="86"/>
      <c r="F1908" s="63"/>
      <c r="G1908" s="96"/>
      <c r="H1908" s="63"/>
      <c r="I1908" s="63"/>
      <c r="J1908" s="63"/>
      <c r="K1908" s="63"/>
    </row>
    <row r="1909" spans="1:11" ht="20.25" customHeight="1" x14ac:dyDescent="0.3">
      <c r="A1909" s="90"/>
      <c r="B1909" s="84"/>
      <c r="C1909" s="7"/>
      <c r="D1909" s="85"/>
      <c r="E1909" s="86"/>
      <c r="F1909" s="63"/>
      <c r="G1909" s="96"/>
      <c r="H1909" s="63"/>
      <c r="I1909" s="63"/>
      <c r="J1909" s="63"/>
      <c r="K1909" s="63"/>
    </row>
    <row r="1910" spans="1:11" ht="20.25" customHeight="1" x14ac:dyDescent="0.3">
      <c r="A1910" s="90"/>
      <c r="B1910" s="84"/>
      <c r="C1910" s="7"/>
      <c r="D1910" s="85"/>
      <c r="E1910" s="86"/>
      <c r="F1910" s="63"/>
      <c r="G1910" s="96"/>
      <c r="H1910" s="63"/>
      <c r="I1910" s="63"/>
      <c r="J1910" s="63"/>
      <c r="K1910" s="63"/>
    </row>
    <row r="1911" spans="1:11" ht="20.25" customHeight="1" x14ac:dyDescent="0.3">
      <c r="A1911" s="90"/>
      <c r="B1911" s="84"/>
      <c r="C1911" s="7"/>
      <c r="D1911" s="85"/>
      <c r="E1911" s="86"/>
      <c r="F1911" s="63"/>
      <c r="G1911" s="96"/>
      <c r="H1911" s="63"/>
      <c r="I1911" s="63"/>
      <c r="J1911" s="63"/>
      <c r="K1911" s="63"/>
    </row>
    <row r="1912" spans="1:11" ht="20.25" customHeight="1" x14ac:dyDescent="0.3">
      <c r="A1912" s="90"/>
      <c r="B1912" s="84"/>
      <c r="C1912" s="7"/>
      <c r="D1912" s="85"/>
      <c r="E1912" s="86"/>
      <c r="F1912" s="63"/>
      <c r="G1912" s="96"/>
      <c r="H1912" s="63"/>
      <c r="I1912" s="63"/>
      <c r="J1912" s="63"/>
      <c r="K1912" s="63"/>
    </row>
    <row r="1913" spans="1:11" ht="20.25" customHeight="1" x14ac:dyDescent="0.3">
      <c r="A1913" s="90"/>
      <c r="B1913" s="84"/>
      <c r="C1913" s="7"/>
      <c r="D1913" s="85"/>
      <c r="E1913" s="86"/>
      <c r="F1913" s="63"/>
      <c r="G1913" s="96"/>
      <c r="H1913" s="63"/>
      <c r="I1913" s="63"/>
      <c r="J1913" s="63"/>
      <c r="K1913" s="63"/>
    </row>
    <row r="1914" spans="1:11" ht="20.25" customHeight="1" x14ac:dyDescent="0.3">
      <c r="A1914" s="90"/>
      <c r="B1914" s="84"/>
      <c r="C1914" s="7"/>
      <c r="D1914" s="85"/>
      <c r="E1914" s="86"/>
      <c r="F1914" s="63"/>
      <c r="G1914" s="96"/>
      <c r="H1914" s="63"/>
      <c r="I1914" s="63"/>
      <c r="J1914" s="63"/>
      <c r="K1914" s="63"/>
    </row>
    <row r="1915" spans="1:11" ht="20.25" customHeight="1" x14ac:dyDescent="0.3">
      <c r="A1915" s="90"/>
      <c r="B1915" s="84"/>
      <c r="C1915" s="7"/>
      <c r="D1915" s="85"/>
      <c r="E1915" s="86"/>
      <c r="F1915" s="63"/>
      <c r="G1915" s="96"/>
      <c r="H1915" s="63"/>
      <c r="I1915" s="63"/>
      <c r="J1915" s="63"/>
      <c r="K1915" s="63"/>
    </row>
    <row r="1916" spans="1:11" ht="20.25" customHeight="1" x14ac:dyDescent="0.3">
      <c r="A1916" s="90"/>
      <c r="B1916" s="84"/>
      <c r="C1916" s="7"/>
      <c r="D1916" s="85"/>
      <c r="E1916" s="86"/>
      <c r="F1916" s="63"/>
      <c r="G1916" s="96"/>
      <c r="H1916" s="63"/>
      <c r="I1916" s="63"/>
      <c r="J1916" s="63"/>
      <c r="K1916" s="63"/>
    </row>
    <row r="1917" spans="1:11" ht="20.25" customHeight="1" x14ac:dyDescent="0.3">
      <c r="A1917" s="90"/>
      <c r="B1917" s="84"/>
      <c r="C1917" s="7"/>
      <c r="D1917" s="85"/>
      <c r="E1917" s="86"/>
      <c r="F1917" s="63"/>
      <c r="G1917" s="96"/>
      <c r="H1917" s="63"/>
      <c r="I1917" s="63"/>
      <c r="J1917" s="63"/>
      <c r="K1917" s="63"/>
    </row>
    <row r="1918" spans="1:11" ht="20.25" customHeight="1" x14ac:dyDescent="0.3">
      <c r="A1918" s="90"/>
      <c r="B1918" s="84"/>
      <c r="C1918" s="7"/>
      <c r="D1918" s="85"/>
      <c r="E1918" s="86"/>
      <c r="F1918" s="63"/>
      <c r="G1918" s="96"/>
      <c r="H1918" s="63"/>
      <c r="I1918" s="63"/>
      <c r="J1918" s="63"/>
      <c r="K1918" s="63"/>
    </row>
    <row r="1919" spans="1:11" ht="20.25" customHeight="1" x14ac:dyDescent="0.3">
      <c r="A1919" s="90"/>
      <c r="B1919" s="84"/>
      <c r="C1919" s="7"/>
      <c r="D1919" s="85"/>
      <c r="E1919" s="86"/>
      <c r="F1919" s="63"/>
      <c r="G1919" s="96"/>
      <c r="H1919" s="63"/>
      <c r="I1919" s="63"/>
      <c r="J1919" s="63"/>
      <c r="K1919" s="63"/>
    </row>
    <row r="1920" spans="1:11" ht="20.25" customHeight="1" x14ac:dyDescent="0.3">
      <c r="A1920" s="90"/>
      <c r="B1920" s="84"/>
      <c r="C1920" s="7"/>
      <c r="D1920" s="85"/>
      <c r="E1920" s="86"/>
      <c r="F1920" s="63"/>
      <c r="G1920" s="96"/>
      <c r="H1920" s="63"/>
      <c r="I1920" s="63"/>
      <c r="J1920" s="63"/>
      <c r="K1920" s="63"/>
    </row>
    <row r="1921" spans="1:11" ht="20.25" customHeight="1" x14ac:dyDescent="0.3">
      <c r="A1921" s="90"/>
      <c r="B1921" s="84"/>
      <c r="C1921" s="7"/>
      <c r="D1921" s="85"/>
      <c r="E1921" s="86"/>
      <c r="F1921" s="63"/>
      <c r="G1921" s="96"/>
      <c r="H1921" s="63"/>
      <c r="I1921" s="63"/>
      <c r="J1921" s="63"/>
      <c r="K1921" s="63"/>
    </row>
    <row r="1922" spans="1:11" ht="20.25" customHeight="1" x14ac:dyDescent="0.3">
      <c r="A1922" s="90"/>
      <c r="B1922" s="84"/>
      <c r="C1922" s="7"/>
      <c r="D1922" s="85"/>
      <c r="E1922" s="86"/>
      <c r="F1922" s="63"/>
      <c r="G1922" s="96"/>
      <c r="H1922" s="63"/>
      <c r="I1922" s="63"/>
      <c r="J1922" s="63"/>
      <c r="K1922" s="63"/>
    </row>
    <row r="1923" spans="1:11" ht="20.25" customHeight="1" x14ac:dyDescent="0.3">
      <c r="A1923" s="90"/>
      <c r="B1923" s="84"/>
      <c r="C1923" s="7"/>
      <c r="D1923" s="85"/>
      <c r="E1923" s="86"/>
      <c r="F1923" s="63"/>
      <c r="G1923" s="96"/>
      <c r="H1923" s="63"/>
      <c r="I1923" s="63"/>
      <c r="J1923" s="63"/>
      <c r="K1923" s="63"/>
    </row>
    <row r="1924" spans="1:11" ht="20.25" customHeight="1" x14ac:dyDescent="0.3">
      <c r="A1924" s="90"/>
      <c r="B1924" s="84"/>
      <c r="C1924" s="7"/>
      <c r="D1924" s="85"/>
      <c r="E1924" s="86"/>
      <c r="F1924" s="63"/>
      <c r="G1924" s="96"/>
      <c r="H1924" s="63"/>
      <c r="I1924" s="63"/>
      <c r="J1924" s="63"/>
      <c r="K1924" s="63"/>
    </row>
    <row r="1925" spans="1:11" ht="20.25" customHeight="1" x14ac:dyDescent="0.3">
      <c r="A1925" s="90"/>
      <c r="B1925" s="84"/>
      <c r="C1925" s="7"/>
      <c r="D1925" s="85"/>
      <c r="E1925" s="86"/>
      <c r="F1925" s="63"/>
      <c r="G1925" s="96"/>
      <c r="H1925" s="63"/>
      <c r="I1925" s="63"/>
      <c r="J1925" s="63"/>
      <c r="K1925" s="63"/>
    </row>
    <row r="1926" spans="1:11" ht="20.25" customHeight="1" x14ac:dyDescent="0.3">
      <c r="A1926" s="90"/>
      <c r="B1926" s="84"/>
      <c r="C1926" s="7"/>
      <c r="D1926" s="85"/>
      <c r="E1926" s="86"/>
      <c r="F1926" s="63"/>
      <c r="G1926" s="96"/>
      <c r="H1926" s="63"/>
      <c r="I1926" s="63"/>
      <c r="J1926" s="63"/>
      <c r="K1926" s="63"/>
    </row>
    <row r="1927" spans="1:11" ht="20.25" customHeight="1" x14ac:dyDescent="0.3">
      <c r="A1927" s="90"/>
      <c r="B1927" s="84"/>
      <c r="C1927" s="7"/>
      <c r="D1927" s="85"/>
      <c r="E1927" s="86"/>
      <c r="F1927" s="63"/>
      <c r="G1927" s="96"/>
      <c r="H1927" s="63"/>
      <c r="I1927" s="63"/>
      <c r="J1927" s="63"/>
      <c r="K1927" s="63"/>
    </row>
    <row r="1928" spans="1:11" ht="20.25" customHeight="1" x14ac:dyDescent="0.3">
      <c r="A1928" s="90"/>
      <c r="B1928" s="84"/>
      <c r="C1928" s="7"/>
      <c r="D1928" s="85"/>
      <c r="E1928" s="86"/>
      <c r="F1928" s="63"/>
      <c r="G1928" s="96"/>
      <c r="H1928" s="63"/>
      <c r="I1928" s="63"/>
      <c r="J1928" s="63"/>
      <c r="K1928" s="63"/>
    </row>
    <row r="1929" spans="1:11" ht="20.25" customHeight="1" x14ac:dyDescent="0.3">
      <c r="A1929" s="90"/>
      <c r="B1929" s="84"/>
      <c r="C1929" s="7"/>
      <c r="D1929" s="85"/>
      <c r="E1929" s="86"/>
      <c r="F1929" s="63"/>
      <c r="G1929" s="96"/>
      <c r="H1929" s="63"/>
      <c r="I1929" s="63"/>
      <c r="J1929" s="63"/>
      <c r="K1929" s="63"/>
    </row>
    <row r="1930" spans="1:11" ht="20.25" customHeight="1" x14ac:dyDescent="0.3">
      <c r="A1930" s="90"/>
      <c r="B1930" s="84"/>
      <c r="C1930" s="7"/>
      <c r="D1930" s="85"/>
      <c r="E1930" s="86"/>
      <c r="F1930" s="63"/>
      <c r="G1930" s="96"/>
      <c r="H1930" s="63"/>
      <c r="I1930" s="63"/>
      <c r="J1930" s="63"/>
      <c r="K1930" s="63"/>
    </row>
    <row r="1931" spans="1:11" ht="20.25" customHeight="1" x14ac:dyDescent="0.3">
      <c r="A1931" s="90"/>
      <c r="B1931" s="84"/>
      <c r="C1931" s="7"/>
      <c r="D1931" s="85"/>
      <c r="E1931" s="86"/>
      <c r="F1931" s="63"/>
      <c r="G1931" s="96"/>
      <c r="H1931" s="63"/>
      <c r="I1931" s="63"/>
      <c r="J1931" s="63"/>
      <c r="K1931" s="63"/>
    </row>
    <row r="1932" spans="1:11" ht="20.25" customHeight="1" x14ac:dyDescent="0.3">
      <c r="A1932" s="90"/>
      <c r="B1932" s="84"/>
      <c r="C1932" s="7"/>
      <c r="D1932" s="85"/>
      <c r="E1932" s="86"/>
      <c r="F1932" s="63"/>
      <c r="G1932" s="96"/>
      <c r="H1932" s="63"/>
      <c r="I1932" s="63"/>
      <c r="J1932" s="63"/>
      <c r="K1932" s="63"/>
    </row>
    <row r="1933" spans="1:11" ht="20.25" customHeight="1" x14ac:dyDescent="0.3">
      <c r="A1933" s="90"/>
      <c r="B1933" s="84"/>
      <c r="C1933" s="7"/>
      <c r="D1933" s="85"/>
      <c r="E1933" s="86"/>
      <c r="F1933" s="63"/>
      <c r="G1933" s="96"/>
      <c r="H1933" s="63"/>
      <c r="I1933" s="63"/>
      <c r="J1933" s="63"/>
      <c r="K1933" s="63"/>
    </row>
    <row r="1934" spans="1:11" ht="20.25" customHeight="1" x14ac:dyDescent="0.3">
      <c r="A1934" s="90"/>
      <c r="B1934" s="84"/>
      <c r="C1934" s="7"/>
      <c r="D1934" s="85"/>
      <c r="E1934" s="86"/>
      <c r="F1934" s="63"/>
      <c r="G1934" s="96"/>
      <c r="H1934" s="63"/>
      <c r="I1934" s="63"/>
      <c r="J1934" s="63"/>
      <c r="K1934" s="63"/>
    </row>
    <row r="1935" spans="1:11" ht="20.25" customHeight="1" x14ac:dyDescent="0.3">
      <c r="A1935" s="90"/>
      <c r="B1935" s="84"/>
      <c r="C1935" s="7"/>
      <c r="D1935" s="85"/>
      <c r="E1935" s="86"/>
      <c r="F1935" s="63"/>
      <c r="G1935" s="96"/>
      <c r="H1935" s="63"/>
      <c r="I1935" s="63"/>
      <c r="J1935" s="63"/>
      <c r="K1935" s="63"/>
    </row>
    <row r="1936" spans="1:11" ht="20.25" customHeight="1" x14ac:dyDescent="0.3">
      <c r="A1936" s="90"/>
      <c r="B1936" s="84"/>
      <c r="C1936" s="7"/>
      <c r="D1936" s="85"/>
      <c r="E1936" s="86"/>
      <c r="F1936" s="63"/>
      <c r="G1936" s="96"/>
      <c r="H1936" s="63"/>
      <c r="I1936" s="63"/>
      <c r="J1936" s="63"/>
      <c r="K1936" s="63"/>
    </row>
    <row r="1937" spans="1:11" ht="20.25" customHeight="1" x14ac:dyDescent="0.3">
      <c r="A1937" s="90"/>
      <c r="B1937" s="84"/>
      <c r="C1937" s="7"/>
      <c r="D1937" s="85"/>
      <c r="E1937" s="86"/>
      <c r="F1937" s="63"/>
      <c r="G1937" s="96"/>
      <c r="H1937" s="63"/>
      <c r="I1937" s="63"/>
      <c r="J1937" s="63"/>
      <c r="K1937" s="63"/>
    </row>
    <row r="1938" spans="1:11" ht="20.25" customHeight="1" x14ac:dyDescent="0.3">
      <c r="A1938" s="90"/>
      <c r="B1938" s="84"/>
      <c r="C1938" s="7"/>
      <c r="D1938" s="85"/>
      <c r="E1938" s="86"/>
      <c r="F1938" s="63"/>
      <c r="G1938" s="96"/>
      <c r="H1938" s="63"/>
      <c r="I1938" s="63"/>
      <c r="J1938" s="63"/>
      <c r="K1938" s="63"/>
    </row>
    <row r="1939" spans="1:11" ht="20.25" customHeight="1" x14ac:dyDescent="0.3">
      <c r="A1939" s="90"/>
      <c r="B1939" s="84"/>
      <c r="C1939" s="7"/>
      <c r="D1939" s="85"/>
      <c r="E1939" s="86"/>
      <c r="F1939" s="63"/>
      <c r="G1939" s="96"/>
      <c r="H1939" s="63"/>
      <c r="I1939" s="63"/>
      <c r="J1939" s="63"/>
      <c r="K1939" s="63"/>
    </row>
    <row r="1940" spans="1:11" ht="20.25" customHeight="1" x14ac:dyDescent="0.3">
      <c r="A1940" s="90"/>
      <c r="B1940" s="84"/>
      <c r="C1940" s="7"/>
      <c r="D1940" s="85"/>
      <c r="E1940" s="86"/>
      <c r="F1940" s="63"/>
      <c r="G1940" s="96"/>
      <c r="H1940" s="63"/>
      <c r="I1940" s="63"/>
      <c r="J1940" s="63"/>
      <c r="K1940" s="63"/>
    </row>
    <row r="1941" spans="1:11" ht="20.25" customHeight="1" x14ac:dyDescent="0.3">
      <c r="A1941" s="90"/>
      <c r="B1941" s="84"/>
      <c r="C1941" s="7"/>
      <c r="D1941" s="85"/>
      <c r="E1941" s="86"/>
      <c r="F1941" s="63"/>
      <c r="G1941" s="96"/>
      <c r="H1941" s="63"/>
      <c r="I1941" s="63"/>
      <c r="J1941" s="63"/>
      <c r="K1941" s="63"/>
    </row>
    <row r="1942" spans="1:11" ht="20.25" customHeight="1" x14ac:dyDescent="0.3">
      <c r="A1942" s="90"/>
      <c r="B1942" s="84"/>
      <c r="C1942" s="7"/>
      <c r="D1942" s="85"/>
      <c r="E1942" s="86"/>
      <c r="F1942" s="63"/>
      <c r="G1942" s="96"/>
      <c r="H1942" s="63"/>
      <c r="I1942" s="63"/>
      <c r="J1942" s="63"/>
      <c r="K1942" s="63"/>
    </row>
    <row r="1943" spans="1:11" ht="20.25" customHeight="1" x14ac:dyDescent="0.3">
      <c r="A1943" s="90"/>
      <c r="B1943" s="84"/>
      <c r="C1943" s="7"/>
      <c r="D1943" s="85"/>
      <c r="E1943" s="86"/>
      <c r="F1943" s="63"/>
      <c r="G1943" s="96"/>
      <c r="H1943" s="63"/>
      <c r="I1943" s="63"/>
      <c r="J1943" s="63"/>
      <c r="K1943" s="63"/>
    </row>
    <row r="1944" spans="1:11" ht="20.25" customHeight="1" x14ac:dyDescent="0.3">
      <c r="A1944" s="90"/>
      <c r="B1944" s="84"/>
      <c r="C1944" s="7"/>
      <c r="D1944" s="85"/>
      <c r="E1944" s="86"/>
      <c r="F1944" s="63"/>
      <c r="G1944" s="96"/>
      <c r="H1944" s="63"/>
      <c r="I1944" s="63"/>
      <c r="J1944" s="63"/>
      <c r="K1944" s="63"/>
    </row>
    <row r="1945" spans="1:11" ht="20.25" customHeight="1" x14ac:dyDescent="0.3">
      <c r="A1945" s="90"/>
      <c r="B1945" s="84"/>
      <c r="C1945" s="7"/>
      <c r="D1945" s="85"/>
      <c r="E1945" s="86"/>
      <c r="F1945" s="63"/>
      <c r="G1945" s="96"/>
      <c r="H1945" s="63"/>
      <c r="I1945" s="63"/>
      <c r="J1945" s="63"/>
      <c r="K1945" s="63"/>
    </row>
    <row r="1946" spans="1:11" ht="20.25" customHeight="1" x14ac:dyDescent="0.3">
      <c r="A1946" s="90"/>
      <c r="B1946" s="84"/>
      <c r="C1946" s="7"/>
      <c r="D1946" s="85"/>
      <c r="E1946" s="86"/>
      <c r="F1946" s="63"/>
      <c r="G1946" s="96"/>
      <c r="H1946" s="63"/>
      <c r="I1946" s="63"/>
      <c r="J1946" s="63"/>
      <c r="K1946" s="63"/>
    </row>
    <row r="1947" spans="1:11" ht="20.25" customHeight="1" x14ac:dyDescent="0.3">
      <c r="A1947" s="90"/>
      <c r="B1947" s="84"/>
      <c r="C1947" s="7"/>
      <c r="D1947" s="85"/>
      <c r="E1947" s="86"/>
      <c r="F1947" s="63"/>
      <c r="G1947" s="96"/>
      <c r="H1947" s="63"/>
      <c r="I1947" s="63"/>
      <c r="J1947" s="63"/>
      <c r="K1947" s="63"/>
    </row>
    <row r="1948" spans="1:11" ht="20.25" customHeight="1" x14ac:dyDescent="0.3">
      <c r="A1948" s="90"/>
      <c r="B1948" s="84"/>
      <c r="C1948" s="7"/>
      <c r="D1948" s="85"/>
      <c r="E1948" s="86"/>
      <c r="F1948" s="63"/>
      <c r="G1948" s="96"/>
      <c r="H1948" s="63"/>
      <c r="I1948" s="63"/>
      <c r="J1948" s="63"/>
      <c r="K1948" s="63"/>
    </row>
    <row r="1949" spans="1:11" ht="20.25" customHeight="1" x14ac:dyDescent="0.3">
      <c r="A1949" s="90"/>
      <c r="B1949" s="84"/>
      <c r="C1949" s="7"/>
      <c r="D1949" s="85"/>
      <c r="E1949" s="86"/>
      <c r="F1949" s="63"/>
      <c r="G1949" s="96"/>
      <c r="H1949" s="63"/>
      <c r="I1949" s="63"/>
      <c r="J1949" s="63"/>
      <c r="K1949" s="63"/>
    </row>
    <row r="1950" spans="1:11" ht="20.25" customHeight="1" x14ac:dyDescent="0.3">
      <c r="A1950" s="90"/>
      <c r="B1950" s="84"/>
      <c r="C1950" s="7"/>
      <c r="D1950" s="85"/>
      <c r="E1950" s="86"/>
      <c r="F1950" s="63"/>
      <c r="G1950" s="96"/>
      <c r="H1950" s="63"/>
      <c r="I1950" s="63"/>
      <c r="J1950" s="63"/>
      <c r="K1950" s="63"/>
    </row>
    <row r="1951" spans="1:11" ht="20.25" customHeight="1" x14ac:dyDescent="0.3">
      <c r="A1951" s="90"/>
      <c r="B1951" s="84"/>
      <c r="C1951" s="7"/>
      <c r="D1951" s="85"/>
      <c r="E1951" s="86"/>
      <c r="F1951" s="63"/>
      <c r="G1951" s="96"/>
      <c r="H1951" s="63"/>
      <c r="I1951" s="63"/>
      <c r="J1951" s="63"/>
      <c r="K1951" s="63"/>
    </row>
    <row r="1952" spans="1:11" ht="20.25" customHeight="1" x14ac:dyDescent="0.3">
      <c r="A1952" s="90"/>
      <c r="B1952" s="84"/>
      <c r="C1952" s="7"/>
      <c r="D1952" s="85"/>
      <c r="E1952" s="86"/>
      <c r="F1952" s="63"/>
      <c r="G1952" s="96"/>
      <c r="H1952" s="63"/>
      <c r="I1952" s="63"/>
      <c r="J1952" s="63"/>
      <c r="K1952" s="63"/>
    </row>
    <row r="1953" spans="1:11" ht="20.25" customHeight="1" x14ac:dyDescent="0.3">
      <c r="A1953" s="90"/>
      <c r="B1953" s="84"/>
      <c r="C1953" s="7"/>
      <c r="D1953" s="85"/>
      <c r="E1953" s="86"/>
      <c r="F1953" s="63"/>
      <c r="G1953" s="96"/>
      <c r="H1953" s="63"/>
      <c r="I1953" s="63"/>
      <c r="J1953" s="63"/>
      <c r="K1953" s="63"/>
    </row>
    <row r="1954" spans="1:11" ht="20.25" customHeight="1" x14ac:dyDescent="0.3">
      <c r="A1954" s="90"/>
      <c r="B1954" s="84"/>
      <c r="C1954" s="7"/>
      <c r="D1954" s="85"/>
      <c r="E1954" s="86"/>
      <c r="F1954" s="63"/>
      <c r="G1954" s="96"/>
      <c r="H1954" s="63"/>
      <c r="I1954" s="63"/>
      <c r="J1954" s="63"/>
      <c r="K1954" s="63"/>
    </row>
    <row r="1955" spans="1:11" ht="20.25" customHeight="1" x14ac:dyDescent="0.3">
      <c r="A1955" s="90"/>
      <c r="B1955" s="84"/>
      <c r="C1955" s="7"/>
      <c r="D1955" s="85"/>
      <c r="E1955" s="86"/>
      <c r="F1955" s="63"/>
      <c r="G1955" s="96"/>
      <c r="H1955" s="63"/>
      <c r="I1955" s="63"/>
      <c r="J1955" s="63"/>
      <c r="K1955" s="63"/>
    </row>
    <row r="1956" spans="1:11" ht="20.25" customHeight="1" x14ac:dyDescent="0.3">
      <c r="A1956" s="90"/>
      <c r="B1956" s="84"/>
      <c r="C1956" s="7"/>
      <c r="D1956" s="85"/>
      <c r="E1956" s="86"/>
      <c r="F1956" s="63"/>
      <c r="G1956" s="96"/>
      <c r="H1956" s="63"/>
      <c r="I1956" s="63"/>
      <c r="J1956" s="63"/>
      <c r="K1956" s="63"/>
    </row>
    <row r="1957" spans="1:11" ht="20.25" customHeight="1" x14ac:dyDescent="0.3">
      <c r="A1957" s="90"/>
      <c r="B1957" s="84"/>
      <c r="C1957" s="7"/>
      <c r="D1957" s="85"/>
      <c r="E1957" s="86"/>
      <c r="F1957" s="63"/>
      <c r="G1957" s="96"/>
      <c r="H1957" s="63"/>
      <c r="I1957" s="63"/>
      <c r="J1957" s="63"/>
      <c r="K1957" s="63"/>
    </row>
    <row r="1958" spans="1:11" ht="20.25" customHeight="1" x14ac:dyDescent="0.3">
      <c r="A1958" s="90"/>
      <c r="B1958" s="84"/>
      <c r="C1958" s="7"/>
      <c r="D1958" s="85"/>
      <c r="E1958" s="86"/>
      <c r="F1958" s="63"/>
      <c r="G1958" s="96"/>
      <c r="H1958" s="63"/>
      <c r="I1958" s="63"/>
      <c r="J1958" s="63"/>
      <c r="K1958" s="63"/>
    </row>
    <row r="1959" spans="1:11" ht="20.25" customHeight="1" x14ac:dyDescent="0.3">
      <c r="A1959" s="90"/>
      <c r="B1959" s="84"/>
      <c r="C1959" s="7"/>
      <c r="D1959" s="85"/>
      <c r="E1959" s="86"/>
      <c r="F1959" s="63"/>
      <c r="G1959" s="96"/>
      <c r="H1959" s="63"/>
      <c r="I1959" s="63"/>
      <c r="J1959" s="63"/>
      <c r="K1959" s="63"/>
    </row>
    <row r="1960" spans="1:11" ht="20.25" customHeight="1" x14ac:dyDescent="0.3">
      <c r="A1960" s="90"/>
      <c r="B1960" s="84"/>
      <c r="C1960" s="7"/>
      <c r="D1960" s="85"/>
      <c r="E1960" s="86"/>
      <c r="F1960" s="63"/>
      <c r="G1960" s="96"/>
      <c r="H1960" s="63"/>
      <c r="I1960" s="63"/>
      <c r="J1960" s="63"/>
      <c r="K1960" s="63"/>
    </row>
    <row r="1961" spans="1:11" ht="20.25" customHeight="1" x14ac:dyDescent="0.3">
      <c r="A1961" s="90"/>
      <c r="B1961" s="84"/>
      <c r="C1961" s="7"/>
      <c r="D1961" s="85"/>
      <c r="E1961" s="86"/>
      <c r="F1961" s="63"/>
      <c r="G1961" s="96"/>
      <c r="H1961" s="63"/>
      <c r="I1961" s="63"/>
      <c r="J1961" s="63"/>
      <c r="K1961" s="63"/>
    </row>
    <row r="1962" spans="1:11" ht="20.25" customHeight="1" x14ac:dyDescent="0.3">
      <c r="A1962" s="90"/>
      <c r="B1962" s="84"/>
      <c r="C1962" s="7"/>
      <c r="D1962" s="85"/>
      <c r="E1962" s="86"/>
      <c r="F1962" s="63"/>
      <c r="G1962" s="96"/>
      <c r="H1962" s="63"/>
      <c r="I1962" s="63"/>
      <c r="J1962" s="63"/>
      <c r="K1962" s="63"/>
    </row>
    <row r="1963" spans="1:11" ht="20.25" customHeight="1" x14ac:dyDescent="0.3">
      <c r="A1963" s="90"/>
      <c r="B1963" s="84"/>
      <c r="C1963" s="7"/>
      <c r="D1963" s="85"/>
      <c r="E1963" s="86"/>
      <c r="F1963" s="63"/>
      <c r="G1963" s="96"/>
      <c r="H1963" s="63"/>
      <c r="I1963" s="63"/>
      <c r="J1963" s="63"/>
      <c r="K1963" s="63"/>
    </row>
    <row r="1964" spans="1:11" ht="20.25" customHeight="1" x14ac:dyDescent="0.3">
      <c r="A1964" s="90"/>
      <c r="B1964" s="84"/>
      <c r="C1964" s="7"/>
      <c r="D1964" s="85"/>
      <c r="E1964" s="86"/>
      <c r="F1964" s="63"/>
      <c r="G1964" s="96"/>
      <c r="H1964" s="63"/>
      <c r="I1964" s="63"/>
      <c r="J1964" s="63"/>
      <c r="K1964" s="63"/>
    </row>
    <row r="1965" spans="1:11" ht="20.25" customHeight="1" x14ac:dyDescent="0.3">
      <c r="A1965" s="90"/>
      <c r="B1965" s="84"/>
      <c r="C1965" s="7"/>
      <c r="D1965" s="85"/>
      <c r="E1965" s="86"/>
      <c r="F1965" s="63"/>
      <c r="G1965" s="96"/>
      <c r="H1965" s="63"/>
      <c r="I1965" s="63"/>
      <c r="J1965" s="63"/>
      <c r="K1965" s="63"/>
    </row>
    <row r="1966" spans="1:11" ht="20.25" customHeight="1" x14ac:dyDescent="0.3">
      <c r="A1966" s="90"/>
      <c r="B1966" s="84"/>
      <c r="C1966" s="7"/>
      <c r="D1966" s="85"/>
      <c r="E1966" s="86"/>
      <c r="F1966" s="63"/>
      <c r="G1966" s="96"/>
      <c r="H1966" s="63"/>
      <c r="I1966" s="63"/>
      <c r="J1966" s="63"/>
      <c r="K1966" s="63"/>
    </row>
    <row r="1967" spans="1:11" ht="20.25" customHeight="1" x14ac:dyDescent="0.3">
      <c r="A1967" s="90"/>
      <c r="B1967" s="84"/>
      <c r="C1967" s="7"/>
      <c r="D1967" s="85"/>
      <c r="E1967" s="86"/>
      <c r="F1967" s="63"/>
      <c r="G1967" s="96"/>
      <c r="H1967" s="63"/>
      <c r="I1967" s="63"/>
      <c r="J1967" s="63"/>
      <c r="K1967" s="63"/>
    </row>
    <row r="1968" spans="1:11" ht="20.25" customHeight="1" x14ac:dyDescent="0.3">
      <c r="A1968" s="90"/>
      <c r="B1968" s="84"/>
      <c r="C1968" s="7"/>
      <c r="D1968" s="85"/>
      <c r="E1968" s="86"/>
      <c r="F1968" s="63"/>
      <c r="G1968" s="96"/>
      <c r="H1968" s="63"/>
      <c r="I1968" s="63"/>
      <c r="J1968" s="63"/>
      <c r="K1968" s="63"/>
    </row>
    <row r="1969" spans="1:11" ht="20.25" customHeight="1" x14ac:dyDescent="0.3">
      <c r="A1969" s="90"/>
      <c r="B1969" s="84"/>
      <c r="C1969" s="7"/>
      <c r="D1969" s="85"/>
      <c r="E1969" s="86"/>
      <c r="F1969" s="63"/>
      <c r="G1969" s="96"/>
      <c r="H1969" s="63"/>
      <c r="I1969" s="63"/>
      <c r="J1969" s="63"/>
      <c r="K1969" s="63"/>
    </row>
    <row r="1970" spans="1:11" ht="20.25" customHeight="1" x14ac:dyDescent="0.3">
      <c r="A1970" s="90"/>
      <c r="B1970" s="84"/>
      <c r="C1970" s="7"/>
      <c r="D1970" s="85"/>
      <c r="E1970" s="86"/>
      <c r="F1970" s="63"/>
      <c r="G1970" s="96"/>
      <c r="H1970" s="63"/>
      <c r="I1970" s="63"/>
      <c r="J1970" s="63"/>
      <c r="K1970" s="63"/>
    </row>
    <row r="1971" spans="1:11" ht="20.25" customHeight="1" x14ac:dyDescent="0.3">
      <c r="A1971" s="90"/>
      <c r="B1971" s="84"/>
      <c r="C1971" s="7"/>
      <c r="D1971" s="85"/>
      <c r="E1971" s="86"/>
      <c r="F1971" s="63"/>
      <c r="G1971" s="96"/>
      <c r="H1971" s="63"/>
      <c r="I1971" s="63"/>
      <c r="J1971" s="63"/>
      <c r="K1971" s="63"/>
    </row>
    <row r="1972" spans="1:11" ht="20.25" customHeight="1" x14ac:dyDescent="0.3">
      <c r="A1972" s="90"/>
      <c r="B1972" s="84"/>
      <c r="C1972" s="7"/>
      <c r="D1972" s="85"/>
      <c r="E1972" s="86"/>
      <c r="F1972" s="63"/>
      <c r="G1972" s="96"/>
      <c r="H1972" s="63"/>
      <c r="I1972" s="63"/>
      <c r="J1972" s="63"/>
      <c r="K1972" s="63"/>
    </row>
    <row r="1973" spans="1:11" ht="20.25" customHeight="1" x14ac:dyDescent="0.3">
      <c r="A1973" s="90"/>
      <c r="B1973" s="84"/>
      <c r="C1973" s="7"/>
      <c r="D1973" s="85"/>
      <c r="E1973" s="86"/>
      <c r="F1973" s="63"/>
      <c r="G1973" s="96"/>
      <c r="H1973" s="63"/>
      <c r="I1973" s="63"/>
      <c r="J1973" s="63"/>
      <c r="K1973" s="63"/>
    </row>
    <row r="1974" spans="1:11" ht="20.25" customHeight="1" x14ac:dyDescent="0.3">
      <c r="A1974" s="90"/>
      <c r="B1974" s="84"/>
      <c r="C1974" s="7"/>
      <c r="D1974" s="85"/>
      <c r="E1974" s="86"/>
      <c r="F1974" s="63"/>
      <c r="G1974" s="96"/>
      <c r="H1974" s="63"/>
      <c r="I1974" s="63"/>
      <c r="J1974" s="63"/>
      <c r="K1974" s="63"/>
    </row>
    <row r="1975" spans="1:11" ht="20.25" customHeight="1" x14ac:dyDescent="0.3">
      <c r="A1975" s="90"/>
      <c r="B1975" s="84"/>
      <c r="C1975" s="7"/>
      <c r="D1975" s="85"/>
      <c r="E1975" s="86"/>
      <c r="F1975" s="63"/>
      <c r="G1975" s="96"/>
      <c r="H1975" s="63"/>
      <c r="I1975" s="63"/>
      <c r="J1975" s="63"/>
      <c r="K1975" s="63"/>
    </row>
    <row r="1976" spans="1:11" ht="20.25" customHeight="1" x14ac:dyDescent="0.3">
      <c r="A1976" s="90"/>
      <c r="B1976" s="84"/>
      <c r="C1976" s="7"/>
      <c r="D1976" s="85"/>
      <c r="E1976" s="86"/>
      <c r="F1976" s="63"/>
      <c r="G1976" s="96"/>
      <c r="H1976" s="63"/>
      <c r="I1976" s="63"/>
      <c r="J1976" s="63"/>
      <c r="K1976" s="63"/>
    </row>
    <row r="1977" spans="1:11" ht="20.25" customHeight="1" x14ac:dyDescent="0.3">
      <c r="A1977" s="90"/>
      <c r="B1977" s="84"/>
      <c r="C1977" s="7"/>
      <c r="D1977" s="85"/>
      <c r="E1977" s="86"/>
      <c r="F1977" s="63"/>
      <c r="G1977" s="96"/>
      <c r="H1977" s="63"/>
      <c r="I1977" s="63"/>
      <c r="J1977" s="63"/>
      <c r="K1977" s="63"/>
    </row>
    <row r="1978" spans="1:11" ht="20.25" customHeight="1" x14ac:dyDescent="0.3">
      <c r="A1978" s="90"/>
      <c r="B1978" s="84"/>
      <c r="C1978" s="7"/>
      <c r="D1978" s="85"/>
      <c r="E1978" s="86"/>
      <c r="F1978" s="63"/>
      <c r="G1978" s="96"/>
      <c r="H1978" s="63"/>
      <c r="I1978" s="63"/>
      <c r="J1978" s="63"/>
      <c r="K1978" s="63"/>
    </row>
    <row r="1979" spans="1:11" ht="20.25" customHeight="1" x14ac:dyDescent="0.3">
      <c r="A1979" s="90"/>
      <c r="B1979" s="84"/>
      <c r="C1979" s="7"/>
      <c r="D1979" s="85"/>
      <c r="E1979" s="86"/>
      <c r="F1979" s="63"/>
      <c r="G1979" s="96"/>
      <c r="H1979" s="63"/>
      <c r="I1979" s="63"/>
      <c r="J1979" s="63"/>
      <c r="K1979" s="63"/>
    </row>
    <row r="1980" spans="1:11" ht="20.25" customHeight="1" x14ac:dyDescent="0.3">
      <c r="A1980" s="90"/>
      <c r="B1980" s="84"/>
      <c r="C1980" s="7"/>
      <c r="D1980" s="85"/>
      <c r="E1980" s="86"/>
      <c r="F1980" s="63"/>
      <c r="G1980" s="96"/>
      <c r="H1980" s="63"/>
      <c r="I1980" s="63"/>
      <c r="J1980" s="63"/>
      <c r="K1980" s="63"/>
    </row>
    <row r="1981" spans="1:11" ht="20.25" customHeight="1" x14ac:dyDescent="0.3">
      <c r="A1981" s="90"/>
      <c r="B1981" s="84"/>
      <c r="C1981" s="7"/>
      <c r="D1981" s="85"/>
      <c r="E1981" s="86"/>
      <c r="F1981" s="63"/>
      <c r="G1981" s="96"/>
      <c r="H1981" s="63"/>
      <c r="I1981" s="63"/>
      <c r="J1981" s="63"/>
      <c r="K1981" s="63"/>
    </row>
    <row r="1982" spans="1:11" ht="20.25" customHeight="1" x14ac:dyDescent="0.3">
      <c r="A1982" s="90"/>
      <c r="B1982" s="84"/>
      <c r="C1982" s="7"/>
      <c r="D1982" s="85"/>
      <c r="E1982" s="86"/>
      <c r="F1982" s="63"/>
      <c r="G1982" s="96"/>
      <c r="H1982" s="63"/>
      <c r="I1982" s="63"/>
      <c r="J1982" s="63"/>
      <c r="K1982" s="63"/>
    </row>
    <row r="1983" spans="1:11" ht="20.25" customHeight="1" x14ac:dyDescent="0.3">
      <c r="A1983" s="90"/>
      <c r="B1983" s="84"/>
      <c r="C1983" s="7"/>
      <c r="D1983" s="85"/>
      <c r="E1983" s="86"/>
      <c r="F1983" s="63"/>
      <c r="G1983" s="96"/>
      <c r="H1983" s="63"/>
      <c r="I1983" s="63"/>
      <c r="J1983" s="63"/>
      <c r="K1983" s="63"/>
    </row>
    <row r="1984" spans="1:11" ht="20.25" customHeight="1" x14ac:dyDescent="0.3">
      <c r="A1984" s="90"/>
      <c r="B1984" s="84"/>
      <c r="C1984" s="7"/>
      <c r="D1984" s="85"/>
      <c r="E1984" s="86"/>
      <c r="F1984" s="63"/>
      <c r="G1984" s="96"/>
      <c r="H1984" s="63"/>
      <c r="I1984" s="63"/>
      <c r="J1984" s="63"/>
      <c r="K1984" s="63"/>
    </row>
    <row r="1985" spans="1:11" ht="20.25" customHeight="1" x14ac:dyDescent="0.3">
      <c r="A1985" s="90"/>
      <c r="B1985" s="84"/>
      <c r="C1985" s="7"/>
      <c r="D1985" s="85"/>
      <c r="E1985" s="86"/>
      <c r="F1985" s="63"/>
      <c r="G1985" s="96"/>
      <c r="H1985" s="63"/>
      <c r="I1985" s="63"/>
      <c r="J1985" s="63"/>
      <c r="K1985" s="63"/>
    </row>
    <row r="1986" spans="1:11" ht="20.25" customHeight="1" x14ac:dyDescent="0.3">
      <c r="A1986" s="90"/>
      <c r="B1986" s="84"/>
      <c r="C1986" s="7"/>
      <c r="D1986" s="85"/>
      <c r="E1986" s="86"/>
      <c r="F1986" s="63"/>
      <c r="G1986" s="96"/>
      <c r="H1986" s="63"/>
      <c r="I1986" s="63"/>
      <c r="J1986" s="63"/>
      <c r="K1986" s="63"/>
    </row>
    <row r="1987" spans="1:11" ht="20.25" customHeight="1" x14ac:dyDescent="0.3">
      <c r="A1987" s="90"/>
      <c r="B1987" s="84"/>
      <c r="C1987" s="7"/>
      <c r="D1987" s="85"/>
      <c r="E1987" s="86"/>
      <c r="F1987" s="63"/>
      <c r="G1987" s="96"/>
      <c r="H1987" s="63"/>
      <c r="I1987" s="63"/>
      <c r="J1987" s="63"/>
      <c r="K1987" s="63"/>
    </row>
    <row r="1988" spans="1:11" ht="20.25" customHeight="1" x14ac:dyDescent="0.3">
      <c r="A1988" s="90"/>
      <c r="B1988" s="84"/>
      <c r="C1988" s="7"/>
      <c r="D1988" s="85"/>
      <c r="E1988" s="86"/>
      <c r="F1988" s="63"/>
      <c r="G1988" s="96"/>
      <c r="H1988" s="63"/>
      <c r="I1988" s="63"/>
      <c r="J1988" s="63"/>
      <c r="K1988" s="63"/>
    </row>
    <row r="1989" spans="1:11" ht="20.25" customHeight="1" x14ac:dyDescent="0.3">
      <c r="A1989" s="90"/>
      <c r="B1989" s="84"/>
      <c r="C1989" s="7"/>
      <c r="D1989" s="85"/>
      <c r="E1989" s="86"/>
      <c r="F1989" s="63"/>
      <c r="G1989" s="96"/>
      <c r="H1989" s="63"/>
      <c r="I1989" s="63"/>
      <c r="J1989" s="63"/>
      <c r="K1989" s="63"/>
    </row>
    <row r="1990" spans="1:11" ht="20.25" customHeight="1" x14ac:dyDescent="0.3">
      <c r="A1990" s="90"/>
      <c r="B1990" s="84"/>
      <c r="C1990" s="7"/>
      <c r="D1990" s="85"/>
      <c r="E1990" s="86"/>
      <c r="F1990" s="63"/>
      <c r="G1990" s="96"/>
      <c r="H1990" s="63"/>
      <c r="I1990" s="63"/>
      <c r="J1990" s="63"/>
      <c r="K1990" s="63"/>
    </row>
    <row r="1991" spans="1:11" ht="20.25" customHeight="1" x14ac:dyDescent="0.3">
      <c r="A1991" s="90"/>
      <c r="B1991" s="84"/>
      <c r="C1991" s="7"/>
      <c r="D1991" s="85"/>
      <c r="E1991" s="86"/>
      <c r="F1991" s="63"/>
      <c r="G1991" s="96"/>
      <c r="H1991" s="63"/>
      <c r="I1991" s="63"/>
      <c r="J1991" s="63"/>
      <c r="K1991" s="63"/>
    </row>
    <row r="1992" spans="1:11" ht="20.25" customHeight="1" x14ac:dyDescent="0.3">
      <c r="A1992" s="90"/>
      <c r="B1992" s="84"/>
      <c r="C1992" s="7"/>
      <c r="D1992" s="85"/>
      <c r="E1992" s="86"/>
      <c r="F1992" s="63"/>
      <c r="G1992" s="96"/>
      <c r="H1992" s="63"/>
      <c r="I1992" s="63"/>
      <c r="J1992" s="63"/>
      <c r="K1992" s="63"/>
    </row>
    <row r="1993" spans="1:11" ht="20.25" customHeight="1" x14ac:dyDescent="0.3">
      <c r="A1993" s="90"/>
      <c r="B1993" s="84"/>
      <c r="C1993" s="7"/>
      <c r="D1993" s="85"/>
      <c r="E1993" s="86"/>
      <c r="F1993" s="63"/>
      <c r="G1993" s="96"/>
      <c r="H1993" s="63"/>
      <c r="I1993" s="63"/>
      <c r="J1993" s="63"/>
      <c r="K1993" s="63"/>
    </row>
    <row r="1994" spans="1:11" ht="20.25" customHeight="1" x14ac:dyDescent="0.3">
      <c r="A1994" s="90"/>
      <c r="B1994" s="84"/>
      <c r="C1994" s="7"/>
      <c r="D1994" s="85"/>
      <c r="E1994" s="86"/>
      <c r="F1994" s="63"/>
      <c r="G1994" s="96"/>
      <c r="H1994" s="63"/>
      <c r="I1994" s="63"/>
      <c r="J1994" s="63"/>
      <c r="K1994" s="63"/>
    </row>
    <row r="1995" spans="1:11" ht="20.25" customHeight="1" x14ac:dyDescent="0.3">
      <c r="A1995" s="90"/>
      <c r="B1995" s="84"/>
      <c r="C1995" s="7"/>
      <c r="D1995" s="85"/>
      <c r="E1995" s="86"/>
      <c r="F1995" s="63"/>
      <c r="G1995" s="96"/>
      <c r="H1995" s="63"/>
      <c r="I1995" s="63"/>
      <c r="J1995" s="63"/>
      <c r="K1995" s="63"/>
    </row>
    <row r="1996" spans="1:11" ht="20.25" customHeight="1" x14ac:dyDescent="0.3">
      <c r="A1996" s="90"/>
      <c r="B1996" s="84"/>
      <c r="C1996" s="7"/>
      <c r="D1996" s="85"/>
      <c r="E1996" s="86"/>
      <c r="F1996" s="63"/>
      <c r="G1996" s="96"/>
      <c r="H1996" s="63"/>
      <c r="I1996" s="63"/>
      <c r="J1996" s="63"/>
      <c r="K1996" s="63"/>
    </row>
    <row r="1997" spans="1:11" ht="20.25" customHeight="1" x14ac:dyDescent="0.3">
      <c r="A1997" s="90"/>
      <c r="B1997" s="84"/>
      <c r="C1997" s="7"/>
      <c r="D1997" s="85"/>
      <c r="E1997" s="86"/>
      <c r="F1997" s="63"/>
      <c r="G1997" s="96"/>
      <c r="H1997" s="63"/>
      <c r="I1997" s="63"/>
      <c r="J1997" s="63"/>
      <c r="K1997" s="63"/>
    </row>
    <row r="1998" spans="1:11" ht="20.25" customHeight="1" x14ac:dyDescent="0.3">
      <c r="A1998" s="90"/>
      <c r="B1998" s="84"/>
      <c r="C1998" s="7"/>
      <c r="D1998" s="85"/>
      <c r="E1998" s="86"/>
      <c r="F1998" s="63"/>
      <c r="G1998" s="96"/>
      <c r="H1998" s="63"/>
      <c r="I1998" s="63"/>
      <c r="J1998" s="63"/>
      <c r="K1998" s="63"/>
    </row>
    <row r="1999" spans="1:11" ht="20.25" customHeight="1" x14ac:dyDescent="0.3">
      <c r="A1999" s="90"/>
      <c r="B1999" s="84"/>
      <c r="C1999" s="7"/>
      <c r="D1999" s="85"/>
      <c r="E1999" s="86"/>
      <c r="F1999" s="63"/>
      <c r="G1999" s="96"/>
      <c r="H1999" s="63"/>
      <c r="I1999" s="63"/>
      <c r="J1999" s="63"/>
      <c r="K1999" s="63"/>
    </row>
    <row r="2000" spans="1:11" ht="20.25" customHeight="1" x14ac:dyDescent="0.3">
      <c r="A2000" s="90"/>
      <c r="B2000" s="84"/>
      <c r="C2000" s="7"/>
      <c r="D2000" s="85"/>
      <c r="E2000" s="86"/>
      <c r="F2000" s="63"/>
      <c r="G2000" s="96"/>
      <c r="H2000" s="63"/>
      <c r="I2000" s="63"/>
      <c r="J2000" s="63"/>
      <c r="K2000" s="63"/>
    </row>
    <row r="2001" spans="1:11" ht="20.25" customHeight="1" x14ac:dyDescent="0.3">
      <c r="A2001" s="90"/>
      <c r="B2001" s="84"/>
      <c r="C2001" s="7"/>
      <c r="D2001" s="85"/>
      <c r="E2001" s="86"/>
      <c r="F2001" s="63"/>
      <c r="G2001" s="96"/>
      <c r="H2001" s="63"/>
      <c r="I2001" s="63"/>
      <c r="J2001" s="63"/>
      <c r="K2001" s="63"/>
    </row>
    <row r="2002" spans="1:11" ht="20.25" customHeight="1" x14ac:dyDescent="0.3">
      <c r="A2002" s="90"/>
      <c r="B2002" s="84"/>
      <c r="C2002" s="7"/>
      <c r="D2002" s="85"/>
      <c r="E2002" s="86"/>
      <c r="F2002" s="63"/>
      <c r="G2002" s="96"/>
      <c r="H2002" s="63"/>
      <c r="I2002" s="63"/>
      <c r="J2002" s="63"/>
      <c r="K2002" s="63"/>
    </row>
    <row r="2003" spans="1:11" ht="20.25" customHeight="1" x14ac:dyDescent="0.3">
      <c r="A2003" s="90"/>
      <c r="B2003" s="84"/>
      <c r="C2003" s="7"/>
      <c r="D2003" s="85"/>
      <c r="E2003" s="86"/>
      <c r="F2003" s="63"/>
      <c r="G2003" s="96"/>
      <c r="H2003" s="63"/>
      <c r="I2003" s="63"/>
      <c r="J2003" s="63"/>
      <c r="K2003" s="63"/>
    </row>
    <row r="2004" spans="1:11" ht="20.25" customHeight="1" x14ac:dyDescent="0.3">
      <c r="A2004" s="90"/>
      <c r="B2004" s="84"/>
      <c r="C2004" s="7"/>
      <c r="D2004" s="85"/>
      <c r="E2004" s="86"/>
      <c r="F2004" s="63"/>
      <c r="G2004" s="96"/>
      <c r="H2004" s="63"/>
      <c r="I2004" s="63"/>
      <c r="J2004" s="63"/>
      <c r="K2004" s="63"/>
    </row>
    <row r="2005" spans="1:11" ht="20.25" customHeight="1" x14ac:dyDescent="0.3">
      <c r="A2005" s="90"/>
      <c r="B2005" s="84"/>
      <c r="C2005" s="7"/>
      <c r="D2005" s="85"/>
      <c r="E2005" s="86"/>
      <c r="F2005" s="63"/>
      <c r="G2005" s="96"/>
      <c r="H2005" s="63"/>
      <c r="I2005" s="63"/>
      <c r="J2005" s="63"/>
      <c r="K2005" s="63"/>
    </row>
    <row r="2006" spans="1:11" ht="20.25" customHeight="1" x14ac:dyDescent="0.3">
      <c r="A2006" s="90"/>
      <c r="B2006" s="84"/>
      <c r="C2006" s="7"/>
      <c r="D2006" s="85"/>
      <c r="E2006" s="86"/>
      <c r="F2006" s="63"/>
      <c r="G2006" s="96"/>
      <c r="H2006" s="63"/>
      <c r="I2006" s="63"/>
      <c r="J2006" s="63"/>
      <c r="K2006" s="63"/>
    </row>
    <row r="2007" spans="1:11" ht="20.25" customHeight="1" x14ac:dyDescent="0.3">
      <c r="A2007" s="90"/>
      <c r="B2007" s="84"/>
      <c r="C2007" s="7"/>
      <c r="D2007" s="85"/>
      <c r="E2007" s="86"/>
      <c r="F2007" s="63"/>
      <c r="G2007" s="96"/>
      <c r="H2007" s="63"/>
      <c r="I2007" s="63"/>
      <c r="J2007" s="63"/>
      <c r="K2007" s="63"/>
    </row>
    <row r="2008" spans="1:11" ht="20.25" customHeight="1" x14ac:dyDescent="0.3">
      <c r="A2008" s="90"/>
      <c r="B2008" s="84"/>
      <c r="C2008" s="7"/>
      <c r="D2008" s="85"/>
      <c r="E2008" s="86"/>
      <c r="F2008" s="63"/>
      <c r="G2008" s="96"/>
      <c r="H2008" s="63"/>
      <c r="I2008" s="63"/>
      <c r="J2008" s="63"/>
      <c r="K2008" s="63"/>
    </row>
    <row r="2009" spans="1:11" ht="20.25" customHeight="1" x14ac:dyDescent="0.3">
      <c r="A2009" s="90"/>
      <c r="B2009" s="84"/>
      <c r="C2009" s="7"/>
      <c r="D2009" s="85"/>
      <c r="E2009" s="86"/>
      <c r="F2009" s="63"/>
      <c r="G2009" s="96"/>
      <c r="H2009" s="63"/>
      <c r="I2009" s="63"/>
      <c r="J2009" s="63"/>
      <c r="K2009" s="63"/>
    </row>
    <row r="2010" spans="1:11" ht="20.25" customHeight="1" x14ac:dyDescent="0.3">
      <c r="A2010" s="90"/>
      <c r="B2010" s="84"/>
      <c r="C2010" s="7"/>
      <c r="D2010" s="85"/>
      <c r="E2010" s="86"/>
      <c r="F2010" s="63"/>
      <c r="G2010" s="96"/>
      <c r="H2010" s="63"/>
      <c r="I2010" s="63"/>
      <c r="J2010" s="63"/>
      <c r="K2010" s="63"/>
    </row>
    <row r="2011" spans="1:11" ht="20.25" customHeight="1" x14ac:dyDescent="0.3">
      <c r="A2011" s="90"/>
      <c r="B2011" s="84"/>
      <c r="C2011" s="7"/>
      <c r="D2011" s="85"/>
      <c r="E2011" s="86"/>
      <c r="F2011" s="63"/>
      <c r="G2011" s="96"/>
      <c r="H2011" s="63"/>
      <c r="I2011" s="63"/>
      <c r="J2011" s="63"/>
      <c r="K2011" s="63"/>
    </row>
    <row r="2012" spans="1:11" ht="20.25" customHeight="1" x14ac:dyDescent="0.3">
      <c r="A2012" s="90"/>
      <c r="B2012" s="84"/>
      <c r="C2012" s="7"/>
      <c r="D2012" s="85"/>
      <c r="E2012" s="86"/>
      <c r="F2012" s="63"/>
      <c r="G2012" s="96"/>
      <c r="H2012" s="63"/>
      <c r="I2012" s="63"/>
      <c r="J2012" s="63"/>
      <c r="K2012" s="63"/>
    </row>
    <row r="2013" spans="1:11" ht="20.25" customHeight="1" x14ac:dyDescent="0.3">
      <c r="A2013" s="90"/>
      <c r="B2013" s="84"/>
      <c r="C2013" s="7"/>
      <c r="D2013" s="85"/>
      <c r="E2013" s="86"/>
      <c r="F2013" s="63"/>
      <c r="G2013" s="96"/>
      <c r="H2013" s="63"/>
      <c r="I2013" s="63"/>
      <c r="J2013" s="63"/>
      <c r="K2013" s="63"/>
    </row>
    <row r="2014" spans="1:11" ht="20.25" customHeight="1" x14ac:dyDescent="0.3">
      <c r="A2014" s="90"/>
      <c r="B2014" s="84"/>
      <c r="C2014" s="7"/>
      <c r="D2014" s="85"/>
      <c r="E2014" s="86"/>
      <c r="F2014" s="63"/>
      <c r="G2014" s="96"/>
      <c r="H2014" s="63"/>
      <c r="I2014" s="63"/>
      <c r="J2014" s="63"/>
      <c r="K2014" s="63"/>
    </row>
    <row r="2015" spans="1:11" ht="20.25" customHeight="1" x14ac:dyDescent="0.3">
      <c r="A2015" s="90"/>
      <c r="B2015" s="84"/>
      <c r="C2015" s="7"/>
      <c r="D2015" s="85"/>
      <c r="E2015" s="86"/>
      <c r="F2015" s="63"/>
      <c r="G2015" s="96"/>
      <c r="H2015" s="63"/>
      <c r="I2015" s="63"/>
      <c r="J2015" s="63"/>
      <c r="K2015" s="63"/>
    </row>
    <row r="2016" spans="1:11" ht="20.25" customHeight="1" x14ac:dyDescent="0.3">
      <c r="A2016" s="90"/>
      <c r="B2016" s="84"/>
      <c r="C2016" s="7"/>
      <c r="D2016" s="85"/>
      <c r="E2016" s="86"/>
      <c r="F2016" s="63"/>
      <c r="G2016" s="96"/>
      <c r="H2016" s="63"/>
      <c r="I2016" s="63"/>
      <c r="J2016" s="63"/>
      <c r="K2016" s="63"/>
    </row>
    <row r="2017" spans="1:11" ht="20.25" customHeight="1" x14ac:dyDescent="0.3">
      <c r="A2017" s="90"/>
      <c r="B2017" s="84"/>
      <c r="C2017" s="7"/>
      <c r="D2017" s="85"/>
      <c r="E2017" s="86"/>
      <c r="F2017" s="63"/>
      <c r="G2017" s="96"/>
      <c r="H2017" s="63"/>
      <c r="I2017" s="63"/>
      <c r="J2017" s="63"/>
      <c r="K2017" s="63"/>
    </row>
    <row r="2018" spans="1:11" ht="20.25" customHeight="1" x14ac:dyDescent="0.3">
      <c r="A2018" s="90"/>
      <c r="B2018" s="84"/>
      <c r="C2018" s="7"/>
      <c r="D2018" s="85"/>
      <c r="E2018" s="86"/>
      <c r="F2018" s="63"/>
      <c r="G2018" s="96"/>
      <c r="H2018" s="63"/>
      <c r="I2018" s="63"/>
      <c r="J2018" s="63"/>
      <c r="K2018" s="63"/>
    </row>
    <row r="2019" spans="1:11" ht="20.25" customHeight="1" x14ac:dyDescent="0.3">
      <c r="A2019" s="90"/>
      <c r="B2019" s="84"/>
      <c r="C2019" s="7"/>
      <c r="D2019" s="85"/>
      <c r="E2019" s="86"/>
      <c r="F2019" s="63"/>
      <c r="G2019" s="96"/>
      <c r="H2019" s="63"/>
      <c r="I2019" s="63"/>
      <c r="J2019" s="63"/>
      <c r="K2019" s="63"/>
    </row>
    <row r="2020" spans="1:11" ht="20.25" customHeight="1" x14ac:dyDescent="0.3">
      <c r="A2020" s="90"/>
      <c r="B2020" s="84"/>
      <c r="C2020" s="7"/>
      <c r="D2020" s="85"/>
      <c r="E2020" s="86"/>
      <c r="F2020" s="63"/>
      <c r="G2020" s="96"/>
      <c r="H2020" s="63"/>
      <c r="I2020" s="63"/>
      <c r="J2020" s="63"/>
      <c r="K2020" s="63"/>
    </row>
    <row r="2021" spans="1:11" ht="20.25" customHeight="1" x14ac:dyDescent="0.3">
      <c r="A2021" s="90"/>
      <c r="B2021" s="84"/>
      <c r="C2021" s="7"/>
      <c r="D2021" s="85"/>
      <c r="E2021" s="86"/>
      <c r="F2021" s="63"/>
      <c r="G2021" s="96"/>
      <c r="H2021" s="63"/>
      <c r="I2021" s="63"/>
      <c r="J2021" s="63"/>
      <c r="K2021" s="63"/>
    </row>
    <row r="2022" spans="1:11" ht="20.25" customHeight="1" x14ac:dyDescent="0.3">
      <c r="A2022" s="90"/>
      <c r="B2022" s="84"/>
      <c r="C2022" s="7"/>
      <c r="D2022" s="85"/>
      <c r="E2022" s="86"/>
      <c r="F2022" s="63"/>
      <c r="G2022" s="96"/>
      <c r="H2022" s="63"/>
      <c r="I2022" s="63"/>
      <c r="J2022" s="63"/>
      <c r="K2022" s="63"/>
    </row>
    <row r="2023" spans="1:11" ht="20.25" customHeight="1" x14ac:dyDescent="0.3">
      <c r="A2023" s="90"/>
      <c r="B2023" s="84"/>
      <c r="C2023" s="7"/>
      <c r="D2023" s="85"/>
      <c r="E2023" s="86"/>
      <c r="F2023" s="63"/>
      <c r="G2023" s="96"/>
      <c r="H2023" s="63"/>
      <c r="I2023" s="63"/>
      <c r="J2023" s="63"/>
      <c r="K2023" s="63"/>
    </row>
    <row r="2024" spans="1:11" ht="20.25" customHeight="1" x14ac:dyDescent="0.3">
      <c r="A2024" s="90"/>
      <c r="B2024" s="84"/>
      <c r="C2024" s="7"/>
      <c r="D2024" s="85"/>
      <c r="E2024" s="86"/>
      <c r="F2024" s="63"/>
      <c r="G2024" s="96"/>
      <c r="H2024" s="63"/>
      <c r="I2024" s="63"/>
      <c r="J2024" s="63"/>
      <c r="K2024" s="63"/>
    </row>
    <row r="2025" spans="1:11" ht="20.25" customHeight="1" x14ac:dyDescent="0.3">
      <c r="A2025" s="90"/>
      <c r="B2025" s="84"/>
      <c r="C2025" s="7"/>
      <c r="D2025" s="85"/>
      <c r="E2025" s="86"/>
      <c r="F2025" s="63"/>
      <c r="G2025" s="96"/>
      <c r="H2025" s="63"/>
      <c r="I2025" s="63"/>
      <c r="J2025" s="63"/>
      <c r="K2025" s="63"/>
    </row>
    <row r="2026" spans="1:11" ht="20.25" customHeight="1" x14ac:dyDescent="0.3">
      <c r="A2026" s="90"/>
      <c r="B2026" s="84"/>
      <c r="C2026" s="7"/>
      <c r="D2026" s="85"/>
      <c r="E2026" s="86"/>
      <c r="F2026" s="63"/>
      <c r="G2026" s="96"/>
      <c r="H2026" s="63"/>
      <c r="I2026" s="63"/>
      <c r="J2026" s="63"/>
      <c r="K2026" s="63"/>
    </row>
    <row r="2027" spans="1:11" ht="20.25" customHeight="1" x14ac:dyDescent="0.3">
      <c r="A2027" s="90"/>
      <c r="B2027" s="84"/>
      <c r="C2027" s="7"/>
      <c r="D2027" s="85"/>
      <c r="E2027" s="86"/>
      <c r="F2027" s="63"/>
      <c r="G2027" s="96"/>
      <c r="H2027" s="63"/>
      <c r="I2027" s="63"/>
      <c r="J2027" s="63"/>
      <c r="K2027" s="63"/>
    </row>
    <row r="2028" spans="1:11" ht="20.25" customHeight="1" x14ac:dyDescent="0.3">
      <c r="A2028" s="90"/>
      <c r="B2028" s="84"/>
      <c r="C2028" s="7"/>
      <c r="D2028" s="85"/>
      <c r="E2028" s="86"/>
      <c r="F2028" s="63"/>
      <c r="G2028" s="96"/>
      <c r="H2028" s="63"/>
      <c r="I2028" s="63"/>
      <c r="J2028" s="63"/>
      <c r="K2028" s="63"/>
    </row>
    <row r="2029" spans="1:11" ht="20.25" customHeight="1" x14ac:dyDescent="0.3">
      <c r="A2029" s="90"/>
      <c r="B2029" s="84"/>
      <c r="C2029" s="7"/>
      <c r="D2029" s="85"/>
      <c r="E2029" s="86"/>
      <c r="F2029" s="63"/>
      <c r="G2029" s="96"/>
      <c r="H2029" s="63"/>
      <c r="I2029" s="63"/>
      <c r="J2029" s="63"/>
      <c r="K2029" s="63"/>
    </row>
    <row r="2030" spans="1:11" ht="20.25" customHeight="1" x14ac:dyDescent="0.3">
      <c r="A2030" s="90"/>
      <c r="B2030" s="84"/>
      <c r="C2030" s="7"/>
      <c r="D2030" s="85"/>
      <c r="E2030" s="86"/>
      <c r="F2030" s="63"/>
      <c r="G2030" s="96"/>
      <c r="H2030" s="63"/>
      <c r="I2030" s="63"/>
      <c r="J2030" s="63"/>
      <c r="K2030" s="63"/>
    </row>
    <row r="2031" spans="1:11" ht="20.25" customHeight="1" x14ac:dyDescent="0.3">
      <c r="A2031" s="90"/>
      <c r="B2031" s="84"/>
      <c r="C2031" s="7"/>
      <c r="D2031" s="85"/>
      <c r="E2031" s="86"/>
      <c r="F2031" s="63"/>
      <c r="G2031" s="96"/>
      <c r="H2031" s="63"/>
      <c r="I2031" s="63"/>
      <c r="J2031" s="63"/>
      <c r="K2031" s="63"/>
    </row>
    <row r="2032" spans="1:11" ht="20.25" customHeight="1" x14ac:dyDescent="0.3">
      <c r="A2032" s="90"/>
      <c r="B2032" s="84"/>
      <c r="C2032" s="7"/>
      <c r="D2032" s="85"/>
      <c r="E2032" s="86"/>
      <c r="F2032" s="63"/>
      <c r="G2032" s="96"/>
      <c r="H2032" s="63"/>
      <c r="I2032" s="63"/>
      <c r="J2032" s="63"/>
      <c r="K2032" s="63"/>
    </row>
    <row r="2033" spans="1:11" ht="20.25" customHeight="1" x14ac:dyDescent="0.3">
      <c r="A2033" s="90"/>
      <c r="B2033" s="84"/>
      <c r="C2033" s="7"/>
      <c r="D2033" s="85"/>
      <c r="E2033" s="86"/>
      <c r="F2033" s="63"/>
      <c r="G2033" s="96"/>
      <c r="H2033" s="63"/>
      <c r="I2033" s="63"/>
      <c r="J2033" s="63"/>
      <c r="K2033" s="63"/>
    </row>
    <row r="2034" spans="1:11" ht="20.25" customHeight="1" x14ac:dyDescent="0.3">
      <c r="A2034" s="90"/>
      <c r="B2034" s="84"/>
      <c r="C2034" s="7"/>
      <c r="D2034" s="85"/>
      <c r="E2034" s="86"/>
      <c r="F2034" s="63"/>
      <c r="G2034" s="96"/>
      <c r="H2034" s="63"/>
      <c r="I2034" s="63"/>
      <c r="J2034" s="63"/>
      <c r="K2034" s="63"/>
    </row>
    <row r="2035" spans="1:11" ht="20.25" customHeight="1" x14ac:dyDescent="0.3">
      <c r="A2035" s="90"/>
      <c r="B2035" s="84"/>
      <c r="C2035" s="7"/>
      <c r="D2035" s="85"/>
      <c r="E2035" s="86"/>
      <c r="F2035" s="63"/>
      <c r="G2035" s="96"/>
      <c r="H2035" s="63"/>
      <c r="I2035" s="63"/>
      <c r="J2035" s="63"/>
      <c r="K2035" s="63"/>
    </row>
    <row r="2036" spans="1:11" ht="20.25" customHeight="1" x14ac:dyDescent="0.3">
      <c r="A2036" s="90"/>
      <c r="B2036" s="84"/>
      <c r="C2036" s="7"/>
      <c r="D2036" s="85"/>
      <c r="E2036" s="86"/>
      <c r="F2036" s="63"/>
      <c r="G2036" s="96"/>
      <c r="H2036" s="63"/>
      <c r="I2036" s="63"/>
      <c r="J2036" s="63"/>
      <c r="K2036" s="63"/>
    </row>
    <row r="2037" spans="1:11" ht="20.25" customHeight="1" x14ac:dyDescent="0.3">
      <c r="A2037" s="90"/>
      <c r="B2037" s="84"/>
      <c r="C2037" s="7"/>
      <c r="D2037" s="85"/>
      <c r="E2037" s="86"/>
      <c r="F2037" s="63"/>
      <c r="G2037" s="96"/>
      <c r="H2037" s="63"/>
      <c r="I2037" s="63"/>
      <c r="J2037" s="63"/>
      <c r="K2037" s="63"/>
    </row>
    <row r="2038" spans="1:11" ht="20.25" customHeight="1" x14ac:dyDescent="0.3">
      <c r="A2038" s="90"/>
      <c r="B2038" s="84"/>
      <c r="C2038" s="7"/>
      <c r="D2038" s="85"/>
      <c r="E2038" s="86"/>
      <c r="F2038" s="63"/>
      <c r="G2038" s="96"/>
      <c r="H2038" s="63"/>
      <c r="I2038" s="63"/>
      <c r="J2038" s="63"/>
      <c r="K2038" s="63"/>
    </row>
    <row r="2039" spans="1:11" ht="20.25" customHeight="1" x14ac:dyDescent="0.3">
      <c r="A2039" s="90"/>
      <c r="B2039" s="84"/>
      <c r="C2039" s="7"/>
      <c r="D2039" s="85"/>
      <c r="E2039" s="86"/>
      <c r="F2039" s="63"/>
      <c r="G2039" s="96"/>
      <c r="H2039" s="63"/>
      <c r="I2039" s="63"/>
      <c r="J2039" s="63"/>
      <c r="K2039" s="63"/>
    </row>
    <row r="2040" spans="1:11" ht="20.25" customHeight="1" x14ac:dyDescent="0.3">
      <c r="A2040" s="90"/>
      <c r="B2040" s="84"/>
      <c r="C2040" s="7"/>
      <c r="D2040" s="85"/>
      <c r="E2040" s="86"/>
      <c r="F2040" s="63"/>
      <c r="G2040" s="96"/>
      <c r="H2040" s="63"/>
      <c r="I2040" s="63"/>
      <c r="J2040" s="63"/>
      <c r="K2040" s="63"/>
    </row>
    <row r="2041" spans="1:11" ht="20.25" customHeight="1" x14ac:dyDescent="0.3">
      <c r="A2041" s="90"/>
      <c r="B2041" s="84"/>
      <c r="C2041" s="7"/>
      <c r="D2041" s="85"/>
      <c r="E2041" s="86"/>
      <c r="F2041" s="63"/>
      <c r="G2041" s="96"/>
      <c r="H2041" s="63"/>
      <c r="I2041" s="63"/>
      <c r="J2041" s="63"/>
      <c r="K2041" s="63"/>
    </row>
    <row r="2042" spans="1:11" ht="20.25" customHeight="1" x14ac:dyDescent="0.3">
      <c r="A2042" s="90"/>
      <c r="B2042" s="84"/>
      <c r="C2042" s="7"/>
      <c r="D2042" s="85"/>
      <c r="E2042" s="86"/>
      <c r="F2042" s="63"/>
      <c r="G2042" s="96"/>
      <c r="H2042" s="63"/>
      <c r="I2042" s="63"/>
      <c r="J2042" s="63"/>
      <c r="K2042" s="63"/>
    </row>
    <row r="2043" spans="1:11" ht="20.25" customHeight="1" x14ac:dyDescent="0.3">
      <c r="A2043" s="90"/>
      <c r="B2043" s="84"/>
      <c r="C2043" s="7"/>
      <c r="D2043" s="85"/>
      <c r="E2043" s="86"/>
      <c r="F2043" s="63"/>
      <c r="G2043" s="96"/>
      <c r="H2043" s="63"/>
      <c r="I2043" s="63"/>
      <c r="J2043" s="63"/>
      <c r="K2043" s="63"/>
    </row>
    <row r="2044" spans="1:11" ht="20.25" customHeight="1" x14ac:dyDescent="0.3">
      <c r="A2044" s="90"/>
      <c r="B2044" s="84"/>
      <c r="C2044" s="7"/>
      <c r="D2044" s="85"/>
      <c r="E2044" s="86"/>
      <c r="F2044" s="63"/>
      <c r="G2044" s="96"/>
      <c r="H2044" s="63"/>
      <c r="I2044" s="63"/>
      <c r="J2044" s="63"/>
      <c r="K2044" s="63"/>
    </row>
    <row r="2045" spans="1:11" ht="20.25" customHeight="1" x14ac:dyDescent="0.3">
      <c r="A2045" s="90"/>
      <c r="B2045" s="84"/>
      <c r="C2045" s="7"/>
      <c r="D2045" s="85"/>
      <c r="E2045" s="86"/>
      <c r="F2045" s="63"/>
      <c r="G2045" s="96"/>
      <c r="H2045" s="63"/>
      <c r="I2045" s="63"/>
      <c r="J2045" s="63"/>
      <c r="K2045" s="63"/>
    </row>
    <row r="2046" spans="1:11" ht="20.25" customHeight="1" x14ac:dyDescent="0.3">
      <c r="A2046" s="90"/>
      <c r="B2046" s="84"/>
      <c r="C2046" s="7"/>
      <c r="D2046" s="85"/>
      <c r="E2046" s="86"/>
      <c r="F2046" s="63"/>
      <c r="G2046" s="96"/>
      <c r="H2046" s="63"/>
      <c r="I2046" s="63"/>
      <c r="J2046" s="63"/>
      <c r="K2046" s="63"/>
    </row>
    <row r="2047" spans="1:11" ht="20.25" customHeight="1" x14ac:dyDescent="0.3">
      <c r="A2047" s="90"/>
      <c r="B2047" s="84"/>
      <c r="C2047" s="7"/>
      <c r="D2047" s="85"/>
      <c r="E2047" s="86"/>
      <c r="F2047" s="63"/>
      <c r="G2047" s="96"/>
      <c r="H2047" s="63"/>
      <c r="I2047" s="63"/>
      <c r="J2047" s="63"/>
      <c r="K2047" s="63"/>
    </row>
    <row r="2048" spans="1:11" ht="20.25" customHeight="1" x14ac:dyDescent="0.3">
      <c r="A2048" s="90"/>
      <c r="B2048" s="84"/>
      <c r="C2048" s="7"/>
      <c r="D2048" s="85"/>
      <c r="E2048" s="86"/>
      <c r="F2048" s="63"/>
      <c r="G2048" s="96"/>
      <c r="H2048" s="63"/>
      <c r="I2048" s="63"/>
      <c r="J2048" s="63"/>
      <c r="K2048" s="63"/>
    </row>
    <row r="2049" spans="1:11" ht="20.25" customHeight="1" x14ac:dyDescent="0.3">
      <c r="A2049" s="90"/>
      <c r="B2049" s="84"/>
      <c r="C2049" s="7"/>
      <c r="D2049" s="85"/>
      <c r="E2049" s="86"/>
      <c r="F2049" s="63"/>
      <c r="G2049" s="96"/>
      <c r="H2049" s="63"/>
      <c r="I2049" s="63"/>
      <c r="J2049" s="63"/>
      <c r="K2049" s="63"/>
    </row>
    <row r="2050" spans="1:11" ht="20.25" customHeight="1" x14ac:dyDescent="0.3">
      <c r="A2050" s="90"/>
      <c r="B2050" s="84"/>
      <c r="C2050" s="7"/>
      <c r="D2050" s="85"/>
      <c r="E2050" s="86"/>
      <c r="F2050" s="63"/>
      <c r="G2050" s="96"/>
      <c r="H2050" s="63"/>
      <c r="I2050" s="63"/>
      <c r="J2050" s="63"/>
      <c r="K2050" s="63"/>
    </row>
    <row r="2051" spans="1:11" ht="20.25" customHeight="1" x14ac:dyDescent="0.3">
      <c r="A2051" s="90"/>
      <c r="B2051" s="84"/>
      <c r="C2051" s="7"/>
      <c r="D2051" s="85"/>
      <c r="E2051" s="86"/>
      <c r="F2051" s="63"/>
      <c r="G2051" s="96"/>
      <c r="H2051" s="63"/>
      <c r="I2051" s="63"/>
      <c r="J2051" s="63"/>
      <c r="K2051" s="63"/>
    </row>
    <row r="2052" spans="1:11" ht="20.25" customHeight="1" x14ac:dyDescent="0.3">
      <c r="A2052" s="90"/>
      <c r="B2052" s="84"/>
      <c r="C2052" s="7"/>
      <c r="D2052" s="85"/>
      <c r="E2052" s="86"/>
      <c r="F2052" s="63"/>
      <c r="G2052" s="96"/>
      <c r="H2052" s="63"/>
      <c r="I2052" s="63"/>
      <c r="J2052" s="63"/>
      <c r="K2052" s="63"/>
    </row>
    <row r="2053" spans="1:11" ht="20.25" customHeight="1" x14ac:dyDescent="0.3">
      <c r="A2053" s="90"/>
      <c r="B2053" s="84"/>
      <c r="C2053" s="7"/>
      <c r="D2053" s="85"/>
      <c r="E2053" s="86"/>
      <c r="F2053" s="63"/>
      <c r="G2053" s="96"/>
      <c r="H2053" s="63"/>
      <c r="I2053" s="63"/>
      <c r="J2053" s="63"/>
      <c r="K2053" s="63"/>
    </row>
    <row r="2054" spans="1:11" ht="20.25" customHeight="1" x14ac:dyDescent="0.3">
      <c r="A2054" s="90"/>
      <c r="B2054" s="84"/>
      <c r="C2054" s="7"/>
      <c r="D2054" s="85"/>
      <c r="E2054" s="86"/>
      <c r="F2054" s="63"/>
      <c r="G2054" s="96"/>
      <c r="H2054" s="63"/>
      <c r="I2054" s="63"/>
      <c r="J2054" s="63"/>
      <c r="K2054" s="63"/>
    </row>
    <row r="2055" spans="1:11" ht="20.25" customHeight="1" x14ac:dyDescent="0.3">
      <c r="A2055" s="90"/>
      <c r="B2055" s="84"/>
      <c r="C2055" s="7"/>
      <c r="D2055" s="85"/>
      <c r="E2055" s="86"/>
      <c r="F2055" s="63"/>
      <c r="G2055" s="96"/>
      <c r="H2055" s="63"/>
      <c r="I2055" s="63"/>
      <c r="J2055" s="63"/>
      <c r="K2055" s="63"/>
    </row>
    <row r="2056" spans="1:11" ht="20.25" customHeight="1" x14ac:dyDescent="0.3">
      <c r="A2056" s="90"/>
      <c r="B2056" s="84"/>
      <c r="C2056" s="7"/>
      <c r="D2056" s="85"/>
      <c r="E2056" s="86"/>
      <c r="F2056" s="63"/>
      <c r="G2056" s="96"/>
      <c r="H2056" s="63"/>
      <c r="I2056" s="63"/>
      <c r="J2056" s="63"/>
      <c r="K2056" s="63"/>
    </row>
    <row r="2057" spans="1:11" ht="20.25" customHeight="1" x14ac:dyDescent="0.3">
      <c r="A2057" s="90"/>
      <c r="B2057" s="84"/>
      <c r="C2057" s="7"/>
      <c r="D2057" s="85"/>
      <c r="E2057" s="86"/>
      <c r="F2057" s="63"/>
      <c r="G2057" s="96"/>
      <c r="H2057" s="63"/>
      <c r="I2057" s="63"/>
      <c r="J2057" s="63"/>
      <c r="K2057" s="63"/>
    </row>
    <row r="2058" spans="1:11" ht="20.25" customHeight="1" x14ac:dyDescent="0.3">
      <c r="A2058" s="90"/>
      <c r="B2058" s="84"/>
      <c r="C2058" s="7"/>
      <c r="D2058" s="85"/>
      <c r="E2058" s="86"/>
      <c r="F2058" s="63"/>
      <c r="G2058" s="96"/>
      <c r="H2058" s="63"/>
      <c r="I2058" s="63"/>
      <c r="J2058" s="63"/>
      <c r="K2058" s="63"/>
    </row>
    <row r="2059" spans="1:11" ht="20.25" customHeight="1" x14ac:dyDescent="0.3">
      <c r="A2059" s="90"/>
      <c r="B2059" s="84"/>
      <c r="C2059" s="7"/>
      <c r="D2059" s="85"/>
      <c r="E2059" s="86"/>
      <c r="F2059" s="63"/>
      <c r="G2059" s="96"/>
      <c r="H2059" s="63"/>
      <c r="I2059" s="63"/>
      <c r="J2059" s="63"/>
      <c r="K2059" s="63"/>
    </row>
    <row r="2060" spans="1:11" ht="20.25" customHeight="1" x14ac:dyDescent="0.3">
      <c r="A2060" s="90"/>
      <c r="B2060" s="84"/>
      <c r="C2060" s="7"/>
      <c r="D2060" s="85"/>
      <c r="E2060" s="86"/>
      <c r="F2060" s="63"/>
      <c r="G2060" s="96"/>
      <c r="H2060" s="63"/>
      <c r="I2060" s="63"/>
      <c r="J2060" s="63"/>
      <c r="K2060" s="63"/>
    </row>
    <row r="2061" spans="1:11" ht="20.25" customHeight="1" x14ac:dyDescent="0.3">
      <c r="A2061" s="90"/>
      <c r="B2061" s="84"/>
      <c r="C2061" s="7"/>
      <c r="D2061" s="85"/>
      <c r="E2061" s="86"/>
      <c r="F2061" s="63"/>
      <c r="G2061" s="96"/>
      <c r="H2061" s="63"/>
      <c r="I2061" s="63"/>
      <c r="J2061" s="63"/>
      <c r="K2061" s="63"/>
    </row>
    <row r="2062" spans="1:11" ht="20.25" customHeight="1" x14ac:dyDescent="0.3">
      <c r="A2062" s="90"/>
      <c r="B2062" s="84"/>
      <c r="C2062" s="7"/>
      <c r="D2062" s="85"/>
      <c r="E2062" s="86"/>
      <c r="F2062" s="63"/>
      <c r="G2062" s="96"/>
      <c r="H2062" s="63"/>
      <c r="I2062" s="63"/>
      <c r="J2062" s="63"/>
      <c r="K2062" s="63"/>
    </row>
    <row r="2063" spans="1:11" ht="20.25" customHeight="1" x14ac:dyDescent="0.3">
      <c r="A2063" s="90"/>
      <c r="B2063" s="84"/>
      <c r="C2063" s="7"/>
      <c r="D2063" s="85"/>
      <c r="E2063" s="86"/>
      <c r="F2063" s="63"/>
      <c r="G2063" s="96"/>
      <c r="H2063" s="63"/>
      <c r="I2063" s="63"/>
      <c r="J2063" s="63"/>
      <c r="K2063" s="63"/>
    </row>
    <row r="2064" spans="1:11" ht="20.25" customHeight="1" x14ac:dyDescent="0.3">
      <c r="A2064" s="90"/>
      <c r="B2064" s="84"/>
      <c r="C2064" s="7"/>
      <c r="D2064" s="85"/>
      <c r="E2064" s="86"/>
      <c r="F2064" s="63"/>
      <c r="G2064" s="96"/>
      <c r="H2064" s="63"/>
      <c r="I2064" s="63"/>
      <c r="J2064" s="63"/>
      <c r="K2064" s="63"/>
    </row>
    <row r="2065" spans="1:11" ht="20.25" customHeight="1" x14ac:dyDescent="0.3">
      <c r="A2065" s="90"/>
      <c r="B2065" s="84"/>
      <c r="C2065" s="7"/>
      <c r="D2065" s="85"/>
      <c r="E2065" s="86"/>
      <c r="F2065" s="63"/>
      <c r="G2065" s="96"/>
      <c r="H2065" s="63"/>
      <c r="I2065" s="63"/>
      <c r="J2065" s="63"/>
      <c r="K2065" s="63"/>
    </row>
    <row r="2066" spans="1:11" ht="20.25" customHeight="1" x14ac:dyDescent="0.3">
      <c r="A2066" s="90"/>
      <c r="B2066" s="84"/>
      <c r="C2066" s="7"/>
      <c r="D2066" s="85"/>
      <c r="E2066" s="86"/>
      <c r="F2066" s="63"/>
      <c r="G2066" s="96"/>
      <c r="H2066" s="63"/>
      <c r="I2066" s="63"/>
      <c r="J2066" s="63"/>
      <c r="K2066" s="63"/>
    </row>
    <row r="2067" spans="1:11" ht="20.25" customHeight="1" x14ac:dyDescent="0.3">
      <c r="A2067" s="90"/>
      <c r="B2067" s="84"/>
      <c r="C2067" s="7"/>
      <c r="D2067" s="85"/>
      <c r="E2067" s="86"/>
      <c r="F2067" s="63"/>
      <c r="G2067" s="96"/>
      <c r="H2067" s="63"/>
      <c r="I2067" s="63"/>
      <c r="J2067" s="63"/>
      <c r="K2067" s="63"/>
    </row>
    <row r="2068" spans="1:11" ht="20.25" customHeight="1" x14ac:dyDescent="0.3"/>
    <row r="2069" spans="1:11" ht="9.75" customHeight="1" x14ac:dyDescent="0.3"/>
    <row r="2070" spans="1:11" ht="59.25" customHeight="1" x14ac:dyDescent="0.3"/>
    <row r="2071" spans="1:11" ht="9" customHeight="1" x14ac:dyDescent="0.3"/>
    <row r="2072" spans="1:11" ht="17.25" customHeight="1" x14ac:dyDescent="0.3"/>
    <row r="2073" spans="1:11" ht="33" customHeight="1" x14ac:dyDescent="0.3"/>
    <row r="2074" spans="1:11" ht="17.25" customHeight="1" x14ac:dyDescent="0.3"/>
    <row r="2079" spans="1:11" ht="51" customHeight="1" x14ac:dyDescent="0.3"/>
    <row r="2080" spans="1:11" ht="18" customHeight="1" x14ac:dyDescent="0.3">
      <c r="A2080" s="82"/>
      <c r="B2080" s="82"/>
      <c r="C2080" s="82"/>
      <c r="D2080" s="82"/>
      <c r="E2080" s="82"/>
      <c r="F2080" s="82"/>
    </row>
  </sheetData>
  <mergeCells count="5">
    <mergeCell ref="D13:H13"/>
    <mergeCell ref="D2:I2"/>
    <mergeCell ref="J5:K5"/>
    <mergeCell ref="J6:K6"/>
    <mergeCell ref="F8:I10"/>
  </mergeCells>
  <dataValidations count="3">
    <dataValidation type="list" allowBlank="1" showInputMessage="1" showErrorMessage="1" sqref="G6">
      <formula1>ValidPerioder</formula1>
    </dataValidation>
    <dataValidation type="textLength" errorStyle="warning" operator="equal" showInputMessage="1" showErrorMessage="1" errorTitle="Fel format för kurskod" sqref="B6">
      <formula1>6</formula1>
    </dataValidation>
    <dataValidation type="list" allowBlank="1" showInputMessage="1" showErrorMessage="1" sqref="C6">
      <formula1>DynamicCourseAddition</formula1>
    </dataValidation>
  </dataValidations>
  <printOptions horizontalCentered="1"/>
  <pageMargins left="0.25" right="0.25" top="0.75" bottom="0.75" header="0.3" footer="0.3"/>
  <pageSetup scale="66" fitToHeight="0" orientation="portrait" r:id="rId1"/>
  <headerFooter differentFirst="1">
    <oddFooter>Page &amp;P of &amp;N</oddFooter>
  </headerFooter>
  <drawing r:id="rId2"/>
  <legacyDrawing r:id="rId3"/>
  <controls>
    <mc:AlternateContent xmlns:mc="http://schemas.openxmlformats.org/markup-compatibility/2006">
      <mc:Choice Requires="x14">
        <control shapeId="3074" r:id="rId4" name="CommandButton1">
          <controlPr autoLine="0" r:id="rId5">
            <anchor moveWithCells="1">
              <from>
                <xdr:col>1</xdr:col>
                <xdr:colOff>981075</xdr:colOff>
                <xdr:row>7</xdr:row>
                <xdr:rowOff>523875</xdr:rowOff>
              </from>
              <to>
                <xdr:col>3</xdr:col>
                <xdr:colOff>95250</xdr:colOff>
                <xdr:row>9</xdr:row>
                <xdr:rowOff>285750</xdr:rowOff>
              </to>
            </anchor>
          </controlPr>
        </control>
      </mc:Choice>
      <mc:Fallback>
        <control shapeId="3074" r:id="rId4" name="CommandButton1"/>
      </mc:Fallback>
    </mc:AlternateContent>
    <mc:AlternateContent xmlns:mc="http://schemas.openxmlformats.org/markup-compatibility/2006">
      <mc:Choice Requires="x14">
        <control shapeId="3086" r:id="rId6" name="Drop Down 14">
          <controlPr defaultSize="0" autoLine="0" autoPict="0" macro="[0]!Nedrullningsbarlistruta14_Ändra">
            <anchor moveWithCells="1">
              <from>
                <xdr:col>0</xdr:col>
                <xdr:colOff>180975</xdr:colOff>
                <xdr:row>8</xdr:row>
                <xdr:rowOff>47625</xdr:rowOff>
              </from>
              <to>
                <xdr:col>1</xdr:col>
                <xdr:colOff>828675</xdr:colOff>
                <xdr:row>9</xdr:row>
                <xdr:rowOff>123825</xdr:rowOff>
              </to>
            </anchor>
          </controlPr>
        </control>
      </mc:Choice>
    </mc:AlternateContent>
  </controls>
  <tableParts count="1">
    <tablePart r:id="rId7"/>
  </tableParts>
  <extLst>
    <ext xmlns:x14="http://schemas.microsoft.com/office/spreadsheetml/2009/9/main" uri="{CCE6A557-97BC-4b89-ADB6-D9C93CAAB3DF}">
      <x14:dataValidations xmlns:xm="http://schemas.microsoft.com/office/excel/2006/main" count="2">
        <x14:dataValidation type="list" allowBlank="1" showInputMessage="1" showErrorMessage="1">
          <x14:formula1>
            <xm:f>Konstanter!$L$6:$L$10</xm:f>
          </x14:formula1>
          <xm:sqref>I6:J6</xm:sqref>
        </x14:dataValidation>
        <x14:dataValidation type="list" allowBlank="1" showInputMessage="1" showErrorMessage="1">
          <x14:formula1>
            <xm:f>Konstanter!$F$6:$F$8</xm:f>
          </x14:formula1>
          <xm:sqref>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9">
    <tabColor rgb="FF0070C0"/>
  </sheetPr>
  <dimension ref="A1:AH36"/>
  <sheetViews>
    <sheetView workbookViewId="0">
      <selection activeCell="B7" sqref="B7"/>
    </sheetView>
  </sheetViews>
  <sheetFormatPr defaultRowHeight="15" x14ac:dyDescent="0.3"/>
  <cols>
    <col min="1" max="1" width="3.375" style="22" customWidth="1"/>
    <col min="2" max="2" width="32.25" style="22" customWidth="1"/>
    <col min="3" max="3" width="16.625" style="22" bestFit="1" customWidth="1"/>
    <col min="4" max="4" width="15.375" style="22" bestFit="1" customWidth="1"/>
    <col min="5" max="5" width="15" style="22" bestFit="1" customWidth="1"/>
    <col min="6" max="6" width="4.375" style="22" customWidth="1"/>
    <col min="7" max="7" width="33.25" style="22" customWidth="1"/>
    <col min="8" max="8" width="36.5" style="22" bestFit="1" customWidth="1"/>
    <col min="9" max="9" width="16.625" style="22" bestFit="1" customWidth="1"/>
    <col min="10" max="10" width="24" style="22" bestFit="1" customWidth="1"/>
    <col min="11" max="11" width="20.75" style="22" bestFit="1" customWidth="1"/>
    <col min="12" max="16384" width="9" style="22"/>
  </cols>
  <sheetData>
    <row r="1" spans="1:34" ht="9" customHeight="1" x14ac:dyDescent="0.3">
      <c r="A1" s="1"/>
      <c r="B1" s="1"/>
      <c r="C1" s="1"/>
      <c r="D1" s="1"/>
      <c r="E1" s="1"/>
      <c r="F1" s="1"/>
      <c r="G1" s="1"/>
      <c r="H1" s="1"/>
      <c r="I1" s="1"/>
      <c r="J1" s="1"/>
      <c r="K1" s="1"/>
      <c r="L1" s="1"/>
      <c r="M1" s="1"/>
      <c r="N1" s="1"/>
      <c r="O1" s="1"/>
      <c r="P1" s="1"/>
      <c r="Q1" s="1"/>
      <c r="R1" s="1"/>
      <c r="S1" s="1"/>
      <c r="T1" s="1"/>
      <c r="U1" s="43"/>
      <c r="V1" s="43"/>
      <c r="W1" s="43"/>
      <c r="X1" s="43"/>
      <c r="Y1" s="43"/>
      <c r="Z1" s="43"/>
      <c r="AA1" s="43"/>
      <c r="AB1" s="43"/>
      <c r="AC1" s="43"/>
      <c r="AD1" s="43"/>
      <c r="AE1" s="43"/>
      <c r="AF1" s="43"/>
      <c r="AG1" s="43"/>
      <c r="AH1" s="43"/>
    </row>
    <row r="2" spans="1:34" ht="51" customHeight="1" x14ac:dyDescent="0.3">
      <c r="A2" s="111" t="s">
        <v>175</v>
      </c>
      <c r="B2" s="4"/>
      <c r="C2" s="1"/>
      <c r="D2" s="6"/>
      <c r="E2" s="299" t="str">
        <f>'Ditt informationsblad'!$E$2</f>
        <v>Civilingenjör i Industriell Ekonomi</v>
      </c>
      <c r="F2" s="300"/>
      <c r="G2" s="300"/>
      <c r="H2" s="300"/>
      <c r="I2" s="300"/>
      <c r="J2" s="300"/>
      <c r="K2" s="176"/>
      <c r="L2" s="176"/>
      <c r="M2" s="176"/>
      <c r="N2" s="176"/>
      <c r="O2" s="1"/>
      <c r="P2" s="1"/>
      <c r="Q2" s="1"/>
      <c r="R2" s="1"/>
      <c r="S2" s="1"/>
      <c r="T2" s="1"/>
      <c r="U2" s="43"/>
      <c r="V2" s="43"/>
      <c r="W2" s="43"/>
      <c r="X2" s="43"/>
      <c r="Y2" s="43"/>
      <c r="Z2" s="43"/>
      <c r="AA2" s="43"/>
      <c r="AB2" s="43"/>
      <c r="AC2" s="43"/>
      <c r="AD2" s="43"/>
      <c r="AE2" s="43"/>
      <c r="AF2" s="43"/>
      <c r="AG2" s="43"/>
      <c r="AH2" s="43"/>
    </row>
    <row r="3" spans="1:34" ht="9" customHeight="1" x14ac:dyDescent="0.3">
      <c r="A3" s="1"/>
      <c r="B3" s="1"/>
      <c r="C3" s="1"/>
      <c r="D3" s="1"/>
      <c r="E3" s="1"/>
      <c r="F3" s="1"/>
      <c r="G3" s="1"/>
      <c r="H3" s="1"/>
      <c r="I3" s="1"/>
      <c r="J3" s="1"/>
      <c r="K3" s="1"/>
      <c r="L3" s="1"/>
      <c r="M3" s="1"/>
      <c r="N3" s="1"/>
      <c r="O3" s="1"/>
      <c r="P3" s="1"/>
      <c r="Q3" s="1"/>
      <c r="R3" s="1"/>
      <c r="S3" s="1"/>
      <c r="T3" s="1"/>
      <c r="U3" s="43"/>
      <c r="V3" s="43"/>
      <c r="W3" s="43"/>
      <c r="X3" s="43"/>
      <c r="Y3" s="43"/>
      <c r="Z3" s="43"/>
      <c r="AA3" s="43"/>
      <c r="AB3" s="43"/>
      <c r="AC3" s="43"/>
      <c r="AD3" s="43"/>
      <c r="AE3" s="43"/>
      <c r="AF3" s="43"/>
      <c r="AG3" s="43"/>
      <c r="AH3" s="43"/>
    </row>
    <row r="6" spans="1:34" ht="26.25" customHeight="1" x14ac:dyDescent="0.3">
      <c r="D6" s="298" t="s">
        <v>187</v>
      </c>
      <c r="E6" s="298"/>
      <c r="F6" s="186"/>
      <c r="G6" s="186"/>
      <c r="H6" s="186"/>
      <c r="I6" s="186"/>
    </row>
    <row r="7" spans="1:34" ht="23.25" customHeight="1" x14ac:dyDescent="0.3">
      <c r="B7" s="183" t="s">
        <v>11</v>
      </c>
      <c r="C7" s="183" t="s">
        <v>10</v>
      </c>
      <c r="D7" s="183" t="s">
        <v>188</v>
      </c>
      <c r="E7" s="183" t="s">
        <v>189</v>
      </c>
      <c r="F7" s="185"/>
      <c r="G7" s="184" t="s">
        <v>11</v>
      </c>
      <c r="H7" s="184" t="s">
        <v>2031</v>
      </c>
      <c r="I7" s="183" t="s">
        <v>10</v>
      </c>
      <c r="J7" s="183" t="s">
        <v>52</v>
      </c>
      <c r="K7" s="183" t="s">
        <v>56</v>
      </c>
    </row>
    <row r="8" spans="1:34" ht="19.5" customHeight="1" x14ac:dyDescent="0.3">
      <c r="B8" s="22" t="s">
        <v>2041</v>
      </c>
      <c r="C8" s="180">
        <v>2007</v>
      </c>
      <c r="D8" s="180">
        <f>VLOOKUP(PoängTabell[[#This Row],[Program]],AvailablePrograms[],2,FALSE)</f>
        <v>300</v>
      </c>
      <c r="E8" s="180">
        <v>90</v>
      </c>
      <c r="F8" s="180"/>
      <c r="G8" s="187" t="s">
        <v>2041</v>
      </c>
      <c r="H8" s="187" t="s">
        <v>21</v>
      </c>
      <c r="I8" s="180" t="s">
        <v>2032</v>
      </c>
      <c r="J8" s="180">
        <v>60</v>
      </c>
      <c r="K8" s="180">
        <v>0</v>
      </c>
    </row>
    <row r="9" spans="1:34" ht="19.5" customHeight="1" x14ac:dyDescent="0.3">
      <c r="B9" s="22" t="s">
        <v>2041</v>
      </c>
      <c r="C9" s="180">
        <v>2008</v>
      </c>
      <c r="D9" s="180">
        <f>VLOOKUP(PoängTabell[[#This Row],[Program]],AvailablePrograms[],2,FALSE)</f>
        <v>300</v>
      </c>
      <c r="E9" s="180">
        <v>90</v>
      </c>
      <c r="G9" s="187" t="s">
        <v>2041</v>
      </c>
      <c r="H9" s="187" t="s">
        <v>29</v>
      </c>
      <c r="I9" s="180" t="s">
        <v>2032</v>
      </c>
      <c r="J9" s="180">
        <v>60</v>
      </c>
      <c r="K9" s="180">
        <v>0</v>
      </c>
    </row>
    <row r="10" spans="1:34" ht="19.5" customHeight="1" x14ac:dyDescent="0.3">
      <c r="B10" s="22" t="s">
        <v>2041</v>
      </c>
      <c r="C10" s="180">
        <v>2009</v>
      </c>
      <c r="D10" s="180">
        <f>VLOOKUP(PoängTabell[[#This Row],[Program]],AvailablePrograms[],2,FALSE)</f>
        <v>300</v>
      </c>
      <c r="E10" s="180">
        <v>90</v>
      </c>
      <c r="G10" s="187" t="s">
        <v>2041</v>
      </c>
      <c r="H10" s="187" t="s">
        <v>32</v>
      </c>
      <c r="I10" s="180" t="s">
        <v>2032</v>
      </c>
      <c r="J10" s="180">
        <v>60</v>
      </c>
      <c r="K10" s="180">
        <v>0</v>
      </c>
    </row>
    <row r="11" spans="1:34" ht="19.5" customHeight="1" x14ac:dyDescent="0.3">
      <c r="B11" s="22" t="s">
        <v>2041</v>
      </c>
      <c r="C11" s="180">
        <v>2010</v>
      </c>
      <c r="D11" s="180">
        <f>VLOOKUP(PoängTabell[[#This Row],[Program]],AvailablePrograms[],2,FALSE)</f>
        <v>300</v>
      </c>
      <c r="E11" s="180">
        <v>90</v>
      </c>
      <c r="G11" s="187" t="s">
        <v>2041</v>
      </c>
      <c r="H11" s="187" t="s">
        <v>31</v>
      </c>
      <c r="I11" s="180">
        <v>2011</v>
      </c>
      <c r="J11" s="180">
        <v>60</v>
      </c>
      <c r="K11" s="180">
        <v>0</v>
      </c>
    </row>
    <row r="12" spans="1:34" ht="19.5" customHeight="1" x14ac:dyDescent="0.3">
      <c r="B12" s="22" t="s">
        <v>2041</v>
      </c>
      <c r="C12" s="180">
        <v>2011</v>
      </c>
      <c r="D12" s="180">
        <f>VLOOKUP(PoängTabell[[#This Row],[Program]],AvailablePrograms[],2,FALSE)</f>
        <v>300</v>
      </c>
      <c r="E12" s="180">
        <v>90</v>
      </c>
      <c r="G12" s="187" t="s">
        <v>2041</v>
      </c>
      <c r="H12" s="187" t="s">
        <v>30</v>
      </c>
      <c r="I12" s="180">
        <v>2011</v>
      </c>
      <c r="J12" s="180">
        <v>60</v>
      </c>
      <c r="K12" s="180">
        <v>0</v>
      </c>
    </row>
    <row r="13" spans="1:34" ht="19.5" customHeight="1" x14ac:dyDescent="0.3">
      <c r="B13" s="22" t="s">
        <v>2041</v>
      </c>
      <c r="C13" s="180">
        <v>2012</v>
      </c>
      <c r="D13" s="180">
        <f>VLOOKUP(PoängTabell[[#This Row],[Program]],AvailablePrograms[],2,FALSE)</f>
        <v>300</v>
      </c>
      <c r="E13" s="180">
        <v>90</v>
      </c>
      <c r="G13" s="187" t="s">
        <v>2041</v>
      </c>
      <c r="H13" s="187" t="s">
        <v>27</v>
      </c>
      <c r="I13" s="180" t="s">
        <v>2032</v>
      </c>
      <c r="J13" s="180">
        <v>0</v>
      </c>
      <c r="K13" s="180">
        <v>30</v>
      </c>
    </row>
    <row r="14" spans="1:34" ht="19.5" customHeight="1" x14ac:dyDescent="0.3">
      <c r="B14" s="22" t="s">
        <v>2041</v>
      </c>
      <c r="C14" s="180">
        <v>2013</v>
      </c>
      <c r="D14" s="180">
        <f>VLOOKUP(PoängTabell[[#This Row],[Program]],AvailablePrograms[],2,FALSE)</f>
        <v>300</v>
      </c>
      <c r="E14" s="180">
        <v>90</v>
      </c>
      <c r="G14" s="187" t="s">
        <v>2041</v>
      </c>
      <c r="H14" s="187" t="s">
        <v>100</v>
      </c>
      <c r="I14" s="180" t="s">
        <v>2032</v>
      </c>
      <c r="J14" s="180">
        <v>0</v>
      </c>
      <c r="K14" s="180">
        <v>30</v>
      </c>
    </row>
    <row r="15" spans="1:34" ht="19.5" customHeight="1" x14ac:dyDescent="0.3">
      <c r="B15" s="22" t="s">
        <v>2041</v>
      </c>
      <c r="C15" s="180">
        <v>2014</v>
      </c>
      <c r="D15" s="180">
        <f>VLOOKUP(PoängTabell[[#This Row],[Program]],AvailablePrograms[],2,FALSE)</f>
        <v>300</v>
      </c>
      <c r="E15" s="180">
        <v>90</v>
      </c>
      <c r="G15" s="187" t="s">
        <v>2041</v>
      </c>
      <c r="H15" s="187" t="s">
        <v>65</v>
      </c>
      <c r="I15" s="180" t="s">
        <v>2032</v>
      </c>
      <c r="J15" s="180">
        <v>0</v>
      </c>
      <c r="K15" s="180">
        <v>30</v>
      </c>
    </row>
    <row r="16" spans="1:34" ht="19.5" customHeight="1" x14ac:dyDescent="0.3">
      <c r="G16" s="187" t="s">
        <v>2041</v>
      </c>
      <c r="H16" s="187" t="s">
        <v>101</v>
      </c>
      <c r="I16" s="180" t="s">
        <v>2032</v>
      </c>
      <c r="J16" s="180">
        <v>0</v>
      </c>
      <c r="K16" s="180">
        <v>30</v>
      </c>
    </row>
    <row r="17" spans="7:11" ht="19.5" customHeight="1" x14ac:dyDescent="0.3">
      <c r="G17" s="187" t="s">
        <v>2041</v>
      </c>
      <c r="H17" s="187" t="s">
        <v>99</v>
      </c>
      <c r="I17" s="180" t="s">
        <v>2032</v>
      </c>
      <c r="J17" s="180">
        <v>0</v>
      </c>
      <c r="K17" s="180">
        <v>30</v>
      </c>
    </row>
    <row r="18" spans="7:11" ht="19.5" customHeight="1" x14ac:dyDescent="0.3">
      <c r="G18" s="187" t="s">
        <v>2041</v>
      </c>
      <c r="H18" s="187" t="s">
        <v>102</v>
      </c>
      <c r="I18" s="180" t="s">
        <v>2032</v>
      </c>
      <c r="J18" s="180">
        <v>0</v>
      </c>
      <c r="K18" s="180">
        <v>30</v>
      </c>
    </row>
    <row r="19" spans="7:11" ht="19.5" customHeight="1" x14ac:dyDescent="0.3">
      <c r="G19" s="187" t="s">
        <v>2041</v>
      </c>
      <c r="H19" s="187" t="s">
        <v>103</v>
      </c>
      <c r="I19" s="180" t="s">
        <v>2032</v>
      </c>
      <c r="J19" s="180">
        <v>0</v>
      </c>
      <c r="K19" s="180">
        <v>30</v>
      </c>
    </row>
    <row r="20" spans="7:11" ht="19.5" customHeight="1" x14ac:dyDescent="0.3">
      <c r="G20" s="187" t="s">
        <v>2041</v>
      </c>
      <c r="H20" s="187" t="s">
        <v>104</v>
      </c>
      <c r="I20" s="180">
        <v>2010</v>
      </c>
      <c r="J20" s="180">
        <v>0</v>
      </c>
      <c r="K20" s="180">
        <v>30</v>
      </c>
    </row>
    <row r="21" spans="7:11" ht="19.5" customHeight="1" x14ac:dyDescent="0.3"/>
    <row r="22" spans="7:11" ht="19.5" customHeight="1" x14ac:dyDescent="0.3"/>
    <row r="23" spans="7:11" ht="19.5" customHeight="1" x14ac:dyDescent="0.3"/>
    <row r="24" spans="7:11" ht="19.5" customHeight="1" x14ac:dyDescent="0.3"/>
    <row r="25" spans="7:11" ht="19.5" customHeight="1" x14ac:dyDescent="0.3"/>
    <row r="26" spans="7:11" ht="19.5" customHeight="1" x14ac:dyDescent="0.3"/>
    <row r="27" spans="7:11" ht="19.5" customHeight="1" x14ac:dyDescent="0.3"/>
    <row r="28" spans="7:11" ht="19.5" customHeight="1" x14ac:dyDescent="0.3"/>
    <row r="29" spans="7:11" ht="19.5" customHeight="1" x14ac:dyDescent="0.3"/>
    <row r="30" spans="7:11" ht="19.5" customHeight="1" x14ac:dyDescent="0.3"/>
    <row r="31" spans="7:11" ht="19.5" customHeight="1" x14ac:dyDescent="0.3"/>
    <row r="32" spans="7:11" ht="19.5" customHeight="1" x14ac:dyDescent="0.3"/>
    <row r="33" ht="19.5" customHeight="1" x14ac:dyDescent="0.3"/>
    <row r="34" ht="19.5" customHeight="1" x14ac:dyDescent="0.3"/>
    <row r="35" ht="19.5" customHeight="1" x14ac:dyDescent="0.3"/>
    <row r="36" ht="19.5" customHeight="1" x14ac:dyDescent="0.3"/>
  </sheetData>
  <mergeCells count="2">
    <mergeCell ref="D6:E6"/>
    <mergeCell ref="E2:J2"/>
  </mergeCells>
  <pageMargins left="0.7" right="0.7" top="0.75" bottom="0.75" header="0.3" footer="0.3"/>
  <tableParts count="2">
    <tablePart r:id="rId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'Program och examenskrav'!$E$6:$E$16</xm:f>
          </x14:formula1>
          <xm:sqref>B8:B15 G8:G20</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5">
    <tabColor rgb="FF0070C0"/>
    <pageSetUpPr autoPageBreaks="0" fitToPage="1"/>
  </sheetPr>
  <dimension ref="A1:N142"/>
  <sheetViews>
    <sheetView showGridLines="0" zoomScaleNormal="100" workbookViewId="0">
      <selection activeCell="E6" sqref="E6"/>
    </sheetView>
  </sheetViews>
  <sheetFormatPr defaultRowHeight="18" customHeight="1" x14ac:dyDescent="0.3"/>
  <cols>
    <col min="1" max="1" width="41.25" bestFit="1" customWidth="1"/>
    <col min="2" max="2" width="18.875" customWidth="1"/>
    <col min="3" max="4" width="12" customWidth="1"/>
    <col min="5" max="5" width="42.625" customWidth="1"/>
    <col min="6" max="6" width="35.875" customWidth="1"/>
    <col min="7" max="7" width="16.25" customWidth="1"/>
    <col min="8" max="8" width="9" customWidth="1"/>
    <col min="9" max="9" width="11.125" bestFit="1" customWidth="1"/>
    <col min="10" max="10" width="10.75" bestFit="1" customWidth="1"/>
    <col min="11" max="11" width="23.75" customWidth="1"/>
    <col min="12" max="12" width="14.375" customWidth="1"/>
    <col min="13" max="13" width="15.375" customWidth="1"/>
    <col min="14" max="14" width="13.875" customWidth="1"/>
    <col min="15" max="15" width="16.875" customWidth="1"/>
  </cols>
  <sheetData>
    <row r="1" spans="1:7" ht="6.75" customHeight="1" x14ac:dyDescent="0.3">
      <c r="A1" s="1"/>
      <c r="B1" s="1"/>
      <c r="C1" s="1"/>
      <c r="D1" s="1"/>
      <c r="E1" s="1"/>
      <c r="F1" s="1"/>
      <c r="G1" s="1"/>
    </row>
    <row r="2" spans="1:7" ht="51" customHeight="1" x14ac:dyDescent="0.3">
      <c r="A2" s="10" t="s">
        <v>12</v>
      </c>
      <c r="B2" s="10"/>
      <c r="C2" s="10"/>
      <c r="D2" s="291" t="str">
        <f>CONCATENATE("Just nu finns kursdata för ",COUNTA(ProgramKurser[KURSNAMN])," kurser, inom ",COUNTA(AvailablePrograms[PROGRAMNAMN]), " program och ", COUNTA(Spec[INRIKTNING]), " inriktningar, inlagda i arbetsboken.")</f>
        <v>Just nu finns kursdata för 1377 kurser, inom 11 program och 48 inriktningar, inlagda i arbetsboken.</v>
      </c>
      <c r="E2" s="292"/>
      <c r="F2" s="292"/>
      <c r="G2" s="4"/>
    </row>
    <row r="3" spans="1:7" ht="6.75" customHeight="1" x14ac:dyDescent="0.3">
      <c r="A3" s="1"/>
      <c r="B3" s="1"/>
      <c r="C3" s="1"/>
      <c r="D3" s="1"/>
      <c r="E3" s="1"/>
      <c r="F3" s="1"/>
      <c r="G3" s="1"/>
    </row>
    <row r="4" spans="1:7" ht="9" customHeight="1" x14ac:dyDescent="0.3">
      <c r="A4" s="305"/>
      <c r="B4" s="305"/>
      <c r="C4" s="305"/>
      <c r="D4" s="305"/>
    </row>
    <row r="5" spans="1:7" ht="24.75" customHeight="1" x14ac:dyDescent="0.3">
      <c r="A5" s="19" t="s">
        <v>18</v>
      </c>
      <c r="B5" s="19" t="s">
        <v>14</v>
      </c>
      <c r="C5" s="19" t="s">
        <v>15</v>
      </c>
      <c r="D5" s="18"/>
      <c r="E5" s="19" t="s">
        <v>13</v>
      </c>
      <c r="F5" s="19" t="s">
        <v>14</v>
      </c>
      <c r="G5" s="19" t="s">
        <v>15</v>
      </c>
    </row>
    <row r="6" spans="1:7" ht="24.75" customHeight="1" x14ac:dyDescent="0.3">
      <c r="A6" s="39" t="s">
        <v>1987</v>
      </c>
      <c r="B6" s="39">
        <v>300</v>
      </c>
      <c r="C6" s="39">
        <v>5</v>
      </c>
      <c r="D6" s="11"/>
      <c r="E6" s="77" t="s">
        <v>190</v>
      </c>
      <c r="F6" s="65">
        <v>300</v>
      </c>
      <c r="G6" s="65">
        <v>5</v>
      </c>
    </row>
    <row r="7" spans="1:7" ht="24.75" customHeight="1" x14ac:dyDescent="0.3">
      <c r="A7" s="18"/>
      <c r="B7" s="18"/>
      <c r="C7" s="18"/>
      <c r="D7" s="11"/>
      <c r="E7" s="77" t="s">
        <v>82</v>
      </c>
      <c r="F7" s="65">
        <v>300</v>
      </c>
      <c r="G7" s="65">
        <v>5</v>
      </c>
    </row>
    <row r="8" spans="1:7" ht="24.75" customHeight="1" x14ac:dyDescent="0.3">
      <c r="A8" s="18"/>
      <c r="B8" s="18"/>
      <c r="C8" s="18"/>
      <c r="D8" s="11"/>
      <c r="E8" s="77" t="s">
        <v>87</v>
      </c>
      <c r="F8" s="65">
        <v>300</v>
      </c>
      <c r="G8" s="65">
        <v>5</v>
      </c>
    </row>
    <row r="9" spans="1:7" ht="24.75" customHeight="1" x14ac:dyDescent="0.3">
      <c r="A9" s="307" t="s">
        <v>186</v>
      </c>
      <c r="B9" s="307"/>
      <c r="C9" s="307"/>
      <c r="D9" s="11"/>
      <c r="E9" s="65" t="s">
        <v>16</v>
      </c>
      <c r="F9" s="65">
        <v>300</v>
      </c>
      <c r="G9" s="65">
        <v>5</v>
      </c>
    </row>
    <row r="10" spans="1:7" ht="24.75" customHeight="1" x14ac:dyDescent="0.3">
      <c r="A10" s="308"/>
      <c r="B10" s="308"/>
      <c r="C10" s="308"/>
      <c r="D10" s="11"/>
      <c r="E10" s="65" t="s">
        <v>17</v>
      </c>
      <c r="F10" s="65">
        <v>300</v>
      </c>
      <c r="G10" s="65">
        <v>5</v>
      </c>
    </row>
    <row r="11" spans="1:7" ht="24.75" customHeight="1" thickBot="1" x14ac:dyDescent="0.35">
      <c r="A11" s="309"/>
      <c r="B11" s="309"/>
      <c r="C11" s="309"/>
      <c r="D11" s="16"/>
      <c r="E11" s="77" t="s">
        <v>191</v>
      </c>
      <c r="F11" s="65">
        <v>300</v>
      </c>
      <c r="G11" s="65">
        <v>5</v>
      </c>
    </row>
    <row r="12" spans="1:7" ht="24.75" customHeight="1" thickTop="1" x14ac:dyDescent="0.3">
      <c r="A12" s="17"/>
      <c r="B12" s="17"/>
      <c r="C12" s="17"/>
      <c r="D12" s="16"/>
      <c r="E12" s="65" t="s">
        <v>73</v>
      </c>
      <c r="F12" s="65">
        <v>300</v>
      </c>
      <c r="G12" s="65">
        <v>5</v>
      </c>
    </row>
    <row r="13" spans="1:7" ht="24.75" customHeight="1" x14ac:dyDescent="0.3">
      <c r="A13" s="17"/>
      <c r="B13" s="17"/>
      <c r="C13" s="17"/>
      <c r="D13" s="16"/>
      <c r="E13" s="65" t="s">
        <v>25</v>
      </c>
      <c r="F13" s="65">
        <v>180</v>
      </c>
      <c r="G13" s="65">
        <v>3</v>
      </c>
    </row>
    <row r="14" spans="1:7" ht="24.75" customHeight="1" x14ac:dyDescent="0.3">
      <c r="A14" s="17"/>
      <c r="B14" s="17"/>
      <c r="C14" s="17"/>
      <c r="D14" s="16"/>
      <c r="E14" s="78" t="s">
        <v>26</v>
      </c>
      <c r="F14" s="78">
        <v>180</v>
      </c>
      <c r="G14" s="78">
        <v>3</v>
      </c>
    </row>
    <row r="15" spans="1:7" ht="24.75" customHeight="1" x14ac:dyDescent="0.3">
      <c r="A15" s="17"/>
      <c r="B15" s="17"/>
      <c r="C15" s="17"/>
      <c r="D15" s="16"/>
      <c r="E15" s="77" t="s">
        <v>1831</v>
      </c>
      <c r="F15" s="65">
        <v>300</v>
      </c>
      <c r="G15" s="65">
        <v>5</v>
      </c>
    </row>
    <row r="16" spans="1:7" ht="24.75" customHeight="1" x14ac:dyDescent="0.3">
      <c r="A16" s="17"/>
      <c r="B16" s="17"/>
      <c r="C16" s="17"/>
      <c r="D16" s="16"/>
      <c r="E16" s="77" t="s">
        <v>1987</v>
      </c>
      <c r="F16" s="65">
        <v>300</v>
      </c>
      <c r="G16" s="65">
        <v>5</v>
      </c>
    </row>
    <row r="17" spans="1:14" ht="24.75" customHeight="1" x14ac:dyDescent="0.3">
      <c r="A17" s="17"/>
      <c r="B17" s="17"/>
      <c r="C17" s="17"/>
      <c r="D17" s="16"/>
      <c r="E17" s="77"/>
      <c r="F17" s="65"/>
      <c r="G17" s="65"/>
    </row>
    <row r="18" spans="1:14" ht="8.25" customHeight="1" x14ac:dyDescent="0.3">
      <c r="A18" s="17"/>
      <c r="B18" s="17"/>
      <c r="C18" s="17"/>
      <c r="D18" s="16"/>
      <c r="E18" s="34"/>
      <c r="F18" s="34"/>
      <c r="G18" s="34"/>
    </row>
    <row r="19" spans="1:14" ht="9" customHeight="1" x14ac:dyDescent="0.3">
      <c r="A19" s="1"/>
      <c r="B19" s="1"/>
      <c r="C19" s="1"/>
      <c r="D19" s="1"/>
      <c r="E19" s="31"/>
      <c r="F19" s="31"/>
      <c r="G19" s="31"/>
    </row>
    <row r="20" spans="1:14" ht="51.75" customHeight="1" x14ac:dyDescent="0.3">
      <c r="A20" s="10" t="s">
        <v>94</v>
      </c>
      <c r="B20" s="10"/>
      <c r="C20" s="10"/>
      <c r="D20" s="301" t="s">
        <v>95</v>
      </c>
      <c r="E20" s="302"/>
      <c r="F20" s="32"/>
      <c r="G20" s="33"/>
    </row>
    <row r="21" spans="1:14" ht="10.5" customHeight="1" x14ac:dyDescent="0.3">
      <c r="A21" s="1"/>
      <c r="B21" s="1"/>
      <c r="C21" s="1"/>
      <c r="D21" s="1"/>
      <c r="E21" s="31"/>
      <c r="F21" s="31"/>
      <c r="G21" s="31"/>
    </row>
    <row r="22" spans="1:14" s="22" customFormat="1" ht="10.5" customHeight="1" x14ac:dyDescent="0.3">
      <c r="A22" s="21"/>
      <c r="B22" s="21"/>
      <c r="C22" s="21"/>
      <c r="D22" s="21"/>
      <c r="E22" s="35"/>
      <c r="F22" s="35"/>
      <c r="G22" s="35"/>
      <c r="K22"/>
      <c r="L22"/>
      <c r="M22"/>
      <c r="N22"/>
    </row>
    <row r="23" spans="1:14" ht="22.5" customHeight="1" x14ac:dyDescent="0.3">
      <c r="G23" s="27"/>
      <c r="H23" s="94" t="s">
        <v>1987</v>
      </c>
    </row>
    <row r="24" spans="1:14" ht="34.5" customHeight="1" x14ac:dyDescent="0.3">
      <c r="A24" s="37" t="s">
        <v>24</v>
      </c>
      <c r="E24" s="306" t="s">
        <v>96</v>
      </c>
      <c r="F24" s="306"/>
      <c r="G24" s="30"/>
    </row>
    <row r="25" spans="1:14" ht="22.5" customHeight="1" thickBot="1" x14ac:dyDescent="0.35">
      <c r="E25" s="67"/>
      <c r="F25" s="67"/>
      <c r="G25" s="30"/>
    </row>
    <row r="26" spans="1:14" ht="22.5" customHeight="1" thickTop="1" x14ac:dyDescent="0.3">
      <c r="A26" s="303" t="s">
        <v>23</v>
      </c>
      <c r="B26" s="303"/>
      <c r="C26" s="303"/>
      <c r="G26" s="30"/>
    </row>
    <row r="27" spans="1:14" ht="22.5" customHeight="1" x14ac:dyDescent="0.3">
      <c r="A27" s="304" t="s">
        <v>1990</v>
      </c>
      <c r="B27" s="304"/>
      <c r="C27" s="304"/>
      <c r="G27" s="30"/>
    </row>
    <row r="28" spans="1:14" ht="22.5" customHeight="1" x14ac:dyDescent="0.3">
      <c r="E28" s="19" t="s">
        <v>20</v>
      </c>
      <c r="F28" s="20" t="s">
        <v>19</v>
      </c>
      <c r="G28" s="36"/>
    </row>
    <row r="29" spans="1:14" ht="22.5" hidden="1" customHeight="1" x14ac:dyDescent="0.3">
      <c r="E29" s="30" t="s">
        <v>16</v>
      </c>
      <c r="F29" s="38" t="s">
        <v>21</v>
      </c>
    </row>
    <row r="30" spans="1:14" ht="22.5" hidden="1" customHeight="1" x14ac:dyDescent="0.3">
      <c r="E30" s="30" t="s">
        <v>16</v>
      </c>
      <c r="F30" s="38" t="s">
        <v>29</v>
      </c>
    </row>
    <row r="31" spans="1:14" ht="22.5" hidden="1" customHeight="1" x14ac:dyDescent="0.3">
      <c r="E31" s="30" t="s">
        <v>16</v>
      </c>
      <c r="F31" s="38" t="s">
        <v>30</v>
      </c>
    </row>
    <row r="32" spans="1:14" ht="22.5" hidden="1" customHeight="1" x14ac:dyDescent="0.3">
      <c r="E32" s="30" t="s">
        <v>16</v>
      </c>
      <c r="F32" s="38" t="s">
        <v>31</v>
      </c>
    </row>
    <row r="33" spans="5:6" ht="22.5" hidden="1" customHeight="1" x14ac:dyDescent="0.3">
      <c r="E33" s="36" t="s">
        <v>16</v>
      </c>
      <c r="F33" s="40" t="s">
        <v>32</v>
      </c>
    </row>
    <row r="34" spans="5:6" ht="22.5" hidden="1" customHeight="1" x14ac:dyDescent="0.3">
      <c r="E34" s="36" t="s">
        <v>16</v>
      </c>
      <c r="F34" s="40" t="s">
        <v>65</v>
      </c>
    </row>
    <row r="35" spans="5:6" ht="22.5" hidden="1" customHeight="1" x14ac:dyDescent="0.3">
      <c r="E35" s="36" t="s">
        <v>17</v>
      </c>
      <c r="F35" s="40" t="s">
        <v>67</v>
      </c>
    </row>
    <row r="36" spans="5:6" ht="22.5" hidden="1" customHeight="1" x14ac:dyDescent="0.3">
      <c r="E36" s="36" t="s">
        <v>17</v>
      </c>
      <c r="F36" s="40" t="s">
        <v>68</v>
      </c>
    </row>
    <row r="37" spans="5:6" ht="22.5" hidden="1" customHeight="1" x14ac:dyDescent="0.3">
      <c r="E37" s="36" t="s">
        <v>17</v>
      </c>
      <c r="F37" s="40" t="s">
        <v>69</v>
      </c>
    </row>
    <row r="38" spans="5:6" ht="22.5" hidden="1" customHeight="1" x14ac:dyDescent="0.3">
      <c r="E38" s="36" t="s">
        <v>17</v>
      </c>
      <c r="F38" s="40" t="s">
        <v>70</v>
      </c>
    </row>
    <row r="39" spans="5:6" ht="22.5" hidden="1" customHeight="1" x14ac:dyDescent="0.3">
      <c r="E39" s="36" t="s">
        <v>17</v>
      </c>
      <c r="F39" s="40" t="s">
        <v>71</v>
      </c>
    </row>
    <row r="40" spans="5:6" ht="22.5" hidden="1" customHeight="1" x14ac:dyDescent="0.3">
      <c r="E40" s="36" t="s">
        <v>17</v>
      </c>
      <c r="F40" s="40" t="s">
        <v>72</v>
      </c>
    </row>
    <row r="41" spans="5:6" ht="22.5" hidden="1" customHeight="1" x14ac:dyDescent="0.3">
      <c r="E41" s="36" t="s">
        <v>17</v>
      </c>
      <c r="F41" s="40" t="s">
        <v>27</v>
      </c>
    </row>
    <row r="42" spans="5:6" ht="22.5" hidden="1" customHeight="1" x14ac:dyDescent="0.3">
      <c r="E42" s="36" t="s">
        <v>17</v>
      </c>
      <c r="F42" s="40" t="s">
        <v>47</v>
      </c>
    </row>
    <row r="43" spans="5:6" ht="22.5" hidden="1" customHeight="1" x14ac:dyDescent="0.3">
      <c r="E43" s="36" t="s">
        <v>73</v>
      </c>
      <c r="F43" s="40" t="s">
        <v>198</v>
      </c>
    </row>
    <row r="44" spans="5:6" ht="22.5" hidden="1" customHeight="1" x14ac:dyDescent="0.3">
      <c r="E44" s="36" t="s">
        <v>73</v>
      </c>
      <c r="F44" s="40" t="s">
        <v>66</v>
      </c>
    </row>
    <row r="45" spans="5:6" ht="22.5" hidden="1" customHeight="1" x14ac:dyDescent="0.3">
      <c r="E45" s="36" t="s">
        <v>73</v>
      </c>
      <c r="F45" s="40" t="s">
        <v>74</v>
      </c>
    </row>
    <row r="46" spans="5:6" ht="22.5" hidden="1" customHeight="1" x14ac:dyDescent="0.3">
      <c r="E46" s="36" t="s">
        <v>73</v>
      </c>
      <c r="F46" s="40" t="s">
        <v>196</v>
      </c>
    </row>
    <row r="47" spans="5:6" ht="22.5" hidden="1" customHeight="1" x14ac:dyDescent="0.3">
      <c r="E47" s="36" t="s">
        <v>73</v>
      </c>
      <c r="F47" s="40" t="s">
        <v>81</v>
      </c>
    </row>
    <row r="48" spans="5:6" ht="22.5" hidden="1" customHeight="1" x14ac:dyDescent="0.3">
      <c r="E48" s="36" t="s">
        <v>73</v>
      </c>
      <c r="F48" s="40" t="s">
        <v>75</v>
      </c>
    </row>
    <row r="49" spans="1:6" ht="22.5" hidden="1" customHeight="1" x14ac:dyDescent="0.3">
      <c r="E49" s="36" t="s">
        <v>73</v>
      </c>
      <c r="F49" s="40" t="s">
        <v>76</v>
      </c>
    </row>
    <row r="50" spans="1:6" ht="22.5" hidden="1" customHeight="1" x14ac:dyDescent="0.3">
      <c r="E50" s="36" t="s">
        <v>73</v>
      </c>
      <c r="F50" s="40" t="s">
        <v>77</v>
      </c>
    </row>
    <row r="51" spans="1:6" ht="22.5" hidden="1" customHeight="1" x14ac:dyDescent="0.3">
      <c r="E51" s="36"/>
      <c r="F51" s="58" t="s">
        <v>36</v>
      </c>
    </row>
    <row r="52" spans="1:6" ht="22.5" hidden="1" customHeight="1" x14ac:dyDescent="0.3">
      <c r="E52" s="36"/>
      <c r="F52" s="40" t="s">
        <v>45</v>
      </c>
    </row>
    <row r="53" spans="1:6" ht="22.5" hidden="1" customHeight="1" x14ac:dyDescent="0.3">
      <c r="E53" s="36"/>
      <c r="F53" s="40" t="s">
        <v>46</v>
      </c>
    </row>
    <row r="54" spans="1:6" ht="22.5" hidden="1" customHeight="1" x14ac:dyDescent="0.3">
      <c r="E54" s="36" t="s">
        <v>82</v>
      </c>
      <c r="F54" s="40" t="s">
        <v>83</v>
      </c>
    </row>
    <row r="55" spans="1:6" ht="22.5" hidden="1" customHeight="1" x14ac:dyDescent="0.3">
      <c r="E55" s="36" t="s">
        <v>82</v>
      </c>
      <c r="F55" s="40" t="s">
        <v>84</v>
      </c>
    </row>
    <row r="56" spans="1:6" ht="22.5" hidden="1" customHeight="1" x14ac:dyDescent="0.3">
      <c r="E56" s="36" t="s">
        <v>82</v>
      </c>
      <c r="F56" s="40" t="s">
        <v>85</v>
      </c>
    </row>
    <row r="57" spans="1:6" ht="22.5" hidden="1" customHeight="1" x14ac:dyDescent="0.3">
      <c r="E57" s="36" t="s">
        <v>87</v>
      </c>
      <c r="F57" s="40" t="s">
        <v>86</v>
      </c>
    </row>
    <row r="58" spans="1:6" ht="22.5" hidden="1" customHeight="1" x14ac:dyDescent="0.3">
      <c r="E58" s="36" t="s">
        <v>87</v>
      </c>
      <c r="F58" s="40" t="s">
        <v>48</v>
      </c>
    </row>
    <row r="59" spans="1:6" ht="22.5" hidden="1" customHeight="1" x14ac:dyDescent="0.3">
      <c r="A59" s="21"/>
      <c r="B59" s="21"/>
      <c r="C59" s="21"/>
      <c r="D59" s="21"/>
      <c r="E59" s="36" t="s">
        <v>16</v>
      </c>
      <c r="F59" s="40" t="s">
        <v>99</v>
      </c>
    </row>
    <row r="60" spans="1:6" ht="22.5" hidden="1" customHeight="1" x14ac:dyDescent="0.3">
      <c r="A60" s="21"/>
      <c r="B60" s="21"/>
      <c r="C60" s="21"/>
      <c r="D60" s="21"/>
      <c r="E60" s="36" t="s">
        <v>16</v>
      </c>
      <c r="F60" s="40" t="s">
        <v>100</v>
      </c>
    </row>
    <row r="61" spans="1:6" ht="22.5" hidden="1" customHeight="1" x14ac:dyDescent="0.3">
      <c r="A61" s="21"/>
      <c r="B61" s="21"/>
      <c r="C61" s="21"/>
      <c r="D61" s="21"/>
      <c r="E61" s="36" t="s">
        <v>16</v>
      </c>
      <c r="F61" s="40" t="s">
        <v>101</v>
      </c>
    </row>
    <row r="62" spans="1:6" ht="22.5" hidden="1" customHeight="1" x14ac:dyDescent="0.3">
      <c r="A62" s="21"/>
      <c r="B62" s="21"/>
      <c r="C62" s="21"/>
      <c r="D62" s="21"/>
      <c r="E62" s="36" t="s">
        <v>16</v>
      </c>
      <c r="F62" s="40" t="s">
        <v>27</v>
      </c>
    </row>
    <row r="63" spans="1:6" ht="22.5" hidden="1" customHeight="1" x14ac:dyDescent="0.3">
      <c r="A63" s="21"/>
      <c r="B63" s="21"/>
      <c r="C63" s="21"/>
      <c r="D63" s="21"/>
      <c r="E63" s="36" t="s">
        <v>16</v>
      </c>
      <c r="F63" s="40" t="s">
        <v>102</v>
      </c>
    </row>
    <row r="64" spans="1:6" ht="22.5" hidden="1" customHeight="1" x14ac:dyDescent="0.3">
      <c r="A64" s="21"/>
      <c r="B64" s="21"/>
      <c r="C64" s="21"/>
      <c r="D64" s="21"/>
      <c r="E64" s="36" t="s">
        <v>16</v>
      </c>
      <c r="F64" s="40" t="s">
        <v>103</v>
      </c>
    </row>
    <row r="65" spans="1:6" ht="22.5" hidden="1" customHeight="1" x14ac:dyDescent="0.3">
      <c r="A65" s="21"/>
      <c r="B65" s="21"/>
      <c r="C65" s="21"/>
      <c r="D65" s="21"/>
      <c r="E65" s="36" t="s">
        <v>16</v>
      </c>
      <c r="F65" s="40" t="s">
        <v>104</v>
      </c>
    </row>
    <row r="66" spans="1:6" ht="22.5" hidden="1" customHeight="1" x14ac:dyDescent="0.3">
      <c r="A66" s="21"/>
      <c r="B66" s="21"/>
      <c r="C66" s="21"/>
      <c r="D66" s="21"/>
      <c r="E66" s="36" t="s">
        <v>191</v>
      </c>
      <c r="F66" s="40" t="s">
        <v>192</v>
      </c>
    </row>
    <row r="67" spans="1:6" ht="22.5" hidden="1" customHeight="1" x14ac:dyDescent="0.3">
      <c r="A67" s="21"/>
      <c r="B67" s="21"/>
      <c r="C67" s="21"/>
      <c r="D67" s="21"/>
      <c r="E67" s="36" t="s">
        <v>191</v>
      </c>
      <c r="F67" s="40" t="s">
        <v>193</v>
      </c>
    </row>
    <row r="68" spans="1:6" ht="22.5" hidden="1" customHeight="1" x14ac:dyDescent="0.3">
      <c r="A68" s="21"/>
      <c r="B68" s="21"/>
      <c r="C68" s="21"/>
      <c r="D68" s="21"/>
      <c r="E68" s="36" t="s">
        <v>191</v>
      </c>
      <c r="F68" s="40" t="s">
        <v>194</v>
      </c>
    </row>
    <row r="69" spans="1:6" ht="22.5" hidden="1" customHeight="1" x14ac:dyDescent="0.3">
      <c r="A69" s="21"/>
      <c r="B69" s="21"/>
      <c r="C69" s="21"/>
      <c r="D69" s="21"/>
      <c r="E69" s="36" t="s">
        <v>73</v>
      </c>
      <c r="F69" s="40" t="s">
        <v>79</v>
      </c>
    </row>
    <row r="70" spans="1:6" ht="22.5" hidden="1" customHeight="1" x14ac:dyDescent="0.3">
      <c r="A70" s="21"/>
      <c r="B70" s="21"/>
      <c r="C70" s="21"/>
      <c r="D70" s="21"/>
      <c r="E70" s="36" t="s">
        <v>73</v>
      </c>
      <c r="F70" s="40" t="s">
        <v>80</v>
      </c>
    </row>
    <row r="71" spans="1:6" ht="22.5" hidden="1" customHeight="1" x14ac:dyDescent="0.3">
      <c r="A71" s="21"/>
      <c r="B71" s="21"/>
      <c r="C71" s="21"/>
      <c r="D71" s="21"/>
      <c r="E71" s="36" t="s">
        <v>73</v>
      </c>
      <c r="F71" s="40" t="s">
        <v>197</v>
      </c>
    </row>
    <row r="72" spans="1:6" ht="22.5" hidden="1" customHeight="1" x14ac:dyDescent="0.3">
      <c r="A72" s="21"/>
      <c r="B72" s="21"/>
      <c r="C72" s="21"/>
      <c r="D72" s="21"/>
      <c r="E72" s="36" t="s">
        <v>1831</v>
      </c>
      <c r="F72" s="40" t="s">
        <v>418</v>
      </c>
    </row>
    <row r="73" spans="1:6" ht="22.5" hidden="1" customHeight="1" x14ac:dyDescent="0.3">
      <c r="A73" s="21"/>
      <c r="B73" s="21"/>
      <c r="C73" s="21"/>
      <c r="D73" s="21"/>
      <c r="E73" s="36" t="s">
        <v>1831</v>
      </c>
      <c r="F73" s="40" t="s">
        <v>1832</v>
      </c>
    </row>
    <row r="74" spans="1:6" ht="22.5" customHeight="1" x14ac:dyDescent="0.3">
      <c r="A74" s="21"/>
      <c r="B74" s="21"/>
      <c r="C74" s="21"/>
      <c r="D74" s="21"/>
      <c r="E74" s="36" t="s">
        <v>1987</v>
      </c>
      <c r="F74" s="40" t="s">
        <v>1988</v>
      </c>
    </row>
    <row r="75" spans="1:6" ht="22.5" customHeight="1" x14ac:dyDescent="0.3">
      <c r="A75" s="21"/>
      <c r="B75" s="21"/>
      <c r="C75" s="21"/>
      <c r="D75" s="21"/>
      <c r="E75" s="36" t="s">
        <v>1987</v>
      </c>
      <c r="F75" s="40" t="s">
        <v>1989</v>
      </c>
    </row>
    <row r="76" spans="1:6" ht="22.5" customHeight="1" x14ac:dyDescent="0.3">
      <c r="A76" s="21"/>
      <c r="B76" s="21"/>
      <c r="C76" s="21"/>
      <c r="D76" s="21"/>
      <c r="E76" s="36" t="s">
        <v>1987</v>
      </c>
      <c r="F76" s="40" t="s">
        <v>1990</v>
      </c>
    </row>
    <row r="77" spans="1:6" ht="22.5" customHeight="1" x14ac:dyDescent="0.3">
      <c r="A77" s="21"/>
      <c r="B77" s="21"/>
      <c r="C77" s="21"/>
      <c r="D77" s="21"/>
      <c r="E77" s="36"/>
      <c r="F77" s="40"/>
    </row>
    <row r="78" spans="1:6" ht="22.5" customHeight="1" x14ac:dyDescent="0.3">
      <c r="A78" s="21"/>
      <c r="B78" s="21"/>
      <c r="C78" s="21"/>
      <c r="D78" s="21"/>
    </row>
    <row r="79" spans="1:6" ht="9" customHeight="1" x14ac:dyDescent="0.3"/>
    <row r="80" spans="1:6" ht="48" customHeight="1" x14ac:dyDescent="0.3"/>
    <row r="81" ht="9" customHeight="1" x14ac:dyDescent="0.3"/>
    <row r="82" ht="22.5" customHeight="1" x14ac:dyDescent="0.3"/>
    <row r="83" ht="22.5" customHeight="1" x14ac:dyDescent="0.3"/>
    <row r="84" ht="22.5" customHeight="1" x14ac:dyDescent="0.3"/>
    <row r="85" ht="22.5" customHeight="1" x14ac:dyDescent="0.3"/>
    <row r="86" ht="22.5" customHeight="1" x14ac:dyDescent="0.3"/>
    <row r="87" ht="22.5" customHeight="1" x14ac:dyDescent="0.3"/>
    <row r="88" ht="22.5" customHeight="1" x14ac:dyDescent="0.3"/>
    <row r="89" ht="22.5" customHeight="1" x14ac:dyDescent="0.3"/>
    <row r="90" ht="22.5" customHeight="1" x14ac:dyDescent="0.3"/>
    <row r="91" ht="22.5" customHeight="1" x14ac:dyDescent="0.3"/>
    <row r="92" ht="22.5" customHeight="1" x14ac:dyDescent="0.3"/>
    <row r="93" ht="22.5" customHeight="1" x14ac:dyDescent="0.3"/>
    <row r="94" ht="22.5" customHeight="1" x14ac:dyDescent="0.3"/>
    <row r="95" ht="22.5" customHeight="1" x14ac:dyDescent="0.3"/>
    <row r="96" ht="22.5" customHeight="1" x14ac:dyDescent="0.3"/>
    <row r="97" ht="22.5" customHeight="1" x14ac:dyDescent="0.3"/>
    <row r="98" ht="22.5" customHeight="1" x14ac:dyDescent="0.3"/>
    <row r="99" ht="22.5" customHeight="1" x14ac:dyDescent="0.3"/>
    <row r="100" ht="22.5" customHeight="1" x14ac:dyDescent="0.3"/>
    <row r="101" ht="22.5" customHeight="1" x14ac:dyDescent="0.3"/>
    <row r="102" ht="22.5" customHeight="1" x14ac:dyDescent="0.3"/>
    <row r="103" ht="22.5" customHeight="1" x14ac:dyDescent="0.3"/>
    <row r="104" ht="22.5" customHeight="1" x14ac:dyDescent="0.3"/>
    <row r="105" ht="22.5" customHeight="1" x14ac:dyDescent="0.3"/>
    <row r="106" ht="22.5" customHeight="1" x14ac:dyDescent="0.3"/>
    <row r="107" ht="22.5" customHeight="1" x14ac:dyDescent="0.3"/>
    <row r="108" ht="22.5" customHeight="1" x14ac:dyDescent="0.3"/>
    <row r="109" ht="22.5" customHeight="1" x14ac:dyDescent="0.3"/>
    <row r="110" ht="22.5" customHeight="1" x14ac:dyDescent="0.3"/>
    <row r="111" ht="22.5" customHeight="1" x14ac:dyDescent="0.3"/>
    <row r="112" ht="22.5" customHeight="1" x14ac:dyDescent="0.3"/>
    <row r="113" ht="22.5" customHeight="1" x14ac:dyDescent="0.3"/>
    <row r="114" ht="22.5" customHeight="1" x14ac:dyDescent="0.3"/>
    <row r="115" ht="22.5" customHeight="1" x14ac:dyDescent="0.3"/>
    <row r="116" ht="22.5" customHeight="1" x14ac:dyDescent="0.3"/>
    <row r="117" ht="22.5" customHeight="1" x14ac:dyDescent="0.3"/>
    <row r="118" ht="22.5" customHeight="1" x14ac:dyDescent="0.3"/>
    <row r="119" ht="22.5" customHeight="1" x14ac:dyDescent="0.3"/>
    <row r="120" ht="22.5" customHeight="1" x14ac:dyDescent="0.3"/>
    <row r="121" ht="22.5" customHeight="1" x14ac:dyDescent="0.3"/>
    <row r="122" ht="22.5" customHeight="1" x14ac:dyDescent="0.3"/>
    <row r="123" ht="22.5" customHeight="1" x14ac:dyDescent="0.3"/>
    <row r="124" ht="22.5" customHeight="1" x14ac:dyDescent="0.3"/>
    <row r="125" ht="22.5" customHeight="1" x14ac:dyDescent="0.3"/>
    <row r="126" ht="22.5" customHeight="1" x14ac:dyDescent="0.3"/>
    <row r="127" ht="22.5" customHeight="1" x14ac:dyDescent="0.3"/>
    <row r="128" ht="22.5" customHeight="1" x14ac:dyDescent="0.3"/>
    <row r="129" ht="22.5" customHeight="1" x14ac:dyDescent="0.3"/>
    <row r="130" ht="22.5" customHeight="1" x14ac:dyDescent="0.3"/>
    <row r="131" ht="22.5" customHeight="1" x14ac:dyDescent="0.3"/>
    <row r="132" ht="22.5" customHeight="1" x14ac:dyDescent="0.3"/>
    <row r="133" ht="22.5" customHeight="1" x14ac:dyDescent="0.3"/>
    <row r="134" ht="22.5" customHeight="1" x14ac:dyDescent="0.3"/>
    <row r="135" ht="22.5" customHeight="1" x14ac:dyDescent="0.3"/>
    <row r="136" ht="22.5" customHeight="1" x14ac:dyDescent="0.3"/>
    <row r="137" ht="22.5" customHeight="1" x14ac:dyDescent="0.3"/>
    <row r="138" ht="22.5" customHeight="1" x14ac:dyDescent="0.3"/>
    <row r="139" ht="22.5" customHeight="1" x14ac:dyDescent="0.3"/>
    <row r="140" ht="22.5" customHeight="1" x14ac:dyDescent="0.3"/>
    <row r="141" ht="22.5" customHeight="1" x14ac:dyDescent="0.3"/>
    <row r="142" ht="22.5" customHeight="1" x14ac:dyDescent="0.3"/>
  </sheetData>
  <mergeCells count="7">
    <mergeCell ref="D2:F2"/>
    <mergeCell ref="D20:E20"/>
    <mergeCell ref="A26:C26"/>
    <mergeCell ref="A27:C27"/>
    <mergeCell ref="A4:D4"/>
    <mergeCell ref="E24:F24"/>
    <mergeCell ref="A9:C11"/>
  </mergeCells>
  <conditionalFormatting sqref="F7">
    <cfRule type="dataBar" priority="7">
      <dataBar>
        <cfvo type="num" val="0"/>
        <cfvo type="num" val="#REF!"/>
        <color theme="4"/>
      </dataBar>
      <extLst>
        <ext xmlns:x14="http://schemas.microsoft.com/office/spreadsheetml/2009/9/main" uri="{B025F937-C7B1-47D3-B67F-A62EFF666E3E}">
          <x14:id>{FAA48F41-B3E2-48C9-B5A6-FAE6B6D66A8D}</x14:id>
        </ext>
      </extLst>
    </cfRule>
  </conditionalFormatting>
  <conditionalFormatting sqref="F29">
    <cfRule type="dataBar" priority="2">
      <dataBar>
        <cfvo type="num" val="0"/>
        <cfvo type="num" val="#REF!"/>
        <color theme="4"/>
      </dataBar>
      <extLst>
        <ext xmlns:x14="http://schemas.microsoft.com/office/spreadsheetml/2009/9/main" uri="{B025F937-C7B1-47D3-B67F-A62EFF666E3E}">
          <x14:id>{674AC4C0-59A7-4C28-BEE7-C5AE78DF9CF2}</x14:id>
        </ext>
      </extLst>
    </cfRule>
  </conditionalFormatting>
  <dataValidations disablePrompts="1" count="1">
    <dataValidation type="list" allowBlank="1" showInputMessage="1" showErrorMessage="1" sqref="I10">
      <formula1>DynamicProgramRange</formula1>
    </dataValidation>
  </dataValidations>
  <printOptions horizontalCentered="1"/>
  <pageMargins left="0.25" right="0.25" top="0.75" bottom="0.75" header="0.3" footer="0.3"/>
  <pageSetup scale="66" fitToHeight="0" orientation="portrait" r:id="rId1"/>
  <headerFooter differentFirst="1">
    <oddFooter>Page &amp;P of &amp;N</oddFooter>
  </headerFooter>
  <drawing r:id="rId2"/>
  <legacyDrawing r:id="rId3"/>
  <controls>
    <mc:AlternateContent xmlns:mc="http://schemas.openxmlformats.org/markup-compatibility/2006">
      <mc:Choice Requires="x14">
        <control shapeId="5129" r:id="rId4" name="CommandButton2">
          <controlPr defaultSize="0" autoLine="0" r:id="rId5">
            <anchor moveWithCells="1">
              <from>
                <xdr:col>0</xdr:col>
                <xdr:colOff>3086100</xdr:colOff>
                <xdr:row>27</xdr:row>
                <xdr:rowOff>28575</xdr:rowOff>
              </from>
              <to>
                <xdr:col>3</xdr:col>
                <xdr:colOff>0</xdr:colOff>
                <xdr:row>73</xdr:row>
                <xdr:rowOff>95250</xdr:rowOff>
              </to>
            </anchor>
          </controlPr>
        </control>
      </mc:Choice>
      <mc:Fallback>
        <control shapeId="5129" r:id="rId4" name="CommandButton2"/>
      </mc:Fallback>
    </mc:AlternateContent>
    <mc:AlternateContent xmlns:mc="http://schemas.openxmlformats.org/markup-compatibility/2006">
      <mc:Choice Requires="x14">
        <control shapeId="5127" r:id="rId6" name="CommandButton1">
          <controlPr defaultSize="0" autoLine="0" r:id="rId7">
            <anchor moveWithCells="1">
              <from>
                <xdr:col>1</xdr:col>
                <xdr:colOff>0</xdr:colOff>
                <xdr:row>6</xdr:row>
                <xdr:rowOff>19050</xdr:rowOff>
              </from>
              <to>
                <xdr:col>3</xdr:col>
                <xdr:colOff>57150</xdr:colOff>
                <xdr:row>7</xdr:row>
                <xdr:rowOff>57150</xdr:rowOff>
              </to>
            </anchor>
          </controlPr>
        </control>
      </mc:Choice>
      <mc:Fallback>
        <control shapeId="5127" r:id="rId6" name="CommandButton1"/>
      </mc:Fallback>
    </mc:AlternateContent>
    <mc:AlternateContent xmlns:mc="http://schemas.openxmlformats.org/markup-compatibility/2006">
      <mc:Choice Requires="x14">
        <control shapeId="5128" r:id="rId8" name="Drop Down 8">
          <controlPr defaultSize="0" autoLine="0" autoPict="0" macro="[0]!Blad5.Nedrullningsbarlistruta8_Ändra">
            <anchor moveWithCells="1">
              <from>
                <xdr:col>0</xdr:col>
                <xdr:colOff>1095375</xdr:colOff>
                <xdr:row>23</xdr:row>
                <xdr:rowOff>85725</xdr:rowOff>
              </from>
              <to>
                <xdr:col>1</xdr:col>
                <xdr:colOff>1323975</xdr:colOff>
                <xdr:row>23</xdr:row>
                <xdr:rowOff>390525</xdr:rowOff>
              </to>
            </anchor>
          </controlPr>
        </control>
      </mc:Choice>
    </mc:AlternateContent>
  </controls>
  <tableParts count="2">
    <tablePart r:id="rId9"/>
    <tablePart r:id="rId10"/>
  </tableParts>
  <extLst>
    <ext xmlns:x14="http://schemas.microsoft.com/office/spreadsheetml/2009/9/main" uri="{78C0D931-6437-407d-A8EE-F0AAD7539E65}">
      <x14:conditionalFormattings>
        <x14:conditionalFormatting xmlns:xm="http://schemas.microsoft.com/office/excel/2006/main">
          <x14:cfRule type="dataBar" id="{FAA48F41-B3E2-48C9-B5A6-FAE6B6D66A8D}">
            <x14:dataBar minLength="0" maxLength="100" gradient="0">
              <x14:cfvo type="num">
                <xm:f>0</xm:f>
              </x14:cfvo>
              <x14:cfvo type="num">
                <xm:f>#REF!</xm:f>
              </x14:cfvo>
              <x14:negativeFillColor rgb="FFFF0000"/>
              <x14:axisColor rgb="FF000000"/>
            </x14:dataBar>
          </x14:cfRule>
          <xm:sqref>F7</xm:sqref>
        </x14:conditionalFormatting>
        <x14:conditionalFormatting xmlns:xm="http://schemas.microsoft.com/office/excel/2006/main">
          <x14:cfRule type="dataBar" id="{674AC4C0-59A7-4C28-BEE7-C5AE78DF9CF2}">
            <x14:dataBar minLength="0" maxLength="100" gradient="0">
              <x14:cfvo type="num">
                <xm:f>0</xm:f>
              </x14:cfvo>
              <x14:cfvo type="num">
                <xm:f>#REF!</xm:f>
              </x14:cfvo>
              <x14:negativeFillColor rgb="FFFF0000"/>
              <x14:axisColor rgb="FF000000"/>
            </x14:dataBar>
          </x14:cfRule>
          <xm:sqref>F29</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7">
    <tabColor rgb="FF0070C0"/>
  </sheetPr>
  <dimension ref="A1:R33"/>
  <sheetViews>
    <sheetView showGridLines="0" zoomScaleNormal="100" workbookViewId="0">
      <selection activeCell="H15" sqref="H15"/>
    </sheetView>
  </sheetViews>
  <sheetFormatPr defaultRowHeight="15" x14ac:dyDescent="0.3"/>
  <cols>
    <col min="1" max="1" width="4.375" style="22" customWidth="1"/>
    <col min="2" max="2" width="25.375" style="22" customWidth="1"/>
    <col min="3" max="3" width="66.75" style="22" customWidth="1"/>
    <col min="4" max="4" width="4.875" style="22" customWidth="1"/>
    <col min="5" max="5" width="6.25" style="22" customWidth="1"/>
    <col min="6" max="6" width="4.875" style="22" customWidth="1"/>
    <col min="7" max="7" width="11.125" style="22" customWidth="1"/>
    <col min="8" max="8" width="11.5" style="22" customWidth="1"/>
    <col min="9" max="9" width="2.875" style="22" customWidth="1"/>
    <col min="10" max="10" width="15.375" style="22" customWidth="1"/>
    <col min="11" max="11" width="9.75" style="22" customWidth="1"/>
    <col min="12" max="12" width="16.5" style="22" customWidth="1"/>
    <col min="13" max="13" width="6.125" style="22" customWidth="1"/>
    <col min="14" max="14" width="12" style="22" customWidth="1"/>
    <col min="15" max="15" width="18" style="22" customWidth="1"/>
    <col min="16" max="16" width="33.125" style="22" customWidth="1"/>
    <col min="17" max="17" width="20.625" style="22" customWidth="1"/>
    <col min="18" max="16384" width="9" style="22"/>
  </cols>
  <sheetData>
    <row r="1" spans="1:18" ht="9" customHeight="1" x14ac:dyDescent="0.3">
      <c r="A1" s="1"/>
      <c r="B1" s="1"/>
      <c r="C1" s="1"/>
      <c r="D1" s="1"/>
      <c r="E1" s="1"/>
      <c r="F1" s="1"/>
      <c r="G1" s="1"/>
      <c r="H1" s="1"/>
      <c r="I1" s="1"/>
      <c r="J1" s="1"/>
      <c r="K1" s="1"/>
      <c r="L1" s="1"/>
      <c r="M1" s="1"/>
      <c r="N1" s="1"/>
      <c r="O1" s="1"/>
      <c r="P1" s="1"/>
      <c r="Q1" s="8"/>
      <c r="R1" s="8"/>
    </row>
    <row r="2" spans="1:18" ht="51" customHeight="1" x14ac:dyDescent="0.3">
      <c r="A2" s="264" t="s">
        <v>173</v>
      </c>
      <c r="B2" s="264"/>
      <c r="C2" s="264"/>
      <c r="D2" s="264"/>
      <c r="E2" s="313" t="str">
        <f>'Ditt informationsblad'!$E$2</f>
        <v>Civilingenjör i Industriell Ekonomi</v>
      </c>
      <c r="F2" s="314"/>
      <c r="G2" s="314"/>
      <c r="H2" s="314"/>
      <c r="I2" s="314"/>
      <c r="J2" s="314"/>
      <c r="K2" s="314"/>
      <c r="L2" s="314"/>
      <c r="M2" s="1"/>
      <c r="N2" s="1"/>
      <c r="O2" s="1"/>
      <c r="P2" s="1"/>
      <c r="Q2" s="1"/>
      <c r="R2" s="1"/>
    </row>
    <row r="3" spans="1:18" ht="9" customHeight="1" x14ac:dyDescent="0.3">
      <c r="A3" s="1"/>
      <c r="B3" s="1"/>
      <c r="C3" s="1"/>
      <c r="D3" s="1"/>
      <c r="E3" s="1"/>
      <c r="F3" s="1"/>
      <c r="G3" s="1"/>
      <c r="H3" s="1"/>
      <c r="I3" s="1"/>
      <c r="J3" s="1"/>
      <c r="K3" s="1"/>
      <c r="L3" s="1"/>
      <c r="M3" s="1"/>
      <c r="N3" s="5"/>
      <c r="O3" s="1"/>
      <c r="P3" s="1"/>
      <c r="Q3" s="8"/>
      <c r="R3" s="8"/>
    </row>
    <row r="4" spans="1:18" ht="16.5" customHeight="1" x14ac:dyDescent="0.3"/>
    <row r="5" spans="1:18" ht="22.5" customHeight="1" x14ac:dyDescent="0.3">
      <c r="B5" s="310" t="s">
        <v>2025</v>
      </c>
      <c r="C5" s="310"/>
      <c r="H5" s="177"/>
      <c r="I5" s="177"/>
      <c r="J5" s="177"/>
      <c r="K5" s="177"/>
      <c r="L5" s="177"/>
      <c r="M5" s="177"/>
      <c r="N5" s="175"/>
      <c r="O5" s="175"/>
    </row>
    <row r="6" spans="1:18" ht="6" customHeight="1" x14ac:dyDescent="0.3">
      <c r="B6" s="199"/>
      <c r="C6" s="199"/>
      <c r="D6" s="190"/>
      <c r="E6" s="190"/>
      <c r="F6" s="190"/>
      <c r="H6" s="177"/>
      <c r="I6" s="177"/>
      <c r="J6" s="177"/>
      <c r="K6" s="177"/>
      <c r="L6" s="177"/>
      <c r="M6" s="177"/>
      <c r="N6" s="175"/>
      <c r="O6" s="175"/>
    </row>
    <row r="7" spans="1:18" ht="39.75" customHeight="1" x14ac:dyDescent="0.3">
      <c r="B7" s="197" t="s">
        <v>322</v>
      </c>
      <c r="C7" s="316" t="s">
        <v>2000</v>
      </c>
      <c r="D7" s="316"/>
      <c r="E7" s="316"/>
      <c r="F7" s="190"/>
      <c r="G7" s="311"/>
      <c r="H7" s="311"/>
      <c r="I7" s="311"/>
      <c r="J7" s="311"/>
      <c r="K7" s="177"/>
      <c r="L7" s="177"/>
      <c r="M7" s="177"/>
      <c r="N7" s="175"/>
      <c r="O7" s="175"/>
    </row>
    <row r="8" spans="1:18" ht="39.75" customHeight="1" x14ac:dyDescent="0.3">
      <c r="B8" s="197"/>
      <c r="C8" s="316"/>
      <c r="D8" s="316"/>
      <c r="E8" s="316"/>
      <c r="F8" s="190"/>
      <c r="G8" s="311"/>
      <c r="H8" s="311"/>
      <c r="I8" s="311"/>
      <c r="J8" s="311"/>
      <c r="K8" s="177"/>
      <c r="L8" s="177"/>
      <c r="M8" s="177"/>
      <c r="N8" s="175"/>
      <c r="O8" s="175"/>
    </row>
    <row r="9" spans="1:18" ht="25.5" customHeight="1" x14ac:dyDescent="0.3">
      <c r="B9" s="190"/>
      <c r="C9" s="198"/>
      <c r="D9" s="198"/>
      <c r="E9" s="198"/>
      <c r="F9" s="190"/>
      <c r="G9" s="311"/>
      <c r="H9" s="311"/>
      <c r="I9" s="311"/>
      <c r="J9" s="311"/>
      <c r="K9" s="177"/>
      <c r="L9" s="177"/>
      <c r="M9" s="177"/>
      <c r="N9" s="175"/>
      <c r="O9" s="175"/>
    </row>
    <row r="10" spans="1:18" ht="17.25" customHeight="1" x14ac:dyDescent="0.3">
      <c r="C10" s="178"/>
      <c r="D10" s="178"/>
      <c r="E10" s="178"/>
      <c r="G10" s="311"/>
      <c r="H10" s="311"/>
      <c r="I10" s="311"/>
      <c r="J10" s="311"/>
      <c r="K10" s="177"/>
      <c r="L10" s="177"/>
      <c r="M10" s="177"/>
      <c r="N10" s="175"/>
      <c r="O10" s="175"/>
    </row>
    <row r="11" spans="1:18" ht="21" customHeight="1" x14ac:dyDescent="0.3">
      <c r="B11" s="315" t="s">
        <v>2026</v>
      </c>
      <c r="C11" s="315"/>
      <c r="D11" s="125"/>
      <c r="E11" s="87"/>
      <c r="F11" s="87"/>
      <c r="G11" s="311"/>
      <c r="H11" s="311"/>
      <c r="I11" s="311"/>
      <c r="J11" s="311"/>
      <c r="K11" s="175"/>
      <c r="L11" s="175"/>
      <c r="M11" s="175"/>
      <c r="N11" s="175"/>
      <c r="O11" s="175"/>
    </row>
    <row r="12" spans="1:18" ht="35.25" customHeight="1" x14ac:dyDescent="0.3">
      <c r="B12" s="191" t="s">
        <v>11</v>
      </c>
      <c r="C12" s="192" t="s">
        <v>1987</v>
      </c>
      <c r="D12" s="193"/>
      <c r="E12" s="193"/>
      <c r="F12" s="193"/>
      <c r="G12" s="177"/>
      <c r="H12" s="177"/>
      <c r="I12" s="177"/>
      <c r="J12" s="177"/>
      <c r="K12" s="129"/>
      <c r="L12" s="129"/>
      <c r="M12" s="129"/>
      <c r="N12" s="129"/>
      <c r="O12" s="129"/>
    </row>
    <row r="13" spans="1:18" ht="33.75" customHeight="1" x14ac:dyDescent="0.3">
      <c r="B13" s="191" t="s">
        <v>2028</v>
      </c>
      <c r="C13" s="192" t="s">
        <v>1990</v>
      </c>
      <c r="D13" s="194"/>
      <c r="E13" s="194"/>
      <c r="F13" s="194"/>
      <c r="G13" s="177"/>
      <c r="H13" s="177"/>
      <c r="I13" s="177"/>
      <c r="J13" s="177"/>
      <c r="K13" s="129"/>
      <c r="L13" s="129"/>
      <c r="M13" s="129"/>
      <c r="N13" s="129"/>
      <c r="O13" s="129"/>
    </row>
    <row r="14" spans="1:18" ht="15" customHeight="1" x14ac:dyDescent="0.3">
      <c r="B14" s="190"/>
      <c r="C14" s="190"/>
      <c r="D14" s="195"/>
      <c r="E14" s="196"/>
      <c r="F14" s="196"/>
      <c r="G14" s="177"/>
      <c r="H14" s="177"/>
      <c r="I14" s="177"/>
      <c r="J14" s="177"/>
      <c r="K14" s="129"/>
      <c r="L14" s="129"/>
      <c r="M14" s="129"/>
      <c r="N14" s="129"/>
      <c r="O14" s="129"/>
    </row>
    <row r="15" spans="1:18" ht="23.25" customHeight="1" x14ac:dyDescent="0.3">
      <c r="B15" s="312" t="s">
        <v>2027</v>
      </c>
      <c r="C15" s="312"/>
      <c r="D15" s="190"/>
      <c r="E15" s="190"/>
      <c r="F15" s="190"/>
      <c r="G15" s="177"/>
      <c r="H15" s="177"/>
      <c r="I15" s="177"/>
      <c r="J15" s="177"/>
      <c r="K15" s="129"/>
      <c r="L15" s="129"/>
      <c r="M15" s="129"/>
      <c r="N15" s="129"/>
      <c r="O15" s="129"/>
    </row>
    <row r="16" spans="1:18" ht="31.5" customHeight="1" x14ac:dyDescent="0.3">
      <c r="B16" s="190"/>
      <c r="C16" s="190"/>
      <c r="D16" s="190"/>
      <c r="E16" s="190"/>
      <c r="F16" s="190"/>
      <c r="G16" s="177"/>
      <c r="H16" s="177"/>
      <c r="I16" s="177"/>
      <c r="J16" s="177"/>
      <c r="K16" s="129"/>
      <c r="L16" s="129"/>
      <c r="M16" s="129"/>
      <c r="N16" s="129"/>
      <c r="O16" s="129"/>
    </row>
    <row r="17" spans="2:10" x14ac:dyDescent="0.3">
      <c r="B17" s="190"/>
      <c r="C17" s="190"/>
      <c r="D17" s="190"/>
      <c r="E17" s="190"/>
      <c r="F17" s="190"/>
      <c r="G17" s="177"/>
      <c r="H17" s="177"/>
      <c r="I17" s="177"/>
      <c r="J17" s="177"/>
    </row>
    <row r="18" spans="2:10" x14ac:dyDescent="0.3">
      <c r="G18" s="177"/>
      <c r="H18" s="177"/>
      <c r="I18" s="177"/>
      <c r="J18" s="177"/>
    </row>
    <row r="19" spans="2:10" ht="22.5" customHeight="1" x14ac:dyDescent="0.3">
      <c r="B19" s="310" t="s">
        <v>2029</v>
      </c>
      <c r="C19" s="310"/>
      <c r="G19" s="177"/>
      <c r="H19" s="177"/>
      <c r="I19" s="177"/>
      <c r="J19" s="177"/>
    </row>
    <row r="20" spans="2:10" x14ac:dyDescent="0.3">
      <c r="B20" s="190"/>
      <c r="C20" s="190"/>
      <c r="D20" s="190"/>
      <c r="E20" s="190"/>
      <c r="F20" s="190"/>
      <c r="G20" s="177"/>
      <c r="H20" s="177"/>
      <c r="I20" s="177"/>
      <c r="J20" s="177"/>
    </row>
    <row r="21" spans="2:10" x14ac:dyDescent="0.3">
      <c r="B21" s="190"/>
      <c r="C21" s="190"/>
      <c r="D21" s="190"/>
      <c r="E21" s="190"/>
      <c r="F21" s="190"/>
      <c r="G21" s="177"/>
      <c r="H21" s="177"/>
      <c r="I21" s="177"/>
      <c r="J21" s="177"/>
    </row>
    <row r="22" spans="2:10" x14ac:dyDescent="0.3">
      <c r="B22" s="190"/>
      <c r="C22" s="190"/>
      <c r="D22" s="190"/>
      <c r="E22" s="190"/>
      <c r="F22" s="190"/>
      <c r="G22" s="177"/>
      <c r="H22" s="177"/>
      <c r="I22" s="177"/>
      <c r="J22" s="177"/>
    </row>
    <row r="23" spans="2:10" x14ac:dyDescent="0.3">
      <c r="B23" s="190"/>
      <c r="C23" s="190"/>
      <c r="D23" s="190"/>
      <c r="E23" s="190"/>
      <c r="F23" s="190"/>
      <c r="G23" s="177"/>
      <c r="H23" s="177"/>
      <c r="I23" s="177"/>
      <c r="J23" s="177"/>
    </row>
    <row r="24" spans="2:10" x14ac:dyDescent="0.3">
      <c r="B24" s="190"/>
      <c r="C24" s="190"/>
      <c r="D24" s="190"/>
      <c r="E24" s="190"/>
      <c r="F24" s="190"/>
      <c r="G24" s="177"/>
      <c r="H24" s="177"/>
      <c r="I24" s="177"/>
      <c r="J24" s="177"/>
    </row>
    <row r="25" spans="2:10" x14ac:dyDescent="0.3">
      <c r="B25" s="190"/>
      <c r="C25" s="190"/>
      <c r="D25" s="190"/>
      <c r="E25" s="190"/>
      <c r="F25" s="190"/>
      <c r="G25" s="177"/>
      <c r="H25" s="177"/>
      <c r="I25" s="177"/>
      <c r="J25" s="177"/>
    </row>
    <row r="26" spans="2:10" x14ac:dyDescent="0.3">
      <c r="B26" s="190"/>
      <c r="C26" s="190"/>
      <c r="D26" s="190"/>
      <c r="E26" s="190"/>
      <c r="F26" s="190"/>
      <c r="G26" s="177"/>
      <c r="H26" s="177"/>
      <c r="I26" s="177"/>
      <c r="J26" s="177"/>
    </row>
    <row r="27" spans="2:10" x14ac:dyDescent="0.3">
      <c r="G27" s="177"/>
      <c r="H27" s="177"/>
      <c r="I27" s="177"/>
      <c r="J27" s="177"/>
    </row>
    <row r="28" spans="2:10" x14ac:dyDescent="0.3">
      <c r="G28" s="177"/>
      <c r="H28" s="177"/>
      <c r="I28" s="177"/>
      <c r="J28" s="177"/>
    </row>
    <row r="29" spans="2:10" x14ac:dyDescent="0.3">
      <c r="G29" s="177"/>
      <c r="H29" s="177"/>
      <c r="I29" s="177"/>
      <c r="J29" s="177"/>
    </row>
    <row r="30" spans="2:10" x14ac:dyDescent="0.3">
      <c r="G30" s="177"/>
      <c r="H30" s="177"/>
      <c r="I30" s="177"/>
      <c r="J30" s="177"/>
    </row>
    <row r="31" spans="2:10" x14ac:dyDescent="0.3">
      <c r="G31" s="177"/>
      <c r="H31" s="177"/>
      <c r="I31" s="177"/>
      <c r="J31" s="177"/>
    </row>
    <row r="32" spans="2:10" x14ac:dyDescent="0.3">
      <c r="G32" s="177"/>
      <c r="H32" s="177"/>
      <c r="I32" s="177"/>
      <c r="J32" s="177"/>
    </row>
    <row r="33" spans="7:10" x14ac:dyDescent="0.3">
      <c r="G33" s="177"/>
      <c r="H33" s="177"/>
      <c r="I33" s="177"/>
      <c r="J33" s="177"/>
    </row>
  </sheetData>
  <mergeCells count="8">
    <mergeCell ref="B19:C19"/>
    <mergeCell ref="G7:J11"/>
    <mergeCell ref="B15:C15"/>
    <mergeCell ref="A2:D2"/>
    <mergeCell ref="E2:L2"/>
    <mergeCell ref="B11:C11"/>
    <mergeCell ref="B5:C5"/>
    <mergeCell ref="C7:E8"/>
  </mergeCells>
  <dataValidations count="2">
    <dataValidation type="list" allowBlank="1" showInputMessage="1" showErrorMessage="1" sqref="C12:F12">
      <formula1>DynamicProgramRange</formula1>
    </dataValidation>
    <dataValidation type="list" allowBlank="1" showInputMessage="1" showErrorMessage="1" sqref="C13:F13">
      <formula1>DynamicSpecRange</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7169" r:id="rId4" name="CommandButton1">
          <controlPr defaultSize="0" autoLine="0" r:id="rId5">
            <anchor moveWithCells="1">
              <from>
                <xdr:col>2</xdr:col>
                <xdr:colOff>3590925</xdr:colOff>
                <xdr:row>23</xdr:row>
                <xdr:rowOff>171450</xdr:rowOff>
              </from>
              <to>
                <xdr:col>4</xdr:col>
                <xdr:colOff>409575</xdr:colOff>
                <xdr:row>25</xdr:row>
                <xdr:rowOff>123825</xdr:rowOff>
              </to>
            </anchor>
          </controlPr>
        </control>
      </mc:Choice>
      <mc:Fallback>
        <control shapeId="7169" r:id="rId4" name="CommandButton1"/>
      </mc:Fallback>
    </mc:AlternateContent>
    <mc:AlternateContent xmlns:mc="http://schemas.openxmlformats.org/markup-compatibility/2006">
      <mc:Choice Requires="x14">
        <control shapeId="7172" r:id="rId6" name="Option Button 4">
          <controlPr defaultSize="0" autoFill="0" autoLine="0" autoPict="0">
            <anchor moveWithCells="1">
              <from>
                <xdr:col>1</xdr:col>
                <xdr:colOff>561975</xdr:colOff>
                <xdr:row>15</xdr:row>
                <xdr:rowOff>142875</xdr:rowOff>
              </from>
              <to>
                <xdr:col>2</xdr:col>
                <xdr:colOff>876300</xdr:colOff>
                <xdr:row>16</xdr:row>
                <xdr:rowOff>57150</xdr:rowOff>
              </to>
            </anchor>
          </controlPr>
        </control>
      </mc:Choice>
    </mc:AlternateContent>
    <mc:AlternateContent xmlns:mc="http://schemas.openxmlformats.org/markup-compatibility/2006">
      <mc:Choice Requires="x14">
        <control shapeId="7173" r:id="rId7" name="Option Button 5">
          <controlPr defaultSize="0" autoFill="0" autoLine="0" autoPict="0">
            <anchor moveWithCells="1">
              <from>
                <xdr:col>1</xdr:col>
                <xdr:colOff>561975</xdr:colOff>
                <xdr:row>14</xdr:row>
                <xdr:rowOff>238125</xdr:rowOff>
              </from>
              <to>
                <xdr:col>2</xdr:col>
                <xdr:colOff>876300</xdr:colOff>
                <xdr:row>15</xdr:row>
                <xdr:rowOff>304800</xdr:rowOff>
              </to>
            </anchor>
          </controlPr>
        </control>
      </mc:Choice>
    </mc:AlternateContent>
    <mc:AlternateContent xmlns:mc="http://schemas.openxmlformats.org/markup-compatibility/2006">
      <mc:Choice Requires="x14">
        <control shapeId="7188" r:id="rId8" name="Drop Down 20">
          <controlPr defaultSize="0" autoLine="0" autoPict="0" macro="[0]!Nedrullningsbarlistruta20_Ändra">
            <anchor moveWithCells="1">
              <from>
                <xdr:col>2</xdr:col>
                <xdr:colOff>133350</xdr:colOff>
                <xdr:row>12</xdr:row>
                <xdr:rowOff>85725</xdr:rowOff>
              </from>
              <to>
                <xdr:col>2</xdr:col>
                <xdr:colOff>3790950</xdr:colOff>
                <xdr:row>12</xdr:row>
                <xdr:rowOff>390525</xdr:rowOff>
              </to>
            </anchor>
          </controlPr>
        </control>
      </mc:Choice>
    </mc:AlternateContent>
    <mc:AlternateContent xmlns:mc="http://schemas.openxmlformats.org/markup-compatibility/2006">
      <mc:Choice Requires="x14">
        <control shapeId="7189" r:id="rId9" name="Drop Down 21">
          <controlPr defaultSize="0" autoLine="0" autoPict="0" macro="[0]!Nedrullningsbarlistruta21_Ändra">
            <anchor moveWithCells="1">
              <from>
                <xdr:col>2</xdr:col>
                <xdr:colOff>133350</xdr:colOff>
                <xdr:row>11</xdr:row>
                <xdr:rowOff>85725</xdr:rowOff>
              </from>
              <to>
                <xdr:col>2</xdr:col>
                <xdr:colOff>3790950</xdr:colOff>
                <xdr:row>11</xdr:row>
                <xdr:rowOff>390525</xdr:rowOff>
              </to>
            </anchor>
          </controlPr>
        </control>
      </mc:Choice>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8">
    <tabColor rgb="FF002060"/>
  </sheetPr>
  <dimension ref="A1:W174"/>
  <sheetViews>
    <sheetView zoomScaleNormal="100" workbookViewId="0">
      <selection activeCell="D18" sqref="D18"/>
    </sheetView>
  </sheetViews>
  <sheetFormatPr defaultRowHeight="15" x14ac:dyDescent="0.3"/>
  <cols>
    <col min="1" max="1" width="4.5" style="22" customWidth="1"/>
    <col min="2" max="2" width="18.25" style="22" customWidth="1"/>
    <col min="3" max="3" width="11.25" style="22" customWidth="1"/>
    <col min="4" max="4" width="19.25" style="22" customWidth="1"/>
    <col min="5" max="5" width="16.75" style="22" customWidth="1"/>
    <col min="6" max="6" width="27.25" style="22" customWidth="1"/>
    <col min="7" max="7" width="5.75" style="22" customWidth="1"/>
    <col min="8" max="8" width="10.5" style="22" customWidth="1"/>
    <col min="9" max="9" width="18.125" style="22" bestFit="1" customWidth="1"/>
    <col min="10" max="10" width="9.125" style="22" customWidth="1"/>
    <col min="11" max="11" width="19.25" style="22" customWidth="1"/>
    <col min="12" max="12" width="16.75" style="22" customWidth="1"/>
    <col min="13" max="13" width="4.375" style="22" customWidth="1"/>
    <col min="14" max="14" width="7.75" style="22" customWidth="1"/>
    <col min="15" max="15" width="18.375" style="22" customWidth="1"/>
    <col min="16" max="16" width="9.375" style="22" bestFit="1" customWidth="1"/>
    <col min="17" max="17" width="14.5" style="22" bestFit="1" customWidth="1"/>
    <col min="18" max="18" width="9.25" style="22" bestFit="1" customWidth="1"/>
    <col min="19" max="19" width="4.25" style="22" customWidth="1"/>
    <col min="20" max="20" width="9.25" style="22" bestFit="1" customWidth="1"/>
    <col min="21" max="22" width="4.25" style="22" customWidth="1"/>
    <col min="23" max="23" width="9.25" style="22" bestFit="1" customWidth="1"/>
    <col min="24" max="25" width="9.375" style="22" bestFit="1" customWidth="1"/>
    <col min="26" max="26" width="14.5" style="22" bestFit="1" customWidth="1"/>
    <col min="27" max="27" width="9.25" style="22" bestFit="1" customWidth="1"/>
    <col min="28" max="28" width="4.25" style="22" customWidth="1"/>
    <col min="29" max="29" width="9.25" style="22" bestFit="1" customWidth="1"/>
    <col min="30" max="30" width="9.125" style="22" bestFit="1" customWidth="1"/>
    <col min="31" max="33" width="4.25" style="22" customWidth="1"/>
    <col min="34" max="34" width="9.25" style="22" bestFit="1" customWidth="1"/>
    <col min="35" max="36" width="4.25" style="22" customWidth="1"/>
    <col min="37" max="38" width="9.25" style="22" bestFit="1" customWidth="1"/>
    <col min="39" max="40" width="4.25" style="22" customWidth="1"/>
    <col min="41" max="41" width="9.25" style="22" bestFit="1" customWidth="1"/>
    <col min="42" max="42" width="9.375" style="22" bestFit="1" customWidth="1"/>
    <col min="43" max="43" width="14.5" style="22" bestFit="1" customWidth="1"/>
    <col min="44" max="44" width="9.25" style="22" bestFit="1" customWidth="1"/>
    <col min="45" max="16384" width="9" style="22"/>
  </cols>
  <sheetData>
    <row r="1" spans="1:23" ht="9" customHeight="1" x14ac:dyDescent="0.3">
      <c r="A1" s="1"/>
      <c r="B1" s="1"/>
      <c r="C1" s="1"/>
      <c r="D1" s="1"/>
      <c r="E1" s="1"/>
      <c r="F1" s="1"/>
      <c r="G1" s="1"/>
      <c r="H1" s="1"/>
      <c r="I1" s="1"/>
      <c r="J1" s="1"/>
      <c r="K1" s="1"/>
      <c r="L1" s="1"/>
      <c r="M1" s="1"/>
      <c r="N1" s="1"/>
      <c r="O1" s="1"/>
      <c r="P1" s="1"/>
      <c r="Q1" s="1"/>
      <c r="R1" s="1"/>
      <c r="S1" s="1"/>
      <c r="T1" s="1"/>
      <c r="U1" s="1"/>
      <c r="V1" s="1"/>
      <c r="W1" s="1"/>
    </row>
    <row r="2" spans="1:23" ht="51" customHeight="1" x14ac:dyDescent="0.3">
      <c r="A2" s="10" t="s">
        <v>176</v>
      </c>
      <c r="B2" s="10"/>
      <c r="C2" s="10"/>
      <c r="D2" s="10"/>
      <c r="E2" s="10"/>
      <c r="F2" s="10"/>
      <c r="G2" s="66"/>
      <c r="H2" s="1"/>
      <c r="I2" s="1"/>
      <c r="J2" s="1"/>
      <c r="K2" s="1"/>
      <c r="L2" s="1"/>
      <c r="M2" s="1"/>
      <c r="N2" s="1"/>
      <c r="O2" s="1"/>
      <c r="P2" s="1"/>
      <c r="Q2" s="1"/>
      <c r="R2" s="1"/>
      <c r="S2" s="1"/>
      <c r="T2" s="1"/>
      <c r="U2" s="1"/>
      <c r="V2" s="1"/>
      <c r="W2" s="1"/>
    </row>
    <row r="3" spans="1:23" ht="9" customHeight="1" x14ac:dyDescent="0.3">
      <c r="A3" s="1"/>
      <c r="B3" s="1"/>
      <c r="C3" s="1"/>
      <c r="D3" s="1"/>
      <c r="E3" s="1"/>
      <c r="F3" s="1"/>
      <c r="G3" s="1"/>
      <c r="H3" s="1"/>
      <c r="I3" s="1"/>
      <c r="J3" s="1"/>
      <c r="K3" s="1"/>
      <c r="L3" s="1"/>
      <c r="M3" s="1"/>
      <c r="N3" s="1"/>
      <c r="O3" s="1"/>
      <c r="P3" s="1"/>
      <c r="Q3" s="1"/>
      <c r="R3" s="1"/>
      <c r="S3" s="1"/>
      <c r="T3" s="1"/>
      <c r="U3" s="1"/>
      <c r="V3" s="1"/>
      <c r="W3" s="1"/>
    </row>
    <row r="4" spans="1:23" ht="9" customHeight="1" x14ac:dyDescent="0.3"/>
    <row r="5" spans="1:23" ht="60.75" customHeight="1" thickBot="1" x14ac:dyDescent="0.35">
      <c r="B5" s="317" t="s">
        <v>195</v>
      </c>
      <c r="C5" s="317"/>
      <c r="D5" s="317"/>
      <c r="E5" s="317"/>
    </row>
    <row r="6" spans="1:23" ht="9.75" customHeight="1" thickTop="1" x14ac:dyDescent="0.3"/>
    <row r="7" spans="1:23" ht="9" customHeight="1" x14ac:dyDescent="0.3">
      <c r="A7" s="1"/>
      <c r="B7" s="1"/>
      <c r="C7" s="1"/>
      <c r="D7" s="1"/>
      <c r="E7" s="1"/>
      <c r="F7" s="1"/>
      <c r="G7" s="1"/>
      <c r="H7" s="1"/>
      <c r="I7" s="1"/>
      <c r="J7" s="1"/>
      <c r="K7" s="1"/>
      <c r="L7" s="1"/>
      <c r="M7" s="1"/>
      <c r="N7" s="1"/>
      <c r="O7" s="1"/>
      <c r="P7" s="1"/>
      <c r="Q7" s="1"/>
      <c r="R7" s="1"/>
      <c r="S7" s="1"/>
      <c r="T7" s="1"/>
      <c r="U7" s="1"/>
      <c r="V7" s="1"/>
      <c r="W7" s="1"/>
    </row>
    <row r="8" spans="1:23" ht="51" customHeight="1" x14ac:dyDescent="0.3">
      <c r="A8" s="10" t="s">
        <v>178</v>
      </c>
      <c r="B8" s="10"/>
      <c r="C8" s="1"/>
      <c r="D8" s="1"/>
      <c r="E8" s="1"/>
      <c r="F8" s="6"/>
      <c r="G8" s="318" t="s">
        <v>179</v>
      </c>
      <c r="H8" s="319"/>
      <c r="I8" s="319"/>
      <c r="J8" s="319"/>
      <c r="K8" s="319"/>
      <c r="L8" s="319"/>
      <c r="M8" s="106"/>
      <c r="N8" s="318"/>
      <c r="O8" s="319"/>
      <c r="P8" s="319"/>
      <c r="Q8" s="319"/>
      <c r="R8" s="319"/>
      <c r="S8" s="319"/>
      <c r="T8" s="319"/>
      <c r="U8" s="1"/>
      <c r="V8" s="1"/>
      <c r="W8" s="1"/>
    </row>
    <row r="9" spans="1:23" ht="9" customHeight="1" x14ac:dyDescent="0.3">
      <c r="A9" s="1"/>
      <c r="B9" s="1"/>
      <c r="C9" s="1"/>
      <c r="D9" s="1"/>
      <c r="E9" s="1"/>
      <c r="F9" s="1"/>
      <c r="G9" s="1"/>
      <c r="H9" s="1"/>
      <c r="I9" s="1"/>
      <c r="J9" s="1"/>
      <c r="K9" s="1"/>
      <c r="L9" s="1"/>
      <c r="M9" s="1"/>
      <c r="N9" s="1"/>
      <c r="O9" s="1"/>
      <c r="P9" s="1"/>
      <c r="Q9" s="1"/>
      <c r="R9" s="1"/>
      <c r="S9" s="1"/>
      <c r="T9" s="1"/>
      <c r="U9" s="1"/>
      <c r="V9" s="1"/>
      <c r="W9" s="1"/>
    </row>
    <row r="10" spans="1:23" ht="23.25" x14ac:dyDescent="0.3">
      <c r="A10" s="100"/>
      <c r="B10" s="100"/>
      <c r="C10" s="100"/>
      <c r="D10" s="100"/>
    </row>
    <row r="11" spans="1:23" ht="20.25" x14ac:dyDescent="0.3">
      <c r="A11" s="22" t="s">
        <v>78</v>
      </c>
      <c r="B11" s="22">
        <f>COUNTIF($B$16:$B$148,"?*")</f>
        <v>13</v>
      </c>
      <c r="D11" s="102" t="s">
        <v>177</v>
      </c>
      <c r="G11" s="101"/>
      <c r="O11" s="102" t="s">
        <v>177</v>
      </c>
      <c r="P11" s="22">
        <f>COUNTIF($O$16:$O$148,"?*")</f>
        <v>3</v>
      </c>
    </row>
    <row r="12" spans="1:23" x14ac:dyDescent="0.3">
      <c r="C12" s="22" t="s">
        <v>185</v>
      </c>
      <c r="D12" s="22" t="s">
        <v>182</v>
      </c>
      <c r="G12" s="101"/>
      <c r="P12" s="22" t="s">
        <v>185</v>
      </c>
      <c r="Q12" s="22" t="s">
        <v>182</v>
      </c>
    </row>
    <row r="13" spans="1:23" x14ac:dyDescent="0.3">
      <c r="C13" s="22" t="s">
        <v>185</v>
      </c>
      <c r="D13" s="22" t="s">
        <v>184</v>
      </c>
      <c r="G13" s="101"/>
      <c r="P13" s="22" t="s">
        <v>185</v>
      </c>
      <c r="Q13" s="22" t="s">
        <v>184</v>
      </c>
    </row>
    <row r="14" spans="1:23" x14ac:dyDescent="0.3">
      <c r="C14" s="22" t="s">
        <v>185</v>
      </c>
      <c r="D14" s="22" t="s">
        <v>183</v>
      </c>
      <c r="G14" s="101"/>
      <c r="P14" s="22" t="s">
        <v>185</v>
      </c>
      <c r="Q14" s="22" t="s">
        <v>183</v>
      </c>
    </row>
    <row r="15" spans="1:23" ht="13.5" customHeight="1" x14ac:dyDescent="0.3">
      <c r="C15" s="22" t="s">
        <v>185</v>
      </c>
      <c r="D15" s="22" t="s">
        <v>171</v>
      </c>
      <c r="F15" s="102"/>
      <c r="H15" s="103" t="s">
        <v>4</v>
      </c>
      <c r="I15" s="22" t="s">
        <v>28</v>
      </c>
      <c r="J15" s="22" t="s">
        <v>44</v>
      </c>
      <c r="K15" s="105" t="s">
        <v>60</v>
      </c>
      <c r="L15" s="105" t="s">
        <v>64</v>
      </c>
      <c r="M15" s="104"/>
      <c r="P15" s="22" t="s">
        <v>185</v>
      </c>
      <c r="Q15" s="22" t="s">
        <v>171</v>
      </c>
    </row>
    <row r="16" spans="1:23" x14ac:dyDescent="0.3">
      <c r="B16" s="22" t="str">
        <f>IFERROR(IF(Program=Spec[[#This Row],[PROGRAM]],Spec[[#This Row],[INRIKTNING]],""),"")</f>
        <v/>
      </c>
      <c r="C16" s="22">
        <f>ROWS('Program och examenskrav'!F28:Spec[[#Headers],[INRIKTNING]])</f>
        <v>1</v>
      </c>
      <c r="D16" s="22" t="str">
        <f t="array" ref="D16">IF(ROWS($D$16:D16)&gt;$B$11,"",INDEX($B$16:$B$149,SMALL(IF($B$16:$B$149&lt;&gt;"",ROW($B$16:$B$149)-ROW($D$16)+1),ROWS(D$16:D16))))</f>
        <v>Datateknik</v>
      </c>
      <c r="H16" s="22">
        <v>1</v>
      </c>
      <c r="K16" s="104">
        <v>3</v>
      </c>
      <c r="L16" s="104">
        <v>24</v>
      </c>
      <c r="M16" s="104"/>
      <c r="O16" s="22" t="str">
        <f>IFERROR(IF(ProgramForNewCourse=Spec[[#This Row],[PROGRAM]],Spec[[#This Row],[INRIKTNING]],""),"")</f>
        <v/>
      </c>
      <c r="P16" s="22">
        <f>ROWS('Program och examenskrav'!S28:Spec[[#Headers],[INRIKTNING]])</f>
        <v>1</v>
      </c>
      <c r="Q16" s="22" t="str">
        <f t="array" ref="Q16">IF(ROWS($Q$16:Q16)&gt;$P$11,"",INDEX($O$16:$O$149,SMALL(IF($O$16:$O$149&lt;&gt;"",ROW($O$16:$O$149)-ROW($Q$16)+1),ROWS(Q$16:Q16))))</f>
        <v>Industriell bioteknik och produktion</v>
      </c>
    </row>
    <row r="17" spans="2:17" x14ac:dyDescent="0.3">
      <c r="B17" s="22" t="str">
        <f>IFERROR(IF(Program=Spec[[#This Row],[PROGRAM]],Spec[[#This Row],[INRIKTNING]],""),"")</f>
        <v/>
      </c>
      <c r="C17" s="22">
        <f>ROWS('Program och examenskrav'!F29:Spec[[#Headers],[INRIKTNING]])</f>
        <v>2</v>
      </c>
      <c r="D17" s="22" t="str">
        <f t="array" ref="D17">IF(ROWS($D$16:D17)&gt;$B$11,"",INDEX($B$16:$B$149,SMALL(IF($B$16:$B$149&lt;&gt;"",ROW($B$16:$B$149)-ROW($D$16)+1),ROWS(D$16:D17))))</f>
        <v>Systemteknik</v>
      </c>
      <c r="I17" s="22">
        <v>2</v>
      </c>
      <c r="K17" s="104">
        <v>1</v>
      </c>
      <c r="L17" s="104">
        <v>6</v>
      </c>
      <c r="M17" s="104"/>
      <c r="O17" s="22" t="str">
        <f>IFERROR(IF(ProgramForNewCourse=Spec[[#This Row],[PROGRAM]],Spec[[#This Row],[INRIKTNING]],""),"")</f>
        <v/>
      </c>
      <c r="P17" s="22">
        <f>ROWS('Program och examenskrav'!S29:Spec[[#Headers],[INRIKTNING]])</f>
        <v>2</v>
      </c>
      <c r="Q17" s="22" t="str">
        <f t="array" ref="Q17">IF(ROWS($Q$16:Q17)&gt;$P$11,"",INDEX($O$16:$O$149,SMALL(IF($O$16:$O$149&lt;&gt;"",ROW($O$16:$O$149)-ROW($Q$16)+1),ROWS(Q$16:Q17))))</f>
        <v>Sensorer och material i biomedicin</v>
      </c>
    </row>
    <row r="18" spans="2:17" x14ac:dyDescent="0.3">
      <c r="B18" s="22" t="str">
        <f>IFERROR(IF(Program=Spec[[#This Row],[PROGRAM]],Spec[[#This Row],[INRIKTNING]],""),"")</f>
        <v/>
      </c>
      <c r="C18" s="22">
        <f>ROWS('Program och examenskrav'!F30:Spec[[#Headers],[INRIKTNING]])</f>
        <v>3</v>
      </c>
      <c r="D18" s="22" t="str">
        <f t="array" ref="D18">IF(ROWS($D$16:D18)&gt;$B$11,"",INDEX($B$16:$B$149,SMALL(IF($B$16:$B$149&lt;&gt;"",ROW($B$16:$B$149)-ROW($D$16)+1),ROWS(D$16:D18))))</f>
        <v>Maskinteknik</v>
      </c>
      <c r="J18" s="22">
        <v>3</v>
      </c>
      <c r="K18" s="104">
        <v>1</v>
      </c>
      <c r="L18" s="104">
        <v>6</v>
      </c>
      <c r="M18" s="104"/>
      <c r="O18" s="22" t="str">
        <f>IFERROR(IF(ProgramForNewCourse=Spec[[#This Row],[PROGRAM]],Spec[[#This Row],[INRIKTNING]],""),"")</f>
        <v/>
      </c>
      <c r="P18" s="22">
        <f>ROWS('Program och examenskrav'!S30:Spec[[#Headers],[INRIKTNING]])</f>
        <v>3</v>
      </c>
      <c r="Q18" s="22" t="str">
        <f t="array" ref="Q18">IF(ROWS($Q$16:Q18)&gt;$P$11,"",INDEX($O$16:$O$149,SMALL(IF($O$16:$O$149&lt;&gt;"",ROW($O$16:$O$149)-ROW($Q$16)+1),ROWS(Q$16:Q18))))</f>
        <v>Kemisk biologi</v>
      </c>
    </row>
    <row r="19" spans="2:17" x14ac:dyDescent="0.3">
      <c r="B19" s="22" t="str">
        <f>IFERROR(IF(Program=Spec[[#This Row],[PROGRAM]],Spec[[#This Row],[INRIKTNING]],""),"")</f>
        <v/>
      </c>
      <c r="C19" s="22">
        <f>ROWS('Program och examenskrav'!F31:Spec[[#Headers],[INRIKTNING]])</f>
        <v>4</v>
      </c>
      <c r="D19" s="22" t="str">
        <f t="array" ref="D19">IF(ROWS($D$16:D19)&gt;$B$11,"",INDEX($B$16:$B$149,SMALL(IF($B$16:$B$149&lt;&gt;"",ROW($B$16:$B$149)-ROW($D$16)+1),ROWS(D$16:D19))))</f>
        <v>Energiteknik</v>
      </c>
      <c r="K19" s="104"/>
      <c r="L19" s="104"/>
      <c r="M19" s="104"/>
      <c r="O19" s="22" t="str">
        <f>IFERROR(IF(ProgramForNewCourse=Spec[[#This Row],[PROGRAM]],Spec[[#This Row],[INRIKTNING]],""),"")</f>
        <v/>
      </c>
      <c r="P19" s="22">
        <f>ROWS('Program och examenskrav'!S31:Spec[[#Headers],[INRIKTNING]])</f>
        <v>4</v>
      </c>
      <c r="Q19" s="22" t="str">
        <f t="array" ref="Q19">IF(ROWS($Q$16:Q19)&gt;$P$11,"",INDEX($O$16:$O$149,SMALL(IF($O$16:$O$149&lt;&gt;"",ROW($O$16:$O$149)-ROW($Q$16)+1),ROWS(Q$16:Q19))))</f>
        <v/>
      </c>
    </row>
    <row r="20" spans="2:17" x14ac:dyDescent="0.3">
      <c r="B20" s="22" t="str">
        <f>IFERROR(IF(Program=Spec[[#This Row],[PROGRAM]],Spec[[#This Row],[INRIKTNING]],""),"")</f>
        <v/>
      </c>
      <c r="C20" s="22">
        <f>ROWS('Program och examenskrav'!F32:Spec[[#Headers],[INRIKTNING]])</f>
        <v>5</v>
      </c>
      <c r="D20" s="22" t="str">
        <f t="array" ref="D20">IF(ROWS($D$16:D20)&gt;$B$11,"",INDEX($B$16:$B$149,SMALL(IF($B$16:$B$149&lt;&gt;"",ROW($B$16:$B$149)-ROW($D$16)+1),ROWS(D$16:D20))))</f>
        <v>Bioteknik</v>
      </c>
      <c r="I20" s="22" t="s">
        <v>2042</v>
      </c>
      <c r="K20" s="104">
        <v>2</v>
      </c>
      <c r="L20" s="104">
        <v>18</v>
      </c>
      <c r="M20" s="104"/>
      <c r="O20" s="22" t="str">
        <f>IFERROR(IF(ProgramForNewCourse=Spec[[#This Row],[PROGRAM]],Spec[[#This Row],[INRIKTNING]],""),"")</f>
        <v/>
      </c>
      <c r="P20" s="22">
        <f>ROWS('Program och examenskrav'!S32:Spec[[#Headers],[INRIKTNING]])</f>
        <v>5</v>
      </c>
      <c r="Q20" s="22" t="str">
        <f t="array" ref="Q20">IF(ROWS($Q$16:Q20)&gt;$P$11,"",INDEX($O$16:$O$149,SMALL(IF($O$16:$O$149&lt;&gt;"",ROW($O$16:$O$149)-ROW($Q$16)+1),ROWS(Q$16:Q20))))</f>
        <v/>
      </c>
    </row>
    <row r="21" spans="2:17" x14ac:dyDescent="0.3">
      <c r="B21" s="22" t="str">
        <f>IFERROR(IF(Program=Spec[[#This Row],[PROGRAM]],Spec[[#This Row],[INRIKTNING]],""),"")</f>
        <v/>
      </c>
      <c r="C21" s="22">
        <f>ROWS('Program och examenskrav'!F33:Spec[[#Headers],[INRIKTNING]])</f>
        <v>6</v>
      </c>
      <c r="D21" s="22" t="str">
        <f t="array" ref="D21">IF(ROWS($D$16:D21)&gt;$B$11,"",INDEX($B$16:$B$149,SMALL(IF($B$16:$B$149&lt;&gt;"",ROW($B$16:$B$149)-ROW($D$16)+1),ROWS(D$16:D21))))</f>
        <v>Finans</v>
      </c>
      <c r="J21" s="22" t="s">
        <v>2043</v>
      </c>
      <c r="K21" s="104">
        <v>1</v>
      </c>
      <c r="L21" s="104">
        <v>8</v>
      </c>
      <c r="M21" s="104"/>
      <c r="O21" s="22" t="str">
        <f>IFERROR(IF(ProgramForNewCourse=Spec[[#This Row],[PROGRAM]],Spec[[#This Row],[INRIKTNING]],""),"")</f>
        <v/>
      </c>
      <c r="P21" s="22">
        <f>ROWS('Program och examenskrav'!S33:Spec[[#Headers],[INRIKTNING]])</f>
        <v>6</v>
      </c>
      <c r="Q21" s="22" t="str">
        <f t="array" ref="Q21">IF(ROWS($Q$16:Q21)&gt;$P$11,"",INDEX($O$16:$O$149,SMALL(IF($O$16:$O$149&lt;&gt;"",ROW($O$16:$O$149)-ROW($Q$16)+1),ROWS(Q$16:Q21))))</f>
        <v/>
      </c>
    </row>
    <row r="22" spans="2:17" x14ac:dyDescent="0.3">
      <c r="B22" s="22" t="str">
        <f>IFERROR(IF(Program=Spec[[#This Row],[PROGRAM]],Spec[[#This Row],[INRIKTNING]],""),"")</f>
        <v/>
      </c>
      <c r="C22" s="22">
        <f>ROWS('Program och examenskrav'!F34:Spec[[#Headers],[INRIKTNING]])</f>
        <v>7</v>
      </c>
      <c r="D22" s="22" t="str">
        <f t="array" ref="D22">IF(ROWS($D$16:D22)&gt;$B$11,"",INDEX($B$16:$B$149,SMALL(IF($B$16:$B$149&lt;&gt;"",ROW($B$16:$B$149)-ROW($D$16)+1),ROWS(D$16:D22))))</f>
        <v>Ekonomiska informationssystem</v>
      </c>
      <c r="J22" s="22" t="s">
        <v>2044</v>
      </c>
      <c r="K22" s="104">
        <v>1</v>
      </c>
      <c r="L22" s="104">
        <v>10</v>
      </c>
      <c r="M22" s="104"/>
      <c r="O22" s="22" t="str">
        <f>IFERROR(IF(ProgramForNewCourse=Spec[[#This Row],[PROGRAM]],Spec[[#This Row],[INRIKTNING]],""),"")</f>
        <v/>
      </c>
      <c r="P22" s="22">
        <f>ROWS('Program och examenskrav'!S34:Spec[[#Headers],[INRIKTNING]])</f>
        <v>7</v>
      </c>
      <c r="Q22" s="22" t="str">
        <f t="array" ref="Q22">IF(ROWS($Q$16:Q22)&gt;$P$11,"",INDEX($O$16:$O$149,SMALL(IF($O$16:$O$149&lt;&gt;"",ROW($O$16:$O$149)-ROW($Q$16)+1),ROWS(Q$16:Q22))))</f>
        <v/>
      </c>
    </row>
    <row r="23" spans="2:17" x14ac:dyDescent="0.3">
      <c r="B23" s="22" t="str">
        <f>IFERROR(IF(Program=Spec[[#This Row],[PROGRAM]],Spec[[#This Row],[INRIKTNING]],""),"")</f>
        <v/>
      </c>
      <c r="C23" s="22">
        <f>ROWS('Program och examenskrav'!F35:Spec[[#Headers],[INRIKTNING]])</f>
        <v>8</v>
      </c>
      <c r="D23" s="22" t="str">
        <f t="array" ref="D23">IF(ROWS($D$16:D23)&gt;$B$11,"",INDEX($B$16:$B$149,SMALL(IF($B$16:$B$149&lt;&gt;"",ROW($B$16:$B$149)-ROW($D$16)+1),ROWS(D$16:D23))))</f>
        <v>Industriell marknadsföring</v>
      </c>
      <c r="K23" s="104"/>
      <c r="L23" s="104"/>
      <c r="M23" s="104"/>
      <c r="O23" s="22" t="str">
        <f>IFERROR(IF(ProgramForNewCourse=Spec[[#This Row],[PROGRAM]],Spec[[#This Row],[INRIKTNING]],""),"")</f>
        <v/>
      </c>
      <c r="P23" s="22">
        <f>ROWS('Program och examenskrav'!S35:Spec[[#Headers],[INRIKTNING]])</f>
        <v>8</v>
      </c>
      <c r="Q23" s="22" t="str">
        <f t="array" ref="Q23">IF(ROWS($Q$16:Q23)&gt;$P$11,"",INDEX($O$16:$O$149,SMALL(IF($O$16:$O$149&lt;&gt;"",ROW($O$16:$O$149)-ROW($Q$16)+1),ROWS(Q$16:Q23))))</f>
        <v/>
      </c>
    </row>
    <row r="24" spans="2:17" x14ac:dyDescent="0.3">
      <c r="B24" s="22" t="str">
        <f>IFERROR(IF(Program=Spec[[#This Row],[PROGRAM]],Spec[[#This Row],[INRIKTNING]],""),"")</f>
        <v/>
      </c>
      <c r="C24" s="22">
        <f>ROWS('Program och examenskrav'!F36:Spec[[#Headers],[INRIKTNING]])</f>
        <v>9</v>
      </c>
      <c r="D24" s="22" t="str">
        <f t="array" ref="D24">IF(ROWS($D$16:D24)&gt;$B$11,"",INDEX($B$16:$B$149,SMALL(IF($B$16:$B$149&lt;&gt;"",ROW($B$16:$B$149)-ROW($D$16)+1),ROWS(D$16:D24))))</f>
        <v>Kvalitets- och verksamhetsutveckling</v>
      </c>
      <c r="H24" s="22">
        <v>2</v>
      </c>
      <c r="K24" s="104">
        <v>3</v>
      </c>
      <c r="L24" s="104">
        <v>20</v>
      </c>
      <c r="M24" s="104"/>
      <c r="O24" s="22" t="str">
        <f>IFERROR(IF(ProgramForNewCourse=Spec[[#This Row],[PROGRAM]],Spec[[#This Row],[INRIKTNING]],""),"")</f>
        <v/>
      </c>
      <c r="P24" s="22">
        <f>ROWS('Program och examenskrav'!S36:Spec[[#Headers],[INRIKTNING]])</f>
        <v>9</v>
      </c>
      <c r="Q24" s="22" t="str">
        <f t="array" ref="Q24">IF(ROWS($Q$16:Q24)&gt;$P$11,"",INDEX($O$16:$O$149,SMALL(IF($O$16:$O$149&lt;&gt;"",ROW($O$16:$O$149)-ROW($Q$16)+1),ROWS(Q$16:Q24))))</f>
        <v/>
      </c>
    </row>
    <row r="25" spans="2:17" x14ac:dyDescent="0.3">
      <c r="B25" s="22" t="str">
        <f>IFERROR(IF(Program=Spec[[#This Row],[PROGRAM]],Spec[[#This Row],[INRIKTNING]],""),"")</f>
        <v/>
      </c>
      <c r="C25" s="22">
        <f>ROWS('Program och examenskrav'!F37:Spec[[#Headers],[INRIKTNING]])</f>
        <v>10</v>
      </c>
      <c r="D25" s="22" t="str">
        <f t="array" ref="D25">IF(ROWS($D$16:D25)&gt;$B$11,"",INDEX($B$16:$B$149,SMALL(IF($B$16:$B$149&lt;&gt;"",ROW($B$16:$B$149)-ROW($D$16)+1),ROWS(D$16:D25))))</f>
        <v>Logistik</v>
      </c>
      <c r="I25" s="22">
        <v>1</v>
      </c>
      <c r="K25" s="104">
        <v>1</v>
      </c>
      <c r="L25" s="104">
        <v>6</v>
      </c>
      <c r="M25" s="104"/>
      <c r="O25" s="22" t="str">
        <f>IFERROR(IF(ProgramForNewCourse=Spec[[#This Row],[PROGRAM]],Spec[[#This Row],[INRIKTNING]],""),"")</f>
        <v/>
      </c>
      <c r="P25" s="22">
        <f>ROWS('Program och examenskrav'!S37:Spec[[#Headers],[INRIKTNING]])</f>
        <v>10</v>
      </c>
      <c r="Q25" s="22" t="str">
        <f t="array" ref="Q25">IF(ROWS($Q$16:Q25)&gt;$P$11,"",INDEX($O$16:$O$149,SMALL(IF($O$16:$O$149&lt;&gt;"",ROW($O$16:$O$149)-ROW($Q$16)+1),ROWS(Q$16:Q25))))</f>
        <v/>
      </c>
    </row>
    <row r="26" spans="2:17" x14ac:dyDescent="0.3">
      <c r="B26" s="22" t="str">
        <f>IFERROR(IF(Program=Spec[[#This Row],[PROGRAM]],Spec[[#This Row],[INRIKTNING]],""),"")</f>
        <v/>
      </c>
      <c r="C26" s="22">
        <f>ROWS('Program och examenskrav'!F38:Spec[[#Headers],[INRIKTNING]])</f>
        <v>11</v>
      </c>
      <c r="D26" s="22" t="str">
        <f t="array" ref="D26">IF(ROWS($D$16:D26)&gt;$B$11,"",INDEX($B$16:$B$149,SMALL(IF($B$16:$B$149&lt;&gt;"",ROW($B$16:$B$149)-ROW($D$16)+1),ROWS(D$16:D26))))</f>
        <v>Produktionsledning</v>
      </c>
      <c r="J26" s="22">
        <v>2</v>
      </c>
      <c r="K26" s="104">
        <v>1</v>
      </c>
      <c r="L26" s="104">
        <v>6</v>
      </c>
      <c r="M26" s="104"/>
      <c r="O26" s="22" t="str">
        <f>IFERROR(IF(ProgramForNewCourse=Spec[[#This Row],[PROGRAM]],Spec[[#This Row],[INRIKTNING]],""),"")</f>
        <v/>
      </c>
      <c r="P26" s="22">
        <f>ROWS('Program och examenskrav'!S38:Spec[[#Headers],[INRIKTNING]])</f>
        <v>11</v>
      </c>
      <c r="Q26" s="22" t="str">
        <f t="array" ref="Q26">IF(ROWS($Q$16:Q26)&gt;$P$11,"",INDEX($O$16:$O$149,SMALL(IF($O$16:$O$149&lt;&gt;"",ROW($O$16:$O$149)-ROW($Q$16)+1),ROWS(Q$16:Q26))))</f>
        <v/>
      </c>
    </row>
    <row r="27" spans="2:17" x14ac:dyDescent="0.3">
      <c r="B27" s="22" t="str">
        <f>IFERROR(IF(Program=Spec[[#This Row],[PROGRAM]],Spec[[#This Row],[INRIKTNING]],""),"")</f>
        <v/>
      </c>
      <c r="C27" s="22">
        <f>ROWS('Program och examenskrav'!F39:Spec[[#Headers],[INRIKTNING]])</f>
        <v>12</v>
      </c>
      <c r="D27" s="22" t="str">
        <f t="array" ref="D27">IF(ROWS($D$16:D27)&gt;$B$11,"",INDEX($B$16:$B$149,SMALL(IF($B$16:$B$149&lt;&gt;"",ROW($B$16:$B$149)-ROW($D$16)+1),ROWS(D$16:D27))))</f>
        <v>Projekt, innovation och entreprenörskap</v>
      </c>
      <c r="K27" s="104"/>
      <c r="L27" s="104"/>
      <c r="M27" s="104"/>
      <c r="O27" s="22" t="str">
        <f>IFERROR(IF(ProgramForNewCourse=Spec[[#This Row],[PROGRAM]],Spec[[#This Row],[INRIKTNING]],""),"")</f>
        <v/>
      </c>
      <c r="P27" s="22">
        <f>ROWS('Program och examenskrav'!S39:Spec[[#Headers],[INRIKTNING]])</f>
        <v>12</v>
      </c>
      <c r="Q27" s="22" t="str">
        <f t="array" ref="Q27">IF(ROWS($Q$16:Q27)&gt;$P$11,"",INDEX($O$16:$O$149,SMALL(IF($O$16:$O$149&lt;&gt;"",ROW($O$16:$O$149)-ROW($Q$16)+1),ROWS(Q$16:Q27))))</f>
        <v/>
      </c>
    </row>
    <row r="28" spans="2:17" x14ac:dyDescent="0.3">
      <c r="B28" s="22" t="str">
        <f>IFERROR(IF(Program=Spec[[#This Row],[PROGRAM]],Spec[[#This Row],[INRIKTNING]],""),"")</f>
        <v/>
      </c>
      <c r="C28" s="22">
        <f>ROWS('Program och examenskrav'!F40:Spec[[#Headers],[INRIKTNING]])</f>
        <v>13</v>
      </c>
      <c r="D28" s="22" t="str">
        <f t="array" ref="D28">IF(ROWS($D$16:D28)&gt;$B$11,"",INDEX($B$16:$B$149,SMALL(IF($B$16:$B$149&lt;&gt;"",ROW($B$16:$B$149)-ROW($D$16)+1),ROWS(D$16:D28))))</f>
        <v>Strategi och styrning</v>
      </c>
      <c r="I28" s="22">
        <v>2</v>
      </c>
      <c r="K28" s="104">
        <v>1</v>
      </c>
      <c r="L28" s="104">
        <v>8</v>
      </c>
      <c r="M28" s="104"/>
      <c r="O28" s="22" t="str">
        <f>IFERROR(IF(ProgramForNewCourse=Spec[[#This Row],[PROGRAM]],Spec[[#This Row],[INRIKTNING]],""),"")</f>
        <v/>
      </c>
      <c r="P28" s="22">
        <f>ROWS('Program och examenskrav'!S40:Spec[[#Headers],[INRIKTNING]])</f>
        <v>13</v>
      </c>
      <c r="Q28" s="22" t="str">
        <f t="array" ref="Q28">IF(ROWS($Q$16:Q28)&gt;$P$11,"",INDEX($O$16:$O$149,SMALL(IF($O$16:$O$149&lt;&gt;"",ROW($O$16:$O$149)-ROW($Q$16)+1),ROWS(Q$16:Q28))))</f>
        <v/>
      </c>
    </row>
    <row r="29" spans="2:17" x14ac:dyDescent="0.3">
      <c r="B29" s="22" t="str">
        <f>IFERROR(IF(Program=Spec[[#This Row],[PROGRAM]],Spec[[#This Row],[INRIKTNING]],""),"")</f>
        <v>Datateknik</v>
      </c>
      <c r="C29" s="22">
        <f>ROWS('Program och examenskrav'!F41:Spec[[#Headers],[INRIKTNING]])</f>
        <v>14</v>
      </c>
      <c r="D29" s="22" t="str">
        <f t="array" ref="D29">IF(ROWS($D$16:D29)&gt;$B$11,"",INDEX($B$16:$B$149,SMALL(IF($B$16:$B$149&lt;&gt;"",ROW($B$16:$B$149)-ROW($D$16)+1),ROWS(D$16:D29))))</f>
        <v/>
      </c>
      <c r="J29" s="22">
        <v>2</v>
      </c>
      <c r="K29" s="104">
        <v>1</v>
      </c>
      <c r="L29" s="104">
        <v>8</v>
      </c>
      <c r="M29" s="104"/>
      <c r="O29" s="22" t="str">
        <f>IFERROR(IF(ProgramForNewCourse=Spec[[#This Row],[PROGRAM]],Spec[[#This Row],[INRIKTNING]],""),"")</f>
        <v/>
      </c>
      <c r="P29" s="22">
        <f>ROWS('Program och examenskrav'!S41:Spec[[#Headers],[INRIKTNING]])</f>
        <v>14</v>
      </c>
      <c r="Q29" s="22" t="str">
        <f t="array" ref="Q29">IF(ROWS($Q$16:Q29)&gt;$P$11,"",INDEX($O$16:$O$149,SMALL(IF($O$16:$O$149&lt;&gt;"",ROW($O$16:$O$149)-ROW($Q$16)+1),ROWS(Q$16:Q29))))</f>
        <v/>
      </c>
    </row>
    <row r="30" spans="2:17" x14ac:dyDescent="0.3">
      <c r="B30" s="22" t="str">
        <f>IFERROR(IF(Program=Spec[[#This Row],[PROGRAM]],Spec[[#This Row],[INRIKTNING]],""),"")</f>
        <v>Systemteknik</v>
      </c>
      <c r="C30" s="22">
        <f>ROWS('Program och examenskrav'!F42:Spec[[#Headers],[INRIKTNING]])</f>
        <v>15</v>
      </c>
      <c r="D30" s="22" t="str">
        <f t="array" ref="D30">IF(ROWS($D$16:D30)&gt;$B$11,"",INDEX($B$16:$B$149,SMALL(IF($B$16:$B$149&lt;&gt;"",ROW($B$16:$B$149)-ROW($D$16)+1),ROWS(D$16:D30))))</f>
        <v/>
      </c>
      <c r="K30" s="104"/>
      <c r="L30" s="104"/>
      <c r="M30" s="104"/>
      <c r="O30" s="22" t="str">
        <f>IFERROR(IF(ProgramForNewCourse=Spec[[#This Row],[PROGRAM]],Spec[[#This Row],[INRIKTNING]],""),"")</f>
        <v/>
      </c>
      <c r="P30" s="22">
        <f>ROWS('Program och examenskrav'!S42:Spec[[#Headers],[INRIKTNING]])</f>
        <v>15</v>
      </c>
      <c r="Q30" s="22" t="str">
        <f t="array" ref="Q30">IF(ROWS($Q$16:Q30)&gt;$P$11,"",INDEX($O$16:$O$149,SMALL(IF($O$16:$O$149&lt;&gt;"",ROW($O$16:$O$149)-ROW($Q$16)+1),ROWS(Q$16:Q30))))</f>
        <v/>
      </c>
    </row>
    <row r="31" spans="2:17" x14ac:dyDescent="0.3">
      <c r="B31" s="22" t="str">
        <f>IFERROR(IF(Program=Spec[[#This Row],[PROGRAM]],Spec[[#This Row],[INRIKTNING]],""),"")</f>
        <v>Maskinteknik</v>
      </c>
      <c r="C31" s="22">
        <f>ROWS('Program och examenskrav'!F43:Spec[[#Headers],[INRIKTNING]])</f>
        <v>16</v>
      </c>
      <c r="D31" s="22" t="str">
        <f t="array" ref="D31">IF(ROWS($D$16:D31)&gt;$B$11,"",INDEX($B$16:$B$149,SMALL(IF($B$16:$B$149&lt;&gt;"",ROW($B$16:$B$149)-ROW($D$16)+1),ROWS(D$16:D31))))</f>
        <v/>
      </c>
      <c r="I31" s="22" t="s">
        <v>2042</v>
      </c>
      <c r="K31" s="104">
        <v>1</v>
      </c>
      <c r="L31" s="104">
        <v>6</v>
      </c>
      <c r="M31" s="104"/>
      <c r="O31" s="22" t="str">
        <f>IFERROR(IF(ProgramForNewCourse=Spec[[#This Row],[PROGRAM]],Spec[[#This Row],[INRIKTNING]],""),"")</f>
        <v/>
      </c>
      <c r="P31" s="22">
        <f>ROWS('Program och examenskrav'!S43:Spec[[#Headers],[INRIKTNING]])</f>
        <v>16</v>
      </c>
      <c r="Q31" s="22" t="str">
        <f t="array" ref="Q31">IF(ROWS($Q$16:Q31)&gt;$P$11,"",INDEX($O$16:$O$149,SMALL(IF($O$16:$O$149&lt;&gt;"",ROW($O$16:$O$149)-ROW($Q$16)+1),ROWS(Q$16:Q31))))</f>
        <v/>
      </c>
    </row>
    <row r="32" spans="2:17" x14ac:dyDescent="0.3">
      <c r="B32" s="22" t="str">
        <f>IFERROR(IF(Program=Spec[[#This Row],[PROGRAM]],Spec[[#This Row],[INRIKTNING]],""),"")</f>
        <v>Energiteknik</v>
      </c>
      <c r="C32" s="22">
        <f>ROWS('Program och examenskrav'!F44:Spec[[#Headers],[INRIKTNING]])</f>
        <v>17</v>
      </c>
      <c r="D32" s="22" t="str">
        <f t="array" ref="D32">IF(ROWS($D$16:D32)&gt;$B$11,"",INDEX($B$16:$B$149,SMALL(IF($B$16:$B$149&lt;&gt;"",ROW($B$16:$B$149)-ROW($D$16)+1),ROWS(D$16:D32))))</f>
        <v/>
      </c>
      <c r="J32" s="22" t="s">
        <v>2045</v>
      </c>
      <c r="K32" s="104">
        <v>1</v>
      </c>
      <c r="L32" s="104">
        <v>6</v>
      </c>
      <c r="M32" s="104"/>
      <c r="O32" s="22" t="str">
        <f>IFERROR(IF(ProgramForNewCourse=Spec[[#This Row],[PROGRAM]],Spec[[#This Row],[INRIKTNING]],""),"")</f>
        <v/>
      </c>
      <c r="P32" s="22">
        <f>ROWS('Program och examenskrav'!S44:Spec[[#Headers],[INRIKTNING]])</f>
        <v>17</v>
      </c>
      <c r="Q32" s="22" t="str">
        <f t="array" ref="Q32">IF(ROWS($Q$16:Q32)&gt;$P$11,"",INDEX($O$16:$O$149,SMALL(IF($O$16:$O$149&lt;&gt;"",ROW($O$16:$O$149)-ROW($Q$16)+1),ROWS(Q$16:Q32))))</f>
        <v/>
      </c>
    </row>
    <row r="33" spans="2:17" x14ac:dyDescent="0.3">
      <c r="B33" s="22" t="str">
        <f>IFERROR(IF(Program=Spec[[#This Row],[PROGRAM]],Spec[[#This Row],[INRIKTNING]],""),"")</f>
        <v>Bioteknik</v>
      </c>
      <c r="C33" s="22">
        <f>ROWS('Program och examenskrav'!F45:Spec[[#Headers],[INRIKTNING]])</f>
        <v>18</v>
      </c>
      <c r="D33" s="22" t="str">
        <f t="array" ref="D33">IF(ROWS($D$16:D33)&gt;$B$11,"",INDEX($B$16:$B$149,SMALL(IF($B$16:$B$149&lt;&gt;"",ROW($B$16:$B$149)-ROW($D$16)+1),ROWS(D$16:D33))))</f>
        <v/>
      </c>
      <c r="K33" s="104"/>
      <c r="L33" s="104"/>
      <c r="M33" s="104"/>
      <c r="O33" s="22" t="str">
        <f>IFERROR(IF(ProgramForNewCourse=Spec[[#This Row],[PROGRAM]],Spec[[#This Row],[INRIKTNING]],""),"")</f>
        <v/>
      </c>
      <c r="P33" s="22">
        <f>ROWS('Program och examenskrav'!S45:Spec[[#Headers],[INRIKTNING]])</f>
        <v>18</v>
      </c>
      <c r="Q33" s="22" t="str">
        <f t="array" ref="Q33">IF(ROWS($Q$16:Q33)&gt;$P$11,"",INDEX($O$16:$O$149,SMALL(IF($O$16:$O$149&lt;&gt;"",ROW($O$16:$O$149)-ROW($Q$16)+1),ROWS(Q$16:Q33))))</f>
        <v/>
      </c>
    </row>
    <row r="34" spans="2:17" x14ac:dyDescent="0.3">
      <c r="B34" s="22" t="str">
        <f>IFERROR(IF(Program=Spec[[#This Row],[PROGRAM]],Spec[[#This Row],[INRIKTNING]],""),"")</f>
        <v>Finans</v>
      </c>
      <c r="C34" s="22">
        <f>ROWS('Program och examenskrav'!F46:Spec[[#Headers],[INRIKTNING]])</f>
        <v>19</v>
      </c>
      <c r="D34" s="22" t="str">
        <f t="array" ref="D34">IF(ROWS($D$16:D34)&gt;$B$11,"",INDEX($B$16:$B$149,SMALL(IF($B$16:$B$149&lt;&gt;"",ROW($B$16:$B$149)-ROW($D$16)+1),ROWS(D$16:D34))))</f>
        <v/>
      </c>
      <c r="H34" s="22">
        <v>6</v>
      </c>
      <c r="K34" s="104">
        <v>1</v>
      </c>
      <c r="L34" s="104">
        <v>4</v>
      </c>
      <c r="M34" s="104"/>
      <c r="O34" s="22" t="str">
        <f>IFERROR(IF(ProgramForNewCourse=Spec[[#This Row],[PROGRAM]],Spec[[#This Row],[INRIKTNING]],""),"")</f>
        <v/>
      </c>
      <c r="P34" s="22">
        <f>ROWS('Program och examenskrav'!S46:Spec[[#Headers],[INRIKTNING]])</f>
        <v>19</v>
      </c>
      <c r="Q34" s="22" t="str">
        <f t="array" ref="Q34">IF(ROWS($Q$16:Q34)&gt;$P$11,"",INDEX($O$16:$O$149,SMALL(IF($O$16:$O$149&lt;&gt;"",ROW($O$16:$O$149)-ROW($Q$16)+1),ROWS(Q$16:Q34))))</f>
        <v/>
      </c>
    </row>
    <row r="35" spans="2:17" x14ac:dyDescent="0.3">
      <c r="B35" s="22" t="str">
        <f>IFERROR(IF(Program=Spec[[#This Row],[PROGRAM]],Spec[[#This Row],[INRIKTNING]],""),"")</f>
        <v/>
      </c>
      <c r="C35" s="22">
        <f>ROWS('Program och examenskrav'!F47:Spec[[#Headers],[INRIKTNING]])</f>
        <v>20</v>
      </c>
      <c r="D35" s="22" t="str">
        <f t="array" ref="D35">IF(ROWS($D$16:D35)&gt;$B$11,"",INDEX($B$16:$B$149,SMALL(IF($B$16:$B$149&lt;&gt;"",ROW($B$16:$B$149)-ROW($D$16)+1),ROWS(D$16:D35))))</f>
        <v/>
      </c>
      <c r="I35" s="22">
        <v>2</v>
      </c>
      <c r="K35" s="104">
        <v>1</v>
      </c>
      <c r="L35" s="104">
        <v>4</v>
      </c>
      <c r="M35" s="104"/>
      <c r="O35" s="22" t="str">
        <f>IFERROR(IF(ProgramForNewCourse=Spec[[#This Row],[PROGRAM]],Spec[[#This Row],[INRIKTNING]],""),"")</f>
        <v/>
      </c>
      <c r="P35" s="22">
        <f>ROWS('Program och examenskrav'!S47:Spec[[#Headers],[INRIKTNING]])</f>
        <v>20</v>
      </c>
      <c r="Q35" s="22" t="str">
        <f t="array" ref="Q35">IF(ROWS($Q$16:Q35)&gt;$P$11,"",INDEX($O$16:$O$149,SMALL(IF($O$16:$O$149&lt;&gt;"",ROW($O$16:$O$149)-ROW($Q$16)+1),ROWS(Q$16:Q35))))</f>
        <v/>
      </c>
    </row>
    <row r="36" spans="2:17" x14ac:dyDescent="0.3">
      <c r="B36" s="22" t="str">
        <f>IFERROR(IF(Program=Spec[[#This Row],[PROGRAM]],Spec[[#This Row],[INRIKTNING]],""),"")</f>
        <v/>
      </c>
      <c r="C36" s="22">
        <f>ROWS('Program och examenskrav'!F48:Spec[[#Headers],[INRIKTNING]])</f>
        <v>21</v>
      </c>
      <c r="D36" s="22" t="str">
        <f t="array" ref="D36">IF(ROWS($D$16:D36)&gt;$B$11,"",INDEX($B$16:$B$149,SMALL(IF($B$16:$B$149&lt;&gt;"",ROW($B$16:$B$149)-ROW($D$16)+1),ROWS(D$16:D36))))</f>
        <v/>
      </c>
      <c r="J36" s="22">
        <v>2</v>
      </c>
      <c r="K36" s="104">
        <v>1</v>
      </c>
      <c r="L36" s="104">
        <v>4</v>
      </c>
      <c r="M36" s="104"/>
      <c r="O36" s="22" t="str">
        <f>IFERROR(IF(ProgramForNewCourse=Spec[[#This Row],[PROGRAM]],Spec[[#This Row],[INRIKTNING]],""),"")</f>
        <v/>
      </c>
      <c r="P36" s="22">
        <f>ROWS('Program och examenskrav'!S48:Spec[[#Headers],[INRIKTNING]])</f>
        <v>21</v>
      </c>
      <c r="Q36" s="22" t="str">
        <f t="array" ref="Q36">IF(ROWS($Q$16:Q36)&gt;$P$11,"",INDEX($O$16:$O$149,SMALL(IF($O$16:$O$149&lt;&gt;"",ROW($O$16:$O$149)-ROW($Q$16)+1),ROWS(Q$16:Q36))))</f>
        <v/>
      </c>
    </row>
    <row r="37" spans="2:17" x14ac:dyDescent="0.3">
      <c r="B37" s="22" t="str">
        <f>IFERROR(IF(Program=Spec[[#This Row],[PROGRAM]],Spec[[#This Row],[INRIKTNING]],""),"")</f>
        <v/>
      </c>
      <c r="C37" s="22">
        <f>ROWS('Program och examenskrav'!F49:Spec[[#Headers],[INRIKTNING]])</f>
        <v>22</v>
      </c>
      <c r="D37" s="22" t="str">
        <f t="array" ref="D37">IF(ROWS($D$16:D37)&gt;$B$11,"",INDEX($B$16:$B$149,SMALL(IF($B$16:$B$149&lt;&gt;"",ROW($B$16:$B$149)-ROW($D$16)+1),ROWS(D$16:D37))))</f>
        <v/>
      </c>
      <c r="K37" s="104"/>
      <c r="L37" s="104"/>
      <c r="M37" s="104"/>
      <c r="O37" s="22" t="str">
        <f>IFERROR(IF(ProgramForNewCourse=Spec[[#This Row],[PROGRAM]],Spec[[#This Row],[INRIKTNING]],""),"")</f>
        <v/>
      </c>
      <c r="P37" s="22">
        <f>ROWS('Program och examenskrav'!S49:Spec[[#Headers],[INRIKTNING]])</f>
        <v>22</v>
      </c>
      <c r="Q37" s="22" t="str">
        <f t="array" ref="Q37">IF(ROWS($Q$16:Q37)&gt;$P$11,"",INDEX($O$16:$O$149,SMALL(IF($O$16:$O$149&lt;&gt;"",ROW($O$16:$O$149)-ROW($Q$16)+1),ROWS(Q$16:Q37))))</f>
        <v/>
      </c>
    </row>
    <row r="38" spans="2:17" x14ac:dyDescent="0.3">
      <c r="B38" s="22" t="str">
        <f>IFERROR(IF(Program=Spec[[#This Row],[PROGRAM]],Spec[[#This Row],[INRIKTNING]],""),"")</f>
        <v/>
      </c>
      <c r="C38" s="22">
        <f>ROWS('Program och examenskrav'!F50:Spec[[#Headers],[INRIKTNING]])</f>
        <v>23</v>
      </c>
      <c r="D38" s="22" t="str">
        <f t="array" ref="D38">IF(ROWS($D$16:D38)&gt;$B$11,"",INDEX($B$16:$B$149,SMALL(IF($B$16:$B$149&lt;&gt;"",ROW($B$16:$B$149)-ROW($D$16)+1),ROWS(D$16:D38))))</f>
        <v/>
      </c>
      <c r="H38" s="22">
        <v>3</v>
      </c>
      <c r="K38" s="104">
        <v>2</v>
      </c>
      <c r="L38" s="104">
        <v>16</v>
      </c>
      <c r="M38" s="104"/>
      <c r="O38" s="22" t="str">
        <f>IFERROR(IF(ProgramForNewCourse=Spec[[#This Row],[PROGRAM]],Spec[[#This Row],[INRIKTNING]],""),"")</f>
        <v/>
      </c>
      <c r="P38" s="22">
        <f>ROWS('Program och examenskrav'!S50:Spec[[#Headers],[INRIKTNING]])</f>
        <v>23</v>
      </c>
      <c r="Q38" s="22" t="str">
        <f t="array" ref="Q38">IF(ROWS($Q$16:Q38)&gt;$P$11,"",INDEX($O$16:$O$149,SMALL(IF($O$16:$O$149&lt;&gt;"",ROW($O$16:$O$149)-ROW($Q$16)+1),ROWS(Q$16:Q38))))</f>
        <v/>
      </c>
    </row>
    <row r="39" spans="2:17" x14ac:dyDescent="0.3">
      <c r="B39" s="22" t="str">
        <f>IFERROR(IF(Program=Spec[[#This Row],[PROGRAM]],Spec[[#This Row],[INRIKTNING]],""),"")</f>
        <v/>
      </c>
      <c r="C39" s="22">
        <f>ROWS('Program och examenskrav'!F51:Spec[[#Headers],[INRIKTNING]])</f>
        <v>24</v>
      </c>
      <c r="D39" s="22" t="str">
        <f t="array" ref="D39">IF(ROWS($D$16:D39)&gt;$B$11,"",INDEX($B$16:$B$149,SMALL(IF($B$16:$B$149&lt;&gt;"",ROW($B$16:$B$149)-ROW($D$16)+1),ROWS(D$16:D39))))</f>
        <v/>
      </c>
      <c r="I39" s="22">
        <v>1</v>
      </c>
      <c r="K39" s="104">
        <v>1</v>
      </c>
      <c r="L39" s="104">
        <v>6</v>
      </c>
      <c r="M39" s="104"/>
      <c r="O39" s="22" t="str">
        <f>IFERROR(IF(ProgramForNewCourse=Spec[[#This Row],[PROGRAM]],Spec[[#This Row],[INRIKTNING]],""),"")</f>
        <v/>
      </c>
      <c r="P39" s="22">
        <f>ROWS('Program och examenskrav'!S51:Spec[[#Headers],[INRIKTNING]])</f>
        <v>24</v>
      </c>
      <c r="Q39" s="22" t="str">
        <f t="array" ref="Q39">IF(ROWS($Q$16:Q39)&gt;$P$11,"",INDEX($O$16:$O$149,SMALL(IF($O$16:$O$149&lt;&gt;"",ROW($O$16:$O$149)-ROW($Q$16)+1),ROWS(Q$16:Q39))))</f>
        <v/>
      </c>
    </row>
    <row r="40" spans="2:17" x14ac:dyDescent="0.3">
      <c r="B40" s="22" t="str">
        <f>IFERROR(IF(Program=Spec[[#This Row],[PROGRAM]],Spec[[#This Row],[INRIKTNING]],""),"")</f>
        <v/>
      </c>
      <c r="C40" s="22">
        <f>ROWS('Program och examenskrav'!F52:Spec[[#Headers],[INRIKTNING]])</f>
        <v>25</v>
      </c>
      <c r="D40" s="22" t="str">
        <f t="array" ref="D40">IF(ROWS($D$16:D40)&gt;$B$11,"",INDEX($B$16:$B$149,SMALL(IF($B$16:$B$149&lt;&gt;"",ROW($B$16:$B$149)-ROW($D$16)+1),ROWS(D$16:D40))))</f>
        <v/>
      </c>
      <c r="J40" s="22">
        <v>1</v>
      </c>
      <c r="K40" s="104">
        <v>1</v>
      </c>
      <c r="L40" s="104">
        <v>6</v>
      </c>
      <c r="M40" s="104"/>
      <c r="O40" s="22" t="str">
        <f>IFERROR(IF(ProgramForNewCourse=Spec[[#This Row],[PROGRAM]],Spec[[#This Row],[INRIKTNING]],""),"")</f>
        <v/>
      </c>
      <c r="P40" s="22">
        <f>ROWS('Program och examenskrav'!S52:Spec[[#Headers],[INRIKTNING]])</f>
        <v>25</v>
      </c>
      <c r="Q40" s="22" t="str">
        <f t="array" ref="Q40">IF(ROWS($Q$16:Q40)&gt;$P$11,"",INDEX($O$16:$O$149,SMALL(IF($O$16:$O$149&lt;&gt;"",ROW($O$16:$O$149)-ROW($Q$16)+1),ROWS(Q$16:Q40))))</f>
        <v/>
      </c>
    </row>
    <row r="41" spans="2:17" x14ac:dyDescent="0.3">
      <c r="B41" s="22" t="str">
        <f>IFERROR(IF(Program=Spec[[#This Row],[PROGRAM]],Spec[[#This Row],[INRIKTNING]],""),"")</f>
        <v/>
      </c>
      <c r="C41" s="22">
        <f>ROWS('Program och examenskrav'!F53:Spec[[#Headers],[INRIKTNING]])</f>
        <v>26</v>
      </c>
      <c r="D41" s="22" t="str">
        <f t="array" ref="D41">IF(ROWS($D$16:D41)&gt;$B$11,"",INDEX($B$16:$B$149,SMALL(IF($B$16:$B$149&lt;&gt;"",ROW($B$16:$B$149)-ROW($D$16)+1),ROWS(D$16:D41))))</f>
        <v/>
      </c>
      <c r="K41" s="104"/>
      <c r="L41" s="104"/>
      <c r="M41" s="104"/>
      <c r="O41" s="22" t="str">
        <f>IFERROR(IF(ProgramForNewCourse=Spec[[#This Row],[PROGRAM]],Spec[[#This Row],[INRIKTNING]],""),"")</f>
        <v/>
      </c>
      <c r="P41" s="22">
        <f>ROWS('Program och examenskrav'!S53:Spec[[#Headers],[INRIKTNING]])</f>
        <v>26</v>
      </c>
      <c r="Q41" s="22" t="str">
        <f t="array" ref="Q41">IF(ROWS($Q$16:Q41)&gt;$P$11,"",INDEX($O$16:$O$149,SMALL(IF($O$16:$O$149&lt;&gt;"",ROW($O$16:$O$149)-ROW($Q$16)+1),ROWS(Q$16:Q41))))</f>
        <v/>
      </c>
    </row>
    <row r="42" spans="2:17" x14ac:dyDescent="0.3">
      <c r="B42" s="22" t="str">
        <f>IFERROR(IF(Program=Spec[[#This Row],[PROGRAM]],Spec[[#This Row],[INRIKTNING]],""),"")</f>
        <v/>
      </c>
      <c r="C42" s="22">
        <f>ROWS('Program och examenskrav'!F54:Spec[[#Headers],[INRIKTNING]])</f>
        <v>27</v>
      </c>
      <c r="D42" s="22" t="str">
        <f t="array" ref="D42">IF(ROWS($D$16:D42)&gt;$B$11,"",INDEX($B$16:$B$149,SMALL(IF($B$16:$B$149&lt;&gt;"",ROW($B$16:$B$149)-ROW($D$16)+1),ROWS(D$16:D42))))</f>
        <v/>
      </c>
      <c r="I42" s="22" t="s">
        <v>2042</v>
      </c>
      <c r="K42" s="104">
        <v>1</v>
      </c>
      <c r="L42" s="104">
        <v>10</v>
      </c>
      <c r="M42" s="104"/>
      <c r="O42" s="22" t="str">
        <f>IFERROR(IF(ProgramForNewCourse=Spec[[#This Row],[PROGRAM]],Spec[[#This Row],[INRIKTNING]],""),"")</f>
        <v/>
      </c>
      <c r="P42" s="22">
        <f>ROWS('Program och examenskrav'!S54:Spec[[#Headers],[INRIKTNING]])</f>
        <v>27</v>
      </c>
      <c r="Q42" s="22" t="str">
        <f t="array" ref="Q42">IF(ROWS($Q$16:Q42)&gt;$P$11,"",INDEX($O$16:$O$149,SMALL(IF($O$16:$O$149&lt;&gt;"",ROW($O$16:$O$149)-ROW($Q$16)+1),ROWS(Q$16:Q42))))</f>
        <v/>
      </c>
    </row>
    <row r="43" spans="2:17" x14ac:dyDescent="0.3">
      <c r="B43" s="22" t="str">
        <f>IFERROR(IF(Program=Spec[[#This Row],[PROGRAM]],Spec[[#This Row],[INRIKTNING]],""),"")</f>
        <v/>
      </c>
      <c r="C43" s="22">
        <f>ROWS('Program och examenskrav'!F55:Spec[[#Headers],[INRIKTNING]])</f>
        <v>28</v>
      </c>
      <c r="D43" s="22" t="str">
        <f t="array" ref="D43">IF(ROWS($D$16:D43)&gt;$B$11,"",INDEX($B$16:$B$149,SMALL(IF($B$16:$B$149&lt;&gt;"",ROW($B$16:$B$149)-ROW($D$16)+1),ROWS(D$16:D43))))</f>
        <v/>
      </c>
      <c r="J43" s="22" t="s">
        <v>2046</v>
      </c>
      <c r="K43" s="104">
        <v>1</v>
      </c>
      <c r="L43" s="104">
        <v>10</v>
      </c>
      <c r="M43" s="104"/>
      <c r="O43" s="22" t="str">
        <f>IFERROR(IF(ProgramForNewCourse=Spec[[#This Row],[PROGRAM]],Spec[[#This Row],[INRIKTNING]],""),"")</f>
        <v/>
      </c>
      <c r="P43" s="22">
        <f>ROWS('Program och examenskrav'!S55:Spec[[#Headers],[INRIKTNING]])</f>
        <v>28</v>
      </c>
      <c r="Q43" s="22" t="str">
        <f t="array" ref="Q43">IF(ROWS($Q$16:Q43)&gt;$P$11,"",INDEX($O$16:$O$149,SMALL(IF($O$16:$O$149&lt;&gt;"",ROW($O$16:$O$149)-ROW($Q$16)+1),ROWS(Q$16:Q43))))</f>
        <v/>
      </c>
    </row>
    <row r="44" spans="2:17" x14ac:dyDescent="0.3">
      <c r="B44" s="22" t="str">
        <f>IFERROR(IF(Program=Spec[[#This Row],[PROGRAM]],Spec[[#This Row],[INRIKTNING]],""),"")</f>
        <v/>
      </c>
      <c r="C44" s="22">
        <f>ROWS('Program och examenskrav'!F56:Spec[[#Headers],[INRIKTNING]])</f>
        <v>29</v>
      </c>
      <c r="D44" s="22" t="str">
        <f t="array" ref="D44">IF(ROWS($D$16:D44)&gt;$B$11,"",INDEX($B$16:$B$149,SMALL(IF($B$16:$B$149&lt;&gt;"",ROW($B$16:$B$149)-ROW($D$16)+1),ROWS(D$16:D44))))</f>
        <v/>
      </c>
      <c r="K44" s="104"/>
      <c r="L44" s="104"/>
      <c r="M44" s="104"/>
      <c r="O44" s="22" t="str">
        <f>IFERROR(IF(ProgramForNewCourse=Spec[[#This Row],[PROGRAM]],Spec[[#This Row],[INRIKTNING]],""),"")</f>
        <v/>
      </c>
      <c r="P44" s="22">
        <f>ROWS('Program och examenskrav'!S56:Spec[[#Headers],[INRIKTNING]])</f>
        <v>29</v>
      </c>
      <c r="Q44" s="22" t="str">
        <f t="array" ref="Q44">IF(ROWS($Q$16:Q44)&gt;$P$11,"",INDEX($O$16:$O$149,SMALL(IF($O$16:$O$149&lt;&gt;"",ROW($O$16:$O$149)-ROW($Q$16)+1),ROWS(Q$16:Q44))))</f>
        <v/>
      </c>
    </row>
    <row r="45" spans="2:17" x14ac:dyDescent="0.3">
      <c r="B45" s="22" t="str">
        <f>IFERROR(IF(Program=Spec[[#This Row],[PROGRAM]],Spec[[#This Row],[INRIKTNING]],""),"")</f>
        <v/>
      </c>
      <c r="C45" s="22">
        <f>ROWS('Program och examenskrav'!F57:Spec[[#Headers],[INRIKTNING]])</f>
        <v>30</v>
      </c>
      <c r="D45" s="22" t="str">
        <f t="array" ref="D45">IF(ROWS($D$16:D45)&gt;$B$11,"",INDEX($B$16:$B$149,SMALL(IF($B$16:$B$149&lt;&gt;"",ROW($B$16:$B$149)-ROW($D$16)+1),ROWS(D$16:D45))))</f>
        <v/>
      </c>
      <c r="H45" s="22">
        <v>8</v>
      </c>
      <c r="K45" s="104">
        <v>2</v>
      </c>
      <c r="L45" s="104">
        <v>10</v>
      </c>
      <c r="M45" s="104"/>
      <c r="O45" s="22" t="str">
        <f>IFERROR(IF(ProgramForNewCourse=Spec[[#This Row],[PROGRAM]],Spec[[#This Row],[INRIKTNING]],""),"")</f>
        <v/>
      </c>
      <c r="P45" s="22">
        <f>ROWS('Program och examenskrav'!S57:Spec[[#Headers],[INRIKTNING]])</f>
        <v>30</v>
      </c>
      <c r="Q45" s="22" t="str">
        <f t="array" ref="Q45">IF(ROWS($Q$16:Q45)&gt;$P$11,"",INDEX($O$16:$O$149,SMALL(IF($O$16:$O$149&lt;&gt;"",ROW($O$16:$O$149)-ROW($Q$16)+1),ROWS(Q$16:Q45))))</f>
        <v/>
      </c>
    </row>
    <row r="46" spans="2:17" x14ac:dyDescent="0.3">
      <c r="B46" s="22" t="str">
        <f>IFERROR(IF(Program=Spec[[#This Row],[PROGRAM]],Spec[[#This Row],[INRIKTNING]],""),"")</f>
        <v/>
      </c>
      <c r="C46" s="22">
        <f>ROWS('Program och examenskrav'!F58:Spec[[#Headers],[INRIKTNING]])</f>
        <v>31</v>
      </c>
      <c r="D46" s="22" t="str">
        <f t="array" ref="D46">IF(ROWS($D$16:D46)&gt;$B$11,"",INDEX($B$16:$B$149,SMALL(IF($B$16:$B$149&lt;&gt;"",ROW($B$16:$B$149)-ROW($D$16)+1),ROWS(D$16:D46))))</f>
        <v/>
      </c>
      <c r="I46" s="22">
        <v>2</v>
      </c>
      <c r="K46" s="104">
        <v>1</v>
      </c>
      <c r="L46" s="104">
        <v>4</v>
      </c>
      <c r="M46" s="104"/>
      <c r="O46" s="22" t="str">
        <f>IFERROR(IF(ProgramForNewCourse=Spec[[#This Row],[PROGRAM]],Spec[[#This Row],[INRIKTNING]],""),"")</f>
        <v/>
      </c>
      <c r="P46" s="22">
        <f>ROWS('Program och examenskrav'!S58:Spec[[#Headers],[INRIKTNING]])</f>
        <v>31</v>
      </c>
      <c r="Q46" s="22" t="str">
        <f t="array" ref="Q46">IF(ROWS($Q$16:Q46)&gt;$P$11,"",INDEX($O$16:$O$149,SMALL(IF($O$16:$O$149&lt;&gt;"",ROW($O$16:$O$149)-ROW($Q$16)+1),ROWS(Q$16:Q46))))</f>
        <v/>
      </c>
    </row>
    <row r="47" spans="2:17" x14ac:dyDescent="0.3">
      <c r="B47" s="22" t="str">
        <f>IFERROR(IF(Program=Spec[[#This Row],[PROGRAM]],Spec[[#This Row],[INRIKTNING]],""),"")</f>
        <v/>
      </c>
      <c r="C47" s="22">
        <f>ROWS('Program och examenskrav'!F59:Spec[[#Headers],[INRIKTNING]])</f>
        <v>32</v>
      </c>
      <c r="D47" s="22" t="str">
        <f t="array" ref="D47">IF(ROWS($D$16:D47)&gt;$B$11,"",INDEX($B$16:$B$149,SMALL(IF($B$16:$B$149&lt;&gt;"",ROW($B$16:$B$149)-ROW($D$16)+1),ROWS(D$16:D47))))</f>
        <v/>
      </c>
      <c r="J47" s="22">
        <v>2</v>
      </c>
      <c r="K47" s="104">
        <v>1</v>
      </c>
      <c r="L47" s="104">
        <v>4</v>
      </c>
      <c r="M47" s="104"/>
      <c r="O47" s="22" t="str">
        <f>IFERROR(IF(ProgramForNewCourse=Spec[[#This Row],[PROGRAM]],Spec[[#This Row],[INRIKTNING]],""),"")</f>
        <v/>
      </c>
      <c r="P47" s="22">
        <f>ROWS('Program och examenskrav'!S59:Spec[[#Headers],[INRIKTNING]])</f>
        <v>32</v>
      </c>
      <c r="Q47" s="22" t="str">
        <f t="array" ref="Q47">IF(ROWS($Q$16:Q47)&gt;$P$11,"",INDEX($O$16:$O$149,SMALL(IF($O$16:$O$149&lt;&gt;"",ROW($O$16:$O$149)-ROW($Q$16)+1),ROWS(Q$16:Q47))))</f>
        <v/>
      </c>
    </row>
    <row r="48" spans="2:17" x14ac:dyDescent="0.3">
      <c r="B48" s="22" t="str">
        <f>IFERROR(IF(Program=Spec[[#This Row],[PROGRAM]],Spec[[#This Row],[INRIKTNING]],""),"")</f>
        <v/>
      </c>
      <c r="C48" s="22">
        <f>ROWS('Program och examenskrav'!F60:Spec[[#Headers],[INRIKTNING]])</f>
        <v>33</v>
      </c>
      <c r="D48" s="22" t="str">
        <f t="array" ref="D48">IF(ROWS($D$16:D48)&gt;$B$11,"",INDEX($B$16:$B$149,SMALL(IF($B$16:$B$149&lt;&gt;"",ROW($B$16:$B$149)-ROW($D$16)+1),ROWS(D$16:D48))))</f>
        <v/>
      </c>
      <c r="K48" s="104"/>
      <c r="L48" s="104"/>
      <c r="M48" s="104"/>
      <c r="O48" s="22" t="str">
        <f>IFERROR(IF(ProgramForNewCourse=Spec[[#This Row],[PROGRAM]],Spec[[#This Row],[INRIKTNING]],""),"")</f>
        <v/>
      </c>
      <c r="P48" s="22">
        <f>ROWS('Program och examenskrav'!S60:Spec[[#Headers],[INRIKTNING]])</f>
        <v>33</v>
      </c>
      <c r="Q48" s="22" t="str">
        <f t="array" ref="Q48">IF(ROWS($Q$16:Q48)&gt;$P$11,"",INDEX($O$16:$O$149,SMALL(IF($O$16:$O$149&lt;&gt;"",ROW($O$16:$O$149)-ROW($Q$16)+1),ROWS(Q$16:Q48))))</f>
        <v/>
      </c>
    </row>
    <row r="49" spans="2:17" x14ac:dyDescent="0.3">
      <c r="B49" s="22" t="str">
        <f>IFERROR(IF(Program=Spec[[#This Row],[PROGRAM]],Spec[[#This Row],[INRIKTNING]],""),"")</f>
        <v/>
      </c>
      <c r="C49" s="22">
        <f>ROWS('Program och examenskrav'!F61:Spec[[#Headers],[INRIKTNING]])</f>
        <v>34</v>
      </c>
      <c r="D49" s="22" t="str">
        <f t="array" ref="D49">IF(ROWS($D$16:D49)&gt;$B$11,"",INDEX($B$16:$B$149,SMALL(IF($B$16:$B$149&lt;&gt;"",ROW($B$16:$B$149)-ROW($D$16)+1),ROWS(D$16:D49))))</f>
        <v/>
      </c>
      <c r="I49" s="22" t="s">
        <v>332</v>
      </c>
      <c r="K49" s="104">
        <v>1</v>
      </c>
      <c r="L49" s="104">
        <v>6</v>
      </c>
      <c r="M49" s="104"/>
      <c r="O49" s="22" t="str">
        <f>IFERROR(IF(ProgramForNewCourse=Spec[[#This Row],[PROGRAM]],Spec[[#This Row],[INRIKTNING]],""),"")</f>
        <v/>
      </c>
      <c r="P49" s="22">
        <f>ROWS('Program och examenskrav'!S61:Spec[[#Headers],[INRIKTNING]])</f>
        <v>34</v>
      </c>
      <c r="Q49" s="22" t="str">
        <f t="array" ref="Q49">IF(ROWS($Q$16:Q49)&gt;$P$11,"",INDEX($O$16:$O$149,SMALL(IF($O$16:$O$149&lt;&gt;"",ROW($O$16:$O$149)-ROW($Q$16)+1),ROWS(Q$16:Q49))))</f>
        <v/>
      </c>
    </row>
    <row r="50" spans="2:17" x14ac:dyDescent="0.3">
      <c r="B50" s="22" t="str">
        <f>IFERROR(IF(Program=Spec[[#This Row],[PROGRAM]],Spec[[#This Row],[INRIKTNING]],""),"")</f>
        <v/>
      </c>
      <c r="C50" s="22">
        <f>ROWS('Program och examenskrav'!F62:Spec[[#Headers],[INRIKTNING]])</f>
        <v>35</v>
      </c>
      <c r="D50" s="22" t="str">
        <f t="array" ref="D50">IF(ROWS($D$16:D50)&gt;$B$11,"",INDEX($B$16:$B$149,SMALL(IF($B$16:$B$149&lt;&gt;"",ROW($B$16:$B$149)-ROW($D$16)+1),ROWS(D$16:D50))))</f>
        <v/>
      </c>
      <c r="J50" s="22" t="s">
        <v>222</v>
      </c>
      <c r="K50" s="104">
        <v>1</v>
      </c>
      <c r="L50" s="104">
        <v>6</v>
      </c>
      <c r="M50" s="104"/>
      <c r="O50" s="22" t="str">
        <f>IFERROR(IF(ProgramForNewCourse=Spec[[#This Row],[PROGRAM]],Spec[[#This Row],[INRIKTNING]],""),"")</f>
        <v/>
      </c>
      <c r="P50" s="22">
        <f>ROWS('Program och examenskrav'!S62:Spec[[#Headers],[INRIKTNING]])</f>
        <v>35</v>
      </c>
      <c r="Q50" s="22" t="str">
        <f t="array" ref="Q50">IF(ROWS($Q$16:Q50)&gt;$P$11,"",INDEX($O$16:$O$149,SMALL(IF($O$16:$O$149&lt;&gt;"",ROW($O$16:$O$149)-ROW($Q$16)+1),ROWS(Q$16:Q50))))</f>
        <v/>
      </c>
    </row>
    <row r="51" spans="2:17" x14ac:dyDescent="0.3">
      <c r="B51" s="22" t="str">
        <f>IFERROR(IF(Program=Spec[[#This Row],[PROGRAM]],Spec[[#This Row],[INRIKTNING]],""),"")</f>
        <v/>
      </c>
      <c r="C51" s="22">
        <f>ROWS('Program och examenskrav'!F63:Spec[[#Headers],[INRIKTNING]])</f>
        <v>36</v>
      </c>
      <c r="D51" s="22" t="str">
        <f t="array" ref="D51">IF(ROWS($D$16:D51)&gt;$B$11,"",INDEX($B$16:$B$149,SMALL(IF($B$16:$B$149&lt;&gt;"",ROW($B$16:$B$149)-ROW($D$16)+1),ROWS(D$16:D51))))</f>
        <v/>
      </c>
      <c r="K51" s="104"/>
      <c r="L51" s="104"/>
      <c r="M51" s="104"/>
      <c r="O51" s="22" t="str">
        <f>IFERROR(IF(ProgramForNewCourse=Spec[[#This Row],[PROGRAM]],Spec[[#This Row],[INRIKTNING]],""),"")</f>
        <v/>
      </c>
      <c r="P51" s="22">
        <f>ROWS('Program och examenskrav'!S63:Spec[[#Headers],[INRIKTNING]])</f>
        <v>36</v>
      </c>
      <c r="Q51" s="22" t="str">
        <f t="array" ref="Q51">IF(ROWS($Q$16:Q51)&gt;$P$11,"",INDEX($O$16:$O$149,SMALL(IF($O$16:$O$149&lt;&gt;"",ROW($O$16:$O$149)-ROW($Q$16)+1),ROWS(Q$16:Q51))))</f>
        <v/>
      </c>
    </row>
    <row r="52" spans="2:17" x14ac:dyDescent="0.3">
      <c r="B52" s="22" t="str">
        <f>IFERROR(IF(Program=Spec[[#This Row],[PROGRAM]],Spec[[#This Row],[INRIKTNING]],""),"")</f>
        <v/>
      </c>
      <c r="C52" s="22">
        <f>ROWS('Program och examenskrav'!F64:Spec[[#Headers],[INRIKTNING]])</f>
        <v>37</v>
      </c>
      <c r="D52" s="22" t="str">
        <f t="array" ref="D52">IF(ROWS($D$16:D52)&gt;$B$11,"",INDEX($B$16:$B$149,SMALL(IF($B$16:$B$149&lt;&gt;"",ROW($B$16:$B$149)-ROW($D$16)+1),ROWS(D$16:D52))))</f>
        <v/>
      </c>
      <c r="H52" s="22">
        <v>7</v>
      </c>
      <c r="K52" s="104">
        <v>3</v>
      </c>
      <c r="L52" s="104">
        <v>24</v>
      </c>
      <c r="M52" s="104"/>
      <c r="O52" s="22" t="str">
        <f>IFERROR(IF(ProgramForNewCourse=Spec[[#This Row],[PROGRAM]],Spec[[#This Row],[INRIKTNING]],""),"")</f>
        <v/>
      </c>
      <c r="P52" s="22">
        <f>ROWS('Program och examenskrav'!S64:Spec[[#Headers],[INRIKTNING]])</f>
        <v>37</v>
      </c>
      <c r="Q52" s="22" t="str">
        <f t="array" ref="Q52">IF(ROWS($Q$16:Q52)&gt;$P$11,"",INDEX($O$16:$O$149,SMALL(IF($O$16:$O$149&lt;&gt;"",ROW($O$16:$O$149)-ROW($Q$16)+1),ROWS(Q$16:Q52))))</f>
        <v/>
      </c>
    </row>
    <row r="53" spans="2:17" x14ac:dyDescent="0.3">
      <c r="B53" s="22" t="str">
        <f>IFERROR(IF(Program=Spec[[#This Row],[PROGRAM]],Spec[[#This Row],[INRIKTNING]],""),"")</f>
        <v/>
      </c>
      <c r="C53" s="22">
        <f>ROWS('Program och examenskrav'!F65:Spec[[#Headers],[INRIKTNING]])</f>
        <v>38</v>
      </c>
      <c r="D53" s="22" t="str">
        <f t="array" ref="D53">IF(ROWS($D$16:D53)&gt;$B$11,"",INDEX($B$16:$B$149,SMALL(IF($B$16:$B$149&lt;&gt;"",ROW($B$16:$B$149)-ROW($D$16)+1),ROWS(D$16:D53))))</f>
        <v/>
      </c>
      <c r="I53" s="22" t="s">
        <v>333</v>
      </c>
      <c r="K53" s="104">
        <v>2</v>
      </c>
      <c r="L53" s="104">
        <v>12</v>
      </c>
      <c r="M53" s="104"/>
      <c r="O53" s="22" t="str">
        <f>IFERROR(IF(ProgramForNewCourse=Spec[[#This Row],[PROGRAM]],Spec[[#This Row],[INRIKTNING]],""),"")</f>
        <v/>
      </c>
      <c r="P53" s="22">
        <f>ROWS('Program och examenskrav'!S65:Spec[[#Headers],[INRIKTNING]])</f>
        <v>38</v>
      </c>
      <c r="Q53" s="22" t="str">
        <f t="array" ref="Q53">IF(ROWS($Q$16:Q53)&gt;$P$11,"",INDEX($O$16:$O$149,SMALL(IF($O$16:$O$149&lt;&gt;"",ROW($O$16:$O$149)-ROW($Q$16)+1),ROWS(Q$16:Q53))))</f>
        <v/>
      </c>
    </row>
    <row r="54" spans="2:17" x14ac:dyDescent="0.3">
      <c r="B54" s="22" t="str">
        <f>IFERROR(IF(Program=Spec[[#This Row],[PROGRAM]],Spec[[#This Row],[INRIKTNING]],""),"")</f>
        <v/>
      </c>
      <c r="C54" s="22">
        <f>ROWS('Program och examenskrav'!F66:Spec[[#Headers],[INRIKTNING]])</f>
        <v>39</v>
      </c>
      <c r="D54" s="22" t="str">
        <f t="array" ref="D54">IF(ROWS($D$16:D54)&gt;$B$11,"",INDEX($B$16:$B$149,SMALL(IF($B$16:$B$149&lt;&gt;"",ROW($B$16:$B$149)-ROW($D$16)+1),ROWS(D$16:D54))))</f>
        <v/>
      </c>
      <c r="J54" s="22" t="s">
        <v>333</v>
      </c>
      <c r="K54" s="104">
        <v>2</v>
      </c>
      <c r="L54" s="104">
        <v>12</v>
      </c>
      <c r="M54" s="104"/>
      <c r="O54" s="22" t="str">
        <f>IFERROR(IF(ProgramForNewCourse=Spec[[#This Row],[PROGRAM]],Spec[[#This Row],[INRIKTNING]],""),"")</f>
        <v/>
      </c>
      <c r="P54" s="22">
        <f>ROWS('Program och examenskrav'!S66:Spec[[#Headers],[INRIKTNING]])</f>
        <v>39</v>
      </c>
      <c r="Q54" s="22" t="str">
        <f t="array" ref="Q54">IF(ROWS($Q$16:Q54)&gt;$P$11,"",INDEX($O$16:$O$149,SMALL(IF($O$16:$O$149&lt;&gt;"",ROW($O$16:$O$149)-ROW($Q$16)+1),ROWS(Q$16:Q54))))</f>
        <v/>
      </c>
    </row>
    <row r="55" spans="2:17" x14ac:dyDescent="0.3">
      <c r="B55" s="22" t="str">
        <f>IFERROR(IF(Program=Spec[[#This Row],[PROGRAM]],Spec[[#This Row],[INRIKTNING]],""),"")</f>
        <v/>
      </c>
      <c r="C55" s="22">
        <f>ROWS('Program och examenskrav'!F67:Spec[[#Headers],[INRIKTNING]])</f>
        <v>40</v>
      </c>
      <c r="D55" s="22" t="str">
        <f t="array" ref="D55">IF(ROWS($D$16:D55)&gt;$B$11,"",INDEX($B$16:$B$149,SMALL(IF($B$16:$B$149&lt;&gt;"",ROW($B$16:$B$149)-ROW($D$16)+1),ROWS(D$16:D55))))</f>
        <v/>
      </c>
      <c r="K55" s="104"/>
      <c r="L55" s="104"/>
      <c r="M55" s="104"/>
      <c r="O55" s="22" t="str">
        <f>IFERROR(IF(ProgramForNewCourse=Spec[[#This Row],[PROGRAM]],Spec[[#This Row],[INRIKTNING]],""),"")</f>
        <v/>
      </c>
      <c r="P55" s="22">
        <f>ROWS('Program och examenskrav'!S67:Spec[[#Headers],[INRIKTNING]])</f>
        <v>40</v>
      </c>
      <c r="Q55" s="22" t="str">
        <f t="array" ref="Q55">IF(ROWS($Q$16:Q55)&gt;$P$11,"",INDEX($O$16:$O$149,SMALL(IF($O$16:$O$149&lt;&gt;"",ROW($O$16:$O$149)-ROW($Q$16)+1),ROWS(Q$16:Q55))))</f>
        <v/>
      </c>
    </row>
    <row r="56" spans="2:17" x14ac:dyDescent="0.3">
      <c r="B56" s="22" t="str">
        <f>IFERROR(IF(Program=Spec[[#This Row],[PROGRAM]],Spec[[#This Row],[INRIKTNING]],""),"")</f>
        <v/>
      </c>
      <c r="C56" s="22">
        <f>ROWS('Program och examenskrav'!F68:Spec[[#Headers],[INRIKTNING]])</f>
        <v>41</v>
      </c>
      <c r="D56" s="22" t="str">
        <f t="array" ref="D56">IF(ROWS($D$16:D56)&gt;$B$11,"",INDEX($B$16:$B$149,SMALL(IF($B$16:$B$149&lt;&gt;"",ROW($B$16:$B$149)-ROW($D$16)+1),ROWS(D$16:D56))))</f>
        <v/>
      </c>
      <c r="I56" s="22" t="s">
        <v>199</v>
      </c>
      <c r="K56" s="104">
        <v>1</v>
      </c>
      <c r="L56" s="104">
        <v>12</v>
      </c>
      <c r="M56" s="104"/>
      <c r="O56" s="22" t="str">
        <f>IFERROR(IF(ProgramForNewCourse=Spec[[#This Row],[PROGRAM]],Spec[[#This Row],[INRIKTNING]],""),"")</f>
        <v/>
      </c>
      <c r="P56" s="22">
        <f>ROWS('Program och examenskrav'!S68:Spec[[#Headers],[INRIKTNING]])</f>
        <v>41</v>
      </c>
      <c r="Q56" s="22" t="str">
        <f t="array" ref="Q56">IF(ROWS($Q$16:Q56)&gt;$P$11,"",INDEX($O$16:$O$149,SMALL(IF($O$16:$O$149&lt;&gt;"",ROW($O$16:$O$149)-ROW($Q$16)+1),ROWS(Q$16:Q56))))</f>
        <v/>
      </c>
    </row>
    <row r="57" spans="2:17" x14ac:dyDescent="0.3">
      <c r="B57" s="22" t="str">
        <f>IFERROR(IF(Program=Spec[[#This Row],[PROGRAM]],Spec[[#This Row],[INRIKTNING]],""),"")</f>
        <v/>
      </c>
      <c r="C57" s="22">
        <f>ROWS('Program och examenskrav'!F69:Spec[[#Headers],[INRIKTNING]])</f>
        <v>42</v>
      </c>
      <c r="D57" s="22" t="str">
        <f t="array" ref="D57">IF(ROWS($D$16:D57)&gt;$B$11,"",INDEX($B$16:$B$149,SMALL(IF($B$16:$B$149&lt;&gt;"",ROW($B$16:$B$149)-ROW($D$16)+1),ROWS(D$16:D57))))</f>
        <v/>
      </c>
      <c r="J57" s="22" t="s">
        <v>199</v>
      </c>
      <c r="K57" s="104">
        <v>1</v>
      </c>
      <c r="L57" s="104">
        <v>12</v>
      </c>
      <c r="M57" s="104"/>
      <c r="O57" s="22" t="str">
        <f>IFERROR(IF(ProgramForNewCourse=Spec[[#This Row],[PROGRAM]],Spec[[#This Row],[INRIKTNING]],""),"")</f>
        <v/>
      </c>
      <c r="P57" s="22">
        <f>ROWS('Program och examenskrav'!S69:Spec[[#Headers],[INRIKTNING]])</f>
        <v>42</v>
      </c>
      <c r="Q57" s="22" t="str">
        <f t="array" ref="Q57">IF(ROWS($Q$16:Q57)&gt;$P$11,"",INDEX($O$16:$O$149,SMALL(IF($O$16:$O$149&lt;&gt;"",ROW($O$16:$O$149)-ROW($Q$16)+1),ROWS(Q$16:Q57))))</f>
        <v/>
      </c>
    </row>
    <row r="58" spans="2:17" x14ac:dyDescent="0.3">
      <c r="B58" s="22" t="str">
        <f>IFERROR(IF(Program=Spec[[#This Row],[PROGRAM]],Spec[[#This Row],[INRIKTNING]],""),"")</f>
        <v/>
      </c>
      <c r="C58" s="22">
        <f>ROWS('Program och examenskrav'!F70:Spec[[#Headers],[INRIKTNING]])</f>
        <v>43</v>
      </c>
      <c r="D58" s="22" t="str">
        <f t="array" ref="D58">IF(ROWS($D$16:D58)&gt;$B$11,"",INDEX($B$16:$B$149,SMALL(IF($B$16:$B$149&lt;&gt;"",ROW($B$16:$B$149)-ROW($D$16)+1),ROWS(D$16:D58))))</f>
        <v/>
      </c>
      <c r="K58" s="104"/>
      <c r="L58" s="104"/>
      <c r="M58" s="104"/>
      <c r="O58" s="22" t="str">
        <f>IFERROR(IF(ProgramForNewCourse=Spec[[#This Row],[PROGRAM]],Spec[[#This Row],[INRIKTNING]],""),"")</f>
        <v/>
      </c>
      <c r="P58" s="22">
        <f>ROWS('Program och examenskrav'!S70:Spec[[#Headers],[INRIKTNING]])</f>
        <v>43</v>
      </c>
      <c r="Q58" s="22" t="str">
        <f t="array" ref="Q58">IF(ROWS($Q$16:Q58)&gt;$P$11,"",INDEX($O$16:$O$149,SMALL(IF($O$16:$O$149&lt;&gt;"",ROW($O$16:$O$149)-ROW($Q$16)+1),ROWS(Q$16:Q58))))</f>
        <v/>
      </c>
    </row>
    <row r="59" spans="2:17" x14ac:dyDescent="0.3">
      <c r="B59" s="22" t="str">
        <f>IFERROR(IF(Program=Spec[[#This Row],[PROGRAM]],Spec[[#This Row],[INRIKTNING]],""),"")</f>
        <v>Ekonomiska informationssystem</v>
      </c>
      <c r="C59" s="22">
        <f>ROWS('Program och examenskrav'!F71:Spec[[#Headers],[INRIKTNING]])</f>
        <v>44</v>
      </c>
      <c r="D59" s="22" t="str">
        <f t="array" ref="D59">IF(ROWS($D$16:D59)&gt;$B$11,"",INDEX($B$16:$B$149,SMALL(IF($B$16:$B$149&lt;&gt;"",ROW($B$16:$B$149)-ROW($D$16)+1),ROWS(D$16:D59))))</f>
        <v/>
      </c>
      <c r="H59" s="22">
        <v>9</v>
      </c>
      <c r="K59" s="104">
        <v>1</v>
      </c>
      <c r="L59" s="104">
        <v>6</v>
      </c>
      <c r="M59" s="104"/>
      <c r="O59" s="22" t="str">
        <f>IFERROR(IF(ProgramForNewCourse=Spec[[#This Row],[PROGRAM]],Spec[[#This Row],[INRIKTNING]],""),"")</f>
        <v/>
      </c>
      <c r="P59" s="22">
        <f>ROWS('Program och examenskrav'!S71:Spec[[#Headers],[INRIKTNING]])</f>
        <v>44</v>
      </c>
      <c r="Q59" s="22" t="str">
        <f t="array" ref="Q59">IF(ROWS($Q$16:Q59)&gt;$P$11,"",INDEX($O$16:$O$149,SMALL(IF($O$16:$O$149&lt;&gt;"",ROW($O$16:$O$149)-ROW($Q$16)+1),ROWS(Q$16:Q59))))</f>
        <v/>
      </c>
    </row>
    <row r="60" spans="2:17" x14ac:dyDescent="0.3">
      <c r="B60" s="22" t="str">
        <f>IFERROR(IF(Program=Spec[[#This Row],[PROGRAM]],Spec[[#This Row],[INRIKTNING]],""),"")</f>
        <v>Industriell marknadsföring</v>
      </c>
      <c r="C60" s="22">
        <f>ROWS('Program och examenskrav'!F72:Spec[[#Headers],[INRIKTNING]])</f>
        <v>45</v>
      </c>
      <c r="D60" s="22" t="str">
        <f t="array" ref="D60">IF(ROWS($D$16:D60)&gt;$B$11,"",INDEX($B$16:$B$149,SMALL(IF($B$16:$B$149&lt;&gt;"",ROW($B$16:$B$149)-ROW($D$16)+1),ROWS(D$16:D60))))</f>
        <v/>
      </c>
      <c r="I60" s="22" t="s">
        <v>332</v>
      </c>
      <c r="K60" s="104">
        <v>1</v>
      </c>
      <c r="L60" s="104">
        <v>6</v>
      </c>
      <c r="M60" s="104"/>
      <c r="O60" s="22" t="str">
        <f>IFERROR(IF(ProgramForNewCourse=Spec[[#This Row],[PROGRAM]],Spec[[#This Row],[INRIKTNING]],""),"")</f>
        <v/>
      </c>
      <c r="P60" s="22">
        <f>ROWS('Program och examenskrav'!S72:Spec[[#Headers],[INRIKTNING]])</f>
        <v>45</v>
      </c>
      <c r="Q60" s="22" t="str">
        <f t="array" ref="Q60">IF(ROWS($Q$16:Q60)&gt;$P$11,"",INDEX($O$16:$O$149,SMALL(IF($O$16:$O$149&lt;&gt;"",ROW($O$16:$O$149)-ROW($Q$16)+1),ROWS(Q$16:Q60))))</f>
        <v/>
      </c>
    </row>
    <row r="61" spans="2:17" x14ac:dyDescent="0.3">
      <c r="B61" s="22" t="str">
        <f>IFERROR(IF(Program=Spec[[#This Row],[PROGRAM]],Spec[[#This Row],[INRIKTNING]],""),"")</f>
        <v>Kvalitets- och verksamhetsutveckling</v>
      </c>
      <c r="C61" s="22">
        <f>ROWS('Program och examenskrav'!F73:Spec[[#Headers],[INRIKTNING]])</f>
        <v>46</v>
      </c>
      <c r="D61" s="22" t="str">
        <f t="array" ref="D61">IF(ROWS($D$16:D61)&gt;$B$11,"",INDEX($B$16:$B$149,SMALL(IF($B$16:$B$149&lt;&gt;"",ROW($B$16:$B$149)-ROW($D$16)+1),ROWS(D$16:D61))))</f>
        <v/>
      </c>
      <c r="J61" s="22" t="s">
        <v>333</v>
      </c>
      <c r="K61" s="104">
        <v>1</v>
      </c>
      <c r="L61" s="104">
        <v>6</v>
      </c>
      <c r="M61" s="104"/>
      <c r="O61" s="22" t="str">
        <f>IFERROR(IF(ProgramForNewCourse=Spec[[#This Row],[PROGRAM]],Spec[[#This Row],[INRIKTNING]],""),"")</f>
        <v/>
      </c>
      <c r="P61" s="22">
        <f>ROWS('Program och examenskrav'!S73:Spec[[#Headers],[INRIKTNING]])</f>
        <v>46</v>
      </c>
      <c r="Q61" s="22" t="str">
        <f t="array" ref="Q61">IF(ROWS($Q$16:Q61)&gt;$P$11,"",INDEX($O$16:$O$149,SMALL(IF($O$16:$O$149&lt;&gt;"",ROW($O$16:$O$149)-ROW($Q$16)+1),ROWS(Q$16:Q61))))</f>
        <v/>
      </c>
    </row>
    <row r="62" spans="2:17" x14ac:dyDescent="0.3">
      <c r="B62" s="22" t="str">
        <f>IFERROR(IF(Program=Spec[[#This Row],[PROGRAM]],Spec[[#This Row],[INRIKTNING]],""),"")</f>
        <v>Logistik</v>
      </c>
      <c r="C62" s="22">
        <f>ROWS('Program och examenskrav'!F74:Spec[[#Headers],[INRIKTNING]])</f>
        <v>47</v>
      </c>
      <c r="D62" s="22" t="str">
        <f t="array" ref="D62">IF(ROWS($D$16:D62)&gt;$B$11,"",INDEX($B$16:$B$149,SMALL(IF($B$16:$B$149&lt;&gt;"",ROW($B$16:$B$149)-ROW($D$16)+1),ROWS(D$16:D62))))</f>
        <v/>
      </c>
      <c r="K62" s="104"/>
      <c r="L62" s="104"/>
      <c r="M62" s="104"/>
      <c r="O62" s="22" t="str">
        <f>IFERROR(IF(ProgramForNewCourse=Spec[[#This Row],[PROGRAM]],Spec[[#This Row],[INRIKTNING]],""),"")</f>
        <v/>
      </c>
      <c r="P62" s="22">
        <f>ROWS('Program och examenskrav'!S74:Spec[[#Headers],[INRIKTNING]])</f>
        <v>47</v>
      </c>
      <c r="Q62" s="22" t="str">
        <f t="array" ref="Q62">IF(ROWS($Q$16:Q62)&gt;$P$11,"",INDEX($O$16:$O$149,SMALL(IF($O$16:$O$149&lt;&gt;"",ROW($O$16:$O$149)-ROW($Q$16)+1),ROWS(Q$16:Q62))))</f>
        <v/>
      </c>
    </row>
    <row r="63" spans="2:17" x14ac:dyDescent="0.3">
      <c r="B63" s="22" t="str">
        <f>IFERROR(IF(Program=Spec[[#This Row],[PROGRAM]],Spec[[#This Row],[INRIKTNING]],""),"")</f>
        <v>Produktionsledning</v>
      </c>
      <c r="C63" s="22">
        <f>ROWS('Program och examenskrav'!F75:Spec[[#Headers],[INRIKTNING]])</f>
        <v>48</v>
      </c>
      <c r="D63" s="22" t="str">
        <f t="array" ref="D63">IF(ROWS($D$16:D63)&gt;$B$11,"",INDEX($B$16:$B$149,SMALL(IF($B$16:$B$149&lt;&gt;"",ROW($B$16:$B$149)-ROW($D$16)+1),ROWS(D$16:D63))))</f>
        <v/>
      </c>
      <c r="H63"/>
      <c r="I63"/>
      <c r="J63"/>
      <c r="K63"/>
      <c r="L63"/>
      <c r="M63" s="104"/>
      <c r="O63" s="22" t="str">
        <f>IFERROR(IF(ProgramForNewCourse=Spec[[#This Row],[PROGRAM]],Spec[[#This Row],[INRIKTNING]],""),"")</f>
        <v/>
      </c>
      <c r="P63" s="22">
        <f>ROWS('Program och examenskrav'!S75:Spec[[#Headers],[INRIKTNING]])</f>
        <v>48</v>
      </c>
      <c r="Q63" s="22" t="str">
        <f t="array" ref="Q63">IF(ROWS($Q$16:Q63)&gt;$P$11,"",INDEX($O$16:$O$149,SMALL(IF($O$16:$O$149&lt;&gt;"",ROW($O$16:$O$149)-ROW($Q$16)+1),ROWS(Q$16:Q63))))</f>
        <v/>
      </c>
    </row>
    <row r="64" spans="2:17" x14ac:dyDescent="0.3">
      <c r="B64" s="22" t="str">
        <f>IFERROR(IF(Program=Spec[[#This Row],[PROGRAM]],Spec[[#This Row],[INRIKTNING]],""),"")</f>
        <v>Projekt, innovation och entreprenörskap</v>
      </c>
      <c r="C64" s="22">
        <f>ROWS('Program och examenskrav'!F76:Spec[[#Headers],[INRIKTNING]])</f>
        <v>49</v>
      </c>
      <c r="D64" s="22" t="str">
        <f t="array" ref="D64">IF(ROWS($D$16:D64)&gt;$B$11,"",INDEX($B$16:$B$149,SMALL(IF($B$16:$B$149&lt;&gt;"",ROW($B$16:$B$149)-ROW($D$16)+1),ROWS(D$16:D64))))</f>
        <v/>
      </c>
      <c r="H64"/>
      <c r="I64"/>
      <c r="J64"/>
      <c r="K64"/>
      <c r="L64"/>
      <c r="M64" s="104"/>
      <c r="O64" s="22" t="str">
        <f>IFERROR(IF(ProgramForNewCourse=Spec[[#This Row],[PROGRAM]],Spec[[#This Row],[INRIKTNING]],""),"")</f>
        <v/>
      </c>
      <c r="P64" s="22">
        <f>ROWS('Program och examenskrav'!S76:Spec[[#Headers],[INRIKTNING]])</f>
        <v>49</v>
      </c>
      <c r="Q64" s="22" t="str">
        <f t="array" ref="Q64">IF(ROWS($Q$16:Q64)&gt;$P$11,"",INDEX($O$16:$O$149,SMALL(IF($O$16:$O$149&lt;&gt;"",ROW($O$16:$O$149)-ROW($Q$16)+1),ROWS(Q$16:Q64))))</f>
        <v/>
      </c>
    </row>
    <row r="65" spans="2:17" x14ac:dyDescent="0.3">
      <c r="B65" s="22" t="str">
        <f>IFERROR(IF(Program=Spec[[#This Row],[PROGRAM]],Spec[[#This Row],[INRIKTNING]],""),"")</f>
        <v>Strategi och styrning</v>
      </c>
      <c r="C65" s="22">
        <f>ROWS('Program och examenskrav'!F77:Spec[[#Headers],[INRIKTNING]])</f>
        <v>50</v>
      </c>
      <c r="D65" s="22" t="str">
        <f t="array" ref="D65">IF(ROWS($D$16:D65)&gt;$B$11,"",INDEX($B$16:$B$149,SMALL(IF($B$16:$B$149&lt;&gt;"",ROW($B$16:$B$149)-ROW($D$16)+1),ROWS(D$16:D65))))</f>
        <v/>
      </c>
      <c r="H65"/>
      <c r="I65"/>
      <c r="J65"/>
      <c r="K65"/>
      <c r="L65"/>
      <c r="M65" s="104"/>
      <c r="O65" s="22" t="str">
        <f>IFERROR(IF(ProgramForNewCourse=Spec[[#This Row],[PROGRAM]],Spec[[#This Row],[INRIKTNING]],""),"")</f>
        <v/>
      </c>
      <c r="P65" s="22">
        <f>ROWS('Program och examenskrav'!S77:Spec[[#Headers],[INRIKTNING]])</f>
        <v>50</v>
      </c>
      <c r="Q65" s="22" t="str">
        <f t="array" ref="Q65">IF(ROWS($Q$16:Q65)&gt;$P$11,"",INDEX($O$16:$O$149,SMALL(IF($O$16:$O$149&lt;&gt;"",ROW($O$16:$O$149)-ROW($Q$16)+1),ROWS(Q$16:Q65))))</f>
        <v/>
      </c>
    </row>
    <row r="66" spans="2:17" x14ac:dyDescent="0.3">
      <c r="B66" s="22" t="str">
        <f>IFERROR(IF(Program=Spec[[#This Row],[PROGRAM]],Spec[[#This Row],[INRIKTNING]],""),"")</f>
        <v/>
      </c>
      <c r="C66" s="22">
        <f>ROWS('Program och examenskrav'!F78:Spec[[#Headers],[INRIKTNING]])</f>
        <v>51</v>
      </c>
      <c r="D66" s="22" t="str">
        <f t="array" ref="D66">IF(ROWS($D$16:D66)&gt;$B$11,"",INDEX($B$16:$B$149,SMALL(IF($B$16:$B$149&lt;&gt;"",ROW($B$16:$B$149)-ROW($D$16)+1),ROWS(D$16:D66))))</f>
        <v/>
      </c>
      <c r="H66"/>
      <c r="I66"/>
      <c r="J66"/>
      <c r="K66"/>
      <c r="L66"/>
      <c r="M66" s="104"/>
      <c r="O66" s="22" t="str">
        <f>IFERROR(IF(ProgramForNewCourse=Spec[[#This Row],[PROGRAM]],Spec[[#This Row],[INRIKTNING]],""),"")</f>
        <v>Industriell bioteknik och produktion</v>
      </c>
      <c r="P66" s="22">
        <f>ROWS('Program och examenskrav'!S78:Spec[[#Headers],[INRIKTNING]])</f>
        <v>51</v>
      </c>
      <c r="Q66" s="22" t="str">
        <f t="array" ref="Q66">IF(ROWS($Q$16:Q66)&gt;$P$11,"",INDEX($O$16:$O$149,SMALL(IF($O$16:$O$149&lt;&gt;"",ROW($O$16:$O$149)-ROW($Q$16)+1),ROWS(Q$16:Q66))))</f>
        <v/>
      </c>
    </row>
    <row r="67" spans="2:17" x14ac:dyDescent="0.3">
      <c r="B67" s="22" t="str">
        <f>IFERROR(IF(Program=Spec[[#This Row],[PROGRAM]],Spec[[#This Row],[INRIKTNING]],""),"")</f>
        <v/>
      </c>
      <c r="C67" s="22">
        <f>ROWS('Program och examenskrav'!F79:Spec[[#Headers],[INRIKTNING]])</f>
        <v>52</v>
      </c>
      <c r="D67" s="22" t="str">
        <f t="array" ref="D67">IF(ROWS($D$16:D67)&gt;$B$11,"",INDEX($B$16:$B$149,SMALL(IF($B$16:$B$149&lt;&gt;"",ROW($B$16:$B$149)-ROW($D$16)+1),ROWS(D$16:D67))))</f>
        <v/>
      </c>
      <c r="H67"/>
      <c r="I67"/>
      <c r="J67"/>
      <c r="K67"/>
      <c r="L67"/>
      <c r="M67" s="104"/>
      <c r="O67" s="22" t="str">
        <f>IFERROR(IF(ProgramForNewCourse=Spec[[#This Row],[PROGRAM]],Spec[[#This Row],[INRIKTNING]],""),"")</f>
        <v>Sensorer och material i biomedicin</v>
      </c>
      <c r="P67" s="22">
        <f>ROWS('Program och examenskrav'!S79:Spec[[#Headers],[INRIKTNING]])</f>
        <v>52</v>
      </c>
      <c r="Q67" s="22" t="str">
        <f t="array" ref="Q67">IF(ROWS($Q$16:Q67)&gt;$P$11,"",INDEX($O$16:$O$149,SMALL(IF($O$16:$O$149&lt;&gt;"",ROW($O$16:$O$149)-ROW($Q$16)+1),ROWS(Q$16:Q67))))</f>
        <v/>
      </c>
    </row>
    <row r="68" spans="2:17" x14ac:dyDescent="0.3">
      <c r="B68" s="22" t="str">
        <f>IFERROR(IF(Program=Spec[[#This Row],[PROGRAM]],Spec[[#This Row],[INRIKTNING]],""),"")</f>
        <v/>
      </c>
      <c r="C68" s="22">
        <f>ROWS('Program och examenskrav'!F80:Spec[[#Headers],[INRIKTNING]])</f>
        <v>53</v>
      </c>
      <c r="D68" s="22" t="str">
        <f t="array" ref="D68">IF(ROWS($D$16:D68)&gt;$B$11,"",INDEX($B$16:$B$149,SMALL(IF($B$16:$B$149&lt;&gt;"",ROW($B$16:$B$149)-ROW($D$16)+1),ROWS(D$16:D68))))</f>
        <v/>
      </c>
      <c r="H68"/>
      <c r="I68"/>
      <c r="J68"/>
      <c r="K68"/>
      <c r="L68"/>
      <c r="M68" s="104"/>
      <c r="O68" s="22" t="str">
        <f>IFERROR(IF(ProgramForNewCourse=Spec[[#This Row],[PROGRAM]],Spec[[#This Row],[INRIKTNING]],""),"")</f>
        <v>Kemisk biologi</v>
      </c>
      <c r="P68" s="22">
        <f>ROWS('Program och examenskrav'!S80:Spec[[#Headers],[INRIKTNING]])</f>
        <v>53</v>
      </c>
      <c r="Q68" s="22" t="str">
        <f t="array" ref="Q68">IF(ROWS($Q$16:Q68)&gt;$P$11,"",INDEX($O$16:$O$149,SMALL(IF($O$16:$O$149&lt;&gt;"",ROW($O$16:$O$149)-ROW($Q$16)+1),ROWS(Q$16:Q68))))</f>
        <v/>
      </c>
    </row>
    <row r="69" spans="2:17" x14ac:dyDescent="0.3">
      <c r="B69" s="22" t="str">
        <f>IFERROR(IF(Program=Spec[[#This Row],[PROGRAM]],Spec[[#This Row],[INRIKTNING]],""),"")</f>
        <v/>
      </c>
      <c r="C69" s="22">
        <f>ROWS('Program och examenskrav'!F81:Spec[[#Headers],[INRIKTNING]])</f>
        <v>54</v>
      </c>
      <c r="D69" s="22" t="str">
        <f t="array" ref="D69">IF(ROWS($D$16:D69)&gt;$B$11,"",INDEX($B$16:$B$149,SMALL(IF($B$16:$B$149&lt;&gt;"",ROW($B$16:$B$149)-ROW($D$16)+1),ROWS(D$16:D69))))</f>
        <v/>
      </c>
      <c r="H69"/>
      <c r="I69"/>
      <c r="J69"/>
      <c r="K69"/>
      <c r="L69"/>
      <c r="M69" s="104"/>
      <c r="O69" s="22" t="str">
        <f>IFERROR(IF(ProgramForNewCourse=Spec[[#This Row],[PROGRAM]],Spec[[#This Row],[INRIKTNING]],""),"")</f>
        <v/>
      </c>
      <c r="P69" s="22">
        <f>ROWS('Program och examenskrav'!S81:Spec[[#Headers],[INRIKTNING]])</f>
        <v>54</v>
      </c>
      <c r="Q69" s="22" t="str">
        <f t="array" ref="Q69">IF(ROWS($Q$16:Q69)&gt;$P$11,"",INDEX($O$16:$O$149,SMALL(IF($O$16:$O$149&lt;&gt;"",ROW($O$16:$O$149)-ROW($Q$16)+1),ROWS(Q$16:Q69))))</f>
        <v/>
      </c>
    </row>
    <row r="70" spans="2:17" x14ac:dyDescent="0.3">
      <c r="B70" s="22" t="str">
        <f>IFERROR(IF(Program=Spec[[#This Row],[PROGRAM]],Spec[[#This Row],[INRIKTNING]],""),"")</f>
        <v/>
      </c>
      <c r="C70" s="22">
        <f>ROWS('Program och examenskrav'!F82:Spec[[#Headers],[INRIKTNING]])</f>
        <v>55</v>
      </c>
      <c r="D70" s="22" t="str">
        <f t="array" ref="D70">IF(ROWS($D$16:D70)&gt;$B$11,"",INDEX($B$16:$B$149,SMALL(IF($B$16:$B$149&lt;&gt;"",ROW($B$16:$B$149)-ROW($D$16)+1),ROWS(D$16:D70))))</f>
        <v/>
      </c>
      <c r="H70"/>
      <c r="I70"/>
      <c r="J70"/>
      <c r="K70"/>
      <c r="L70"/>
      <c r="M70" s="104"/>
      <c r="O70" s="22" t="str">
        <f>IFERROR(IF(ProgramForNewCourse=Spec[[#This Row],[PROGRAM]],Spec[[#This Row],[INRIKTNING]],""),"")</f>
        <v/>
      </c>
      <c r="P70" s="22">
        <f>ROWS('Program och examenskrav'!S82:Spec[[#Headers],[INRIKTNING]])</f>
        <v>55</v>
      </c>
      <c r="Q70" s="22" t="str">
        <f t="array" ref="Q70">IF(ROWS($Q$16:Q70)&gt;$P$11,"",INDEX($O$16:$O$149,SMALL(IF($O$16:$O$149&lt;&gt;"",ROW($O$16:$O$149)-ROW($Q$16)+1),ROWS(Q$16:Q70))))</f>
        <v/>
      </c>
    </row>
    <row r="71" spans="2:17" x14ac:dyDescent="0.3">
      <c r="B71" s="22" t="str">
        <f>IFERROR(IF(Program=Spec[[#This Row],[PROGRAM]],Spec[[#This Row],[INRIKTNING]],""),"")</f>
        <v/>
      </c>
      <c r="C71" s="22">
        <f>ROWS('Program och examenskrav'!F83:Spec[[#Headers],[INRIKTNING]])</f>
        <v>56</v>
      </c>
      <c r="D71" s="22" t="str">
        <f t="array" ref="D71">IF(ROWS($D$16:D71)&gt;$B$11,"",INDEX($B$16:$B$149,SMALL(IF($B$16:$B$149&lt;&gt;"",ROW($B$16:$B$149)-ROW($D$16)+1),ROWS(D$16:D71))))</f>
        <v/>
      </c>
      <c r="H71"/>
      <c r="I71"/>
      <c r="J71"/>
      <c r="K71"/>
      <c r="L71"/>
      <c r="M71" s="104"/>
      <c r="O71" s="22" t="str">
        <f>IFERROR(IF(ProgramForNewCourse=Spec[[#This Row],[PROGRAM]],Spec[[#This Row],[INRIKTNING]],""),"")</f>
        <v/>
      </c>
      <c r="P71" s="22">
        <f>ROWS('Program och examenskrav'!S83:Spec[[#Headers],[INRIKTNING]])</f>
        <v>56</v>
      </c>
      <c r="Q71" s="22" t="str">
        <f t="array" ref="Q71">IF(ROWS($Q$16:Q71)&gt;$P$11,"",INDEX($O$16:$O$149,SMALL(IF($O$16:$O$149&lt;&gt;"",ROW($O$16:$O$149)-ROW($Q$16)+1),ROWS(Q$16:Q71))))</f>
        <v/>
      </c>
    </row>
    <row r="72" spans="2:17" x14ac:dyDescent="0.3">
      <c r="B72" s="22" t="str">
        <f>IFERROR(IF(Program=Spec[[#This Row],[PROGRAM]],Spec[[#This Row],[INRIKTNING]],""),"")</f>
        <v/>
      </c>
      <c r="C72" s="22">
        <f>ROWS('Program och examenskrav'!F84:Spec[[#Headers],[INRIKTNING]])</f>
        <v>57</v>
      </c>
      <c r="D72" s="22" t="str">
        <f t="array" ref="D72">IF(ROWS($D$16:D72)&gt;$B$11,"",INDEX($B$16:$B$149,SMALL(IF($B$16:$B$149&lt;&gt;"",ROW($B$16:$B$149)-ROW($D$16)+1),ROWS(D$16:D72))))</f>
        <v/>
      </c>
      <c r="H72"/>
      <c r="I72"/>
      <c r="J72"/>
      <c r="K72"/>
      <c r="L72"/>
      <c r="M72" s="104"/>
      <c r="O72" s="22" t="str">
        <f>IFERROR(IF(ProgramForNewCourse=Spec[[#This Row],[PROGRAM]],Spec[[#This Row],[INRIKTNING]],""),"")</f>
        <v/>
      </c>
      <c r="P72" s="22">
        <f>ROWS('Program och examenskrav'!S84:Spec[[#Headers],[INRIKTNING]])</f>
        <v>57</v>
      </c>
      <c r="Q72" s="22" t="str">
        <f t="array" ref="Q72">IF(ROWS($Q$16:Q72)&gt;$P$11,"",INDEX($O$16:$O$149,SMALL(IF($O$16:$O$149&lt;&gt;"",ROW($O$16:$O$149)-ROW($Q$16)+1),ROWS(Q$16:Q72))))</f>
        <v/>
      </c>
    </row>
    <row r="73" spans="2:17" x14ac:dyDescent="0.3">
      <c r="B73" s="22" t="str">
        <f>IFERROR(IF(Program=Spec[[#This Row],[PROGRAM]],Spec[[#This Row],[INRIKTNING]],""),"")</f>
        <v/>
      </c>
      <c r="C73" s="22">
        <f>ROWS('Program och examenskrav'!F85:Spec[[#Headers],[INRIKTNING]])</f>
        <v>58</v>
      </c>
      <c r="D73" s="22" t="str">
        <f t="array" ref="D73">IF(ROWS($D$16:D73)&gt;$B$11,"",INDEX($B$16:$B$149,SMALL(IF($B$16:$B$149&lt;&gt;"",ROW($B$16:$B$149)-ROW($D$16)+1),ROWS(D$16:D73))))</f>
        <v/>
      </c>
      <c r="H73"/>
      <c r="I73"/>
      <c r="J73"/>
      <c r="K73"/>
      <c r="L73"/>
      <c r="M73" s="104"/>
      <c r="O73" s="22" t="str">
        <f>IFERROR(IF(ProgramForNewCourse=Spec[[#This Row],[PROGRAM]],Spec[[#This Row],[INRIKTNING]],""),"")</f>
        <v/>
      </c>
      <c r="P73" s="22">
        <f>ROWS('Program och examenskrav'!S85:Spec[[#Headers],[INRIKTNING]])</f>
        <v>58</v>
      </c>
      <c r="Q73" s="22" t="str">
        <f t="array" ref="Q73">IF(ROWS($Q$16:Q73)&gt;$P$11,"",INDEX($O$16:$O$149,SMALL(IF($O$16:$O$149&lt;&gt;"",ROW($O$16:$O$149)-ROW($Q$16)+1),ROWS(Q$16:Q73))))</f>
        <v/>
      </c>
    </row>
    <row r="74" spans="2:17" x14ac:dyDescent="0.3">
      <c r="B74" s="22" t="str">
        <f>IFERROR(IF(Program=Spec[[#This Row],[PROGRAM]],Spec[[#This Row],[INRIKTNING]],""),"")</f>
        <v/>
      </c>
      <c r="C74" s="22">
        <f>ROWS('Program och examenskrav'!F86:Spec[[#Headers],[INRIKTNING]])</f>
        <v>59</v>
      </c>
      <c r="D74" s="22" t="str">
        <f t="array" ref="D74">IF(ROWS($D$16:D74)&gt;$B$11,"",INDEX($B$16:$B$149,SMALL(IF($B$16:$B$149&lt;&gt;"",ROW($B$16:$B$149)-ROW($D$16)+1),ROWS(D$16:D74))))</f>
        <v/>
      </c>
      <c r="H74"/>
      <c r="I74"/>
      <c r="J74"/>
      <c r="K74"/>
      <c r="L74"/>
      <c r="M74" s="104"/>
      <c r="O74" s="22" t="str">
        <f>IFERROR(IF(ProgramForNewCourse=Spec[[#This Row],[PROGRAM]],Spec[[#This Row],[INRIKTNING]],""),"")</f>
        <v/>
      </c>
      <c r="P74" s="22">
        <f>ROWS('Program och examenskrav'!S86:Spec[[#Headers],[INRIKTNING]])</f>
        <v>59</v>
      </c>
      <c r="Q74" s="22" t="str">
        <f t="array" ref="Q74">IF(ROWS($Q$16:Q74)&gt;$P$11,"",INDEX($O$16:$O$149,SMALL(IF($O$16:$O$149&lt;&gt;"",ROW($O$16:$O$149)-ROW($Q$16)+1),ROWS(Q$16:Q74))))</f>
        <v/>
      </c>
    </row>
    <row r="75" spans="2:17" x14ac:dyDescent="0.3">
      <c r="B75" s="22" t="str">
        <f>IFERROR(IF(Program=Spec[[#This Row],[PROGRAM]],Spec[[#This Row],[INRIKTNING]],""),"")</f>
        <v/>
      </c>
      <c r="C75" s="22">
        <f>ROWS('Program och examenskrav'!F87:Spec[[#Headers],[INRIKTNING]])</f>
        <v>60</v>
      </c>
      <c r="D75" s="22" t="str">
        <f t="array" ref="D75">IF(ROWS($D$16:D75)&gt;$B$11,"",INDEX($B$16:$B$149,SMALL(IF($B$16:$B$149&lt;&gt;"",ROW($B$16:$B$149)-ROW($D$16)+1),ROWS(D$16:D75))))</f>
        <v/>
      </c>
      <c r="H75"/>
      <c r="I75"/>
      <c r="J75"/>
      <c r="K75"/>
      <c r="L75"/>
      <c r="M75" s="104"/>
      <c r="O75" s="22" t="str">
        <f>IFERROR(IF(ProgramForNewCourse=Spec[[#This Row],[PROGRAM]],Spec[[#This Row],[INRIKTNING]],""),"")</f>
        <v/>
      </c>
      <c r="P75" s="22">
        <f>ROWS('Program och examenskrav'!S87:Spec[[#Headers],[INRIKTNING]])</f>
        <v>60</v>
      </c>
      <c r="Q75" s="22" t="str">
        <f t="array" ref="Q75">IF(ROWS($Q$16:Q75)&gt;$P$11,"",INDEX($O$16:$O$149,SMALL(IF($O$16:$O$149&lt;&gt;"",ROW($O$16:$O$149)-ROW($Q$16)+1),ROWS(Q$16:Q75))))</f>
        <v/>
      </c>
    </row>
    <row r="76" spans="2:17" x14ac:dyDescent="0.3">
      <c r="B76" s="22" t="str">
        <f>IFERROR(IF(Program=Spec[[#This Row],[PROGRAM]],Spec[[#This Row],[INRIKTNING]],""),"")</f>
        <v/>
      </c>
      <c r="C76" s="22">
        <f>ROWS('Program och examenskrav'!F88:Spec[[#Headers],[INRIKTNING]])</f>
        <v>61</v>
      </c>
      <c r="D76" s="22" t="str">
        <f t="array" ref="D76">IF(ROWS($D$16:D76)&gt;$B$11,"",INDEX($B$16:$B$149,SMALL(IF($B$16:$B$149&lt;&gt;"",ROW($B$16:$B$149)-ROW($D$16)+1),ROWS(D$16:D76))))</f>
        <v/>
      </c>
      <c r="H76"/>
      <c r="I76"/>
      <c r="J76"/>
      <c r="K76"/>
      <c r="L76"/>
      <c r="M76"/>
      <c r="O76" s="22" t="str">
        <f>IFERROR(IF(ProgramForNewCourse=Spec[[#This Row],[PROGRAM]],Spec[[#This Row],[INRIKTNING]],""),"")</f>
        <v/>
      </c>
      <c r="P76" s="22">
        <f>ROWS('Program och examenskrav'!S88:Spec[[#Headers],[INRIKTNING]])</f>
        <v>61</v>
      </c>
      <c r="Q76" s="22" t="str">
        <f t="array" ref="Q76">IF(ROWS($Q$16:Q76)&gt;$P$11,"",INDEX($O$16:$O$149,SMALL(IF($O$16:$O$149&lt;&gt;"",ROW($O$16:$O$149)-ROW($Q$16)+1),ROWS(Q$16:Q76))))</f>
        <v/>
      </c>
    </row>
    <row r="77" spans="2:17" x14ac:dyDescent="0.3">
      <c r="B77" s="22" t="str">
        <f>IFERROR(IF(Program=Spec[[#This Row],[PROGRAM]],Spec[[#This Row],[INRIKTNING]],""),"")</f>
        <v/>
      </c>
      <c r="C77" s="22">
        <f>ROWS('Program och examenskrav'!F89:Spec[[#Headers],[INRIKTNING]])</f>
        <v>62</v>
      </c>
      <c r="D77" s="22" t="str">
        <f t="array" ref="D77">IF(ROWS($D$16:D77)&gt;$B$11,"",INDEX($B$16:$B$149,SMALL(IF($B$16:$B$149&lt;&gt;"",ROW($B$16:$B$149)-ROW($D$16)+1),ROWS(D$16:D77))))</f>
        <v/>
      </c>
      <c r="H77"/>
      <c r="I77"/>
      <c r="J77"/>
      <c r="K77"/>
      <c r="L77"/>
      <c r="M77"/>
      <c r="O77" s="22" t="str">
        <f>IFERROR(IF(ProgramForNewCourse=Spec[[#This Row],[PROGRAM]],Spec[[#This Row],[INRIKTNING]],""),"")</f>
        <v/>
      </c>
      <c r="P77" s="22">
        <f>ROWS('Program och examenskrav'!S89:Spec[[#Headers],[INRIKTNING]])</f>
        <v>62</v>
      </c>
      <c r="Q77" s="22" t="str">
        <f t="array" ref="Q77">IF(ROWS($Q$16:Q77)&gt;$P$11,"",INDEX($O$16:$O$149,SMALL(IF($O$16:$O$149&lt;&gt;"",ROW($O$16:$O$149)-ROW($Q$16)+1),ROWS(Q$16:Q77))))</f>
        <v/>
      </c>
    </row>
    <row r="78" spans="2:17" x14ac:dyDescent="0.3">
      <c r="B78" s="22" t="str">
        <f>IFERROR(IF(Program=Spec[[#This Row],[PROGRAM]],Spec[[#This Row],[INRIKTNING]],""),"")</f>
        <v/>
      </c>
      <c r="C78" s="22">
        <f>ROWS('Program och examenskrav'!F90:Spec[[#Headers],[INRIKTNING]])</f>
        <v>63</v>
      </c>
      <c r="D78" s="22" t="str">
        <f t="array" ref="D78">IF(ROWS($D$16:D78)&gt;$B$11,"",INDEX($B$16:$B$149,SMALL(IF($B$16:$B$149&lt;&gt;"",ROW($B$16:$B$149)-ROW($D$16)+1),ROWS(D$16:D78))))</f>
        <v/>
      </c>
      <c r="H78"/>
      <c r="I78"/>
      <c r="J78"/>
      <c r="K78"/>
      <c r="L78"/>
      <c r="M78"/>
      <c r="O78" s="22" t="str">
        <f>IFERROR(IF(ProgramForNewCourse=Spec[[#This Row],[PROGRAM]],Spec[[#This Row],[INRIKTNING]],""),"")</f>
        <v/>
      </c>
      <c r="P78" s="22">
        <f>ROWS('Program och examenskrav'!S90:Spec[[#Headers],[INRIKTNING]])</f>
        <v>63</v>
      </c>
      <c r="Q78" s="22" t="str">
        <f t="array" ref="Q78">IF(ROWS($Q$16:Q78)&gt;$P$11,"",INDEX($O$16:$O$149,SMALL(IF($O$16:$O$149&lt;&gt;"",ROW($O$16:$O$149)-ROW($Q$16)+1),ROWS(Q$16:Q78))))</f>
        <v/>
      </c>
    </row>
    <row r="79" spans="2:17" x14ac:dyDescent="0.3">
      <c r="B79" s="22" t="str">
        <f>IFERROR(IF(Program=Spec[[#This Row],[PROGRAM]],Spec[[#This Row],[INRIKTNING]],""),"")</f>
        <v/>
      </c>
      <c r="C79" s="22">
        <f>ROWS('Program och examenskrav'!F91:Spec[[#Headers],[INRIKTNING]])</f>
        <v>64</v>
      </c>
      <c r="D79" s="22" t="str">
        <f t="array" ref="D79">IF(ROWS($D$16:D79)&gt;$B$11,"",INDEX($B$16:$B$149,SMALL(IF($B$16:$B$149&lt;&gt;"",ROW($B$16:$B$149)-ROW($D$16)+1),ROWS(D$16:D79))))</f>
        <v/>
      </c>
      <c r="H79"/>
      <c r="I79"/>
      <c r="J79"/>
      <c r="K79"/>
      <c r="L79"/>
      <c r="M79"/>
      <c r="O79" s="22" t="str">
        <f>IFERROR(IF(ProgramForNewCourse=Spec[[#This Row],[PROGRAM]],Spec[[#This Row],[INRIKTNING]],""),"")</f>
        <v/>
      </c>
      <c r="P79" s="22">
        <f>ROWS('Program och examenskrav'!S91:Spec[[#Headers],[INRIKTNING]])</f>
        <v>64</v>
      </c>
      <c r="Q79" s="22" t="str">
        <f t="array" ref="Q79">IF(ROWS($Q$16:Q79)&gt;$P$11,"",INDEX($O$16:$O$149,SMALL(IF($O$16:$O$149&lt;&gt;"",ROW($O$16:$O$149)-ROW($Q$16)+1),ROWS(Q$16:Q79))))</f>
        <v/>
      </c>
    </row>
    <row r="80" spans="2:17" x14ac:dyDescent="0.3">
      <c r="B80" s="22" t="str">
        <f>IFERROR(IF(Program=Spec[[#This Row],[PROGRAM]],Spec[[#This Row],[INRIKTNING]],""),"")</f>
        <v/>
      </c>
      <c r="C80" s="22">
        <f>ROWS('Program och examenskrav'!F92:Spec[[#Headers],[INRIKTNING]])</f>
        <v>65</v>
      </c>
      <c r="D80" s="22" t="str">
        <f t="array" ref="D80">IF(ROWS($D$16:D80)&gt;$B$11,"",INDEX($B$16:$B$149,SMALL(IF($B$16:$B$149&lt;&gt;"",ROW($B$16:$B$149)-ROW($D$16)+1),ROWS(D$16:D80))))</f>
        <v/>
      </c>
      <c r="H80"/>
      <c r="I80"/>
      <c r="J80"/>
      <c r="K80"/>
      <c r="L80"/>
      <c r="M80"/>
      <c r="O80" s="22" t="str">
        <f>IFERROR(IF(ProgramForNewCourse=Spec[[#This Row],[PROGRAM]],Spec[[#This Row],[INRIKTNING]],""),"")</f>
        <v/>
      </c>
      <c r="P80" s="22">
        <f>ROWS('Program och examenskrav'!S92:Spec[[#Headers],[INRIKTNING]])</f>
        <v>65</v>
      </c>
      <c r="Q80" s="22" t="str">
        <f t="array" ref="Q80">IF(ROWS($Q$16:Q80)&gt;$P$11,"",INDEX($O$16:$O$149,SMALL(IF($O$16:$O$149&lt;&gt;"",ROW($O$16:$O$149)-ROW($Q$16)+1),ROWS(Q$16:Q80))))</f>
        <v/>
      </c>
    </row>
    <row r="81" spans="2:17" x14ac:dyDescent="0.3">
      <c r="B81" s="22" t="str">
        <f>IFERROR(IF(Program=Spec[[#This Row],[PROGRAM]],Spec[[#This Row],[INRIKTNING]],""),"")</f>
        <v/>
      </c>
      <c r="C81" s="22">
        <f>ROWS('Program och examenskrav'!F93:Spec[[#Headers],[INRIKTNING]])</f>
        <v>66</v>
      </c>
      <c r="D81" s="22" t="str">
        <f t="array" ref="D81">IF(ROWS($D$16:D81)&gt;$B$11,"",INDEX($B$16:$B$149,SMALL(IF($B$16:$B$149&lt;&gt;"",ROW($B$16:$B$149)-ROW($D$16)+1),ROWS(D$16:D81))))</f>
        <v/>
      </c>
      <c r="H81"/>
      <c r="I81"/>
      <c r="J81"/>
      <c r="K81"/>
      <c r="L81"/>
      <c r="M81"/>
      <c r="O81" s="22" t="str">
        <f>IFERROR(IF(ProgramForNewCourse=Spec[[#This Row],[PROGRAM]],Spec[[#This Row],[INRIKTNING]],""),"")</f>
        <v/>
      </c>
      <c r="P81" s="22">
        <f>ROWS('Program och examenskrav'!S93:Spec[[#Headers],[INRIKTNING]])</f>
        <v>66</v>
      </c>
      <c r="Q81" s="22" t="str">
        <f t="array" ref="Q81">IF(ROWS($Q$16:Q81)&gt;$P$11,"",INDEX($O$16:$O$149,SMALL(IF($O$16:$O$149&lt;&gt;"",ROW($O$16:$O$149)-ROW($Q$16)+1),ROWS(Q$16:Q81))))</f>
        <v/>
      </c>
    </row>
    <row r="82" spans="2:17" x14ac:dyDescent="0.3">
      <c r="B82" s="22" t="str">
        <f>IFERROR(IF(Program=Spec[[#This Row],[PROGRAM]],Spec[[#This Row],[INRIKTNING]],""),"")</f>
        <v/>
      </c>
      <c r="C82" s="22">
        <f>ROWS('Program och examenskrav'!F94:Spec[[#Headers],[INRIKTNING]])</f>
        <v>67</v>
      </c>
      <c r="D82" s="22" t="str">
        <f t="array" ref="D82">IF(ROWS($D$16:D82)&gt;$B$11,"",INDEX($B$16:$B$149,SMALL(IF($B$16:$B$149&lt;&gt;"",ROW($B$16:$B$149)-ROW($D$16)+1),ROWS(D$16:D82))))</f>
        <v/>
      </c>
      <c r="H82"/>
      <c r="I82"/>
      <c r="J82"/>
      <c r="K82"/>
      <c r="L82"/>
      <c r="M82"/>
      <c r="O82" s="22" t="str">
        <f>IFERROR(IF(ProgramForNewCourse=Spec[[#This Row],[PROGRAM]],Spec[[#This Row],[INRIKTNING]],""),"")</f>
        <v/>
      </c>
      <c r="P82" s="22">
        <f>ROWS('Program och examenskrav'!S94:Spec[[#Headers],[INRIKTNING]])</f>
        <v>67</v>
      </c>
      <c r="Q82" s="22" t="str">
        <f t="array" ref="Q82">IF(ROWS($Q$16:Q82)&gt;$P$11,"",INDEX($O$16:$O$149,SMALL(IF($O$16:$O$149&lt;&gt;"",ROW($O$16:$O$149)-ROW($Q$16)+1),ROWS(Q$16:Q82))))</f>
        <v/>
      </c>
    </row>
    <row r="83" spans="2:17" x14ac:dyDescent="0.3">
      <c r="B83" s="22" t="str">
        <f>IFERROR(IF(Program=Spec[[#This Row],[PROGRAM]],Spec[[#This Row],[INRIKTNING]],""),"")</f>
        <v/>
      </c>
      <c r="C83" s="22">
        <f>ROWS('Program och examenskrav'!F95:Spec[[#Headers],[INRIKTNING]])</f>
        <v>68</v>
      </c>
      <c r="D83" s="22" t="str">
        <f t="array" ref="D83">IF(ROWS($D$16:D83)&gt;$B$11,"",INDEX($B$16:$B$149,SMALL(IF($B$16:$B$149&lt;&gt;"",ROW($B$16:$B$149)-ROW($D$16)+1),ROWS(D$16:D83))))</f>
        <v/>
      </c>
      <c r="H83"/>
      <c r="I83"/>
      <c r="J83"/>
      <c r="K83"/>
      <c r="L83"/>
      <c r="M83"/>
      <c r="O83" s="22" t="str">
        <f>IFERROR(IF(ProgramForNewCourse=Spec[[#This Row],[PROGRAM]],Spec[[#This Row],[INRIKTNING]],""),"")</f>
        <v/>
      </c>
      <c r="P83" s="22">
        <f>ROWS('Program och examenskrav'!S95:Spec[[#Headers],[INRIKTNING]])</f>
        <v>68</v>
      </c>
      <c r="Q83" s="22" t="str">
        <f t="array" ref="Q83">IF(ROWS($Q$16:Q83)&gt;$P$11,"",INDEX($O$16:$O$149,SMALL(IF($O$16:$O$149&lt;&gt;"",ROW($O$16:$O$149)-ROW($Q$16)+1),ROWS(Q$16:Q83))))</f>
        <v/>
      </c>
    </row>
    <row r="84" spans="2:17" x14ac:dyDescent="0.3">
      <c r="B84" s="22" t="str">
        <f>IFERROR(IF(Program=Spec[[#This Row],[PROGRAM]],Spec[[#This Row],[INRIKTNING]],""),"")</f>
        <v/>
      </c>
      <c r="C84" s="22">
        <f>ROWS('Program och examenskrav'!F96:Spec[[#Headers],[INRIKTNING]])</f>
        <v>69</v>
      </c>
      <c r="D84" s="22" t="str">
        <f t="array" ref="D84">IF(ROWS($D$16:D84)&gt;$B$11,"",INDEX($B$16:$B$149,SMALL(IF($B$16:$B$149&lt;&gt;"",ROW($B$16:$B$149)-ROW($D$16)+1),ROWS(D$16:D84))))</f>
        <v/>
      </c>
      <c r="H84"/>
      <c r="I84"/>
      <c r="J84"/>
      <c r="K84"/>
      <c r="L84"/>
      <c r="M84"/>
      <c r="O84" s="22" t="str">
        <f>IFERROR(IF(ProgramForNewCourse=Spec[[#This Row],[PROGRAM]],Spec[[#This Row],[INRIKTNING]],""),"")</f>
        <v/>
      </c>
      <c r="P84" s="22">
        <f>ROWS('Program och examenskrav'!S96:Spec[[#Headers],[INRIKTNING]])</f>
        <v>69</v>
      </c>
      <c r="Q84" s="22" t="str">
        <f t="array" ref="Q84">IF(ROWS($Q$16:Q84)&gt;$P$11,"",INDEX($O$16:$O$149,SMALL(IF($O$16:$O$149&lt;&gt;"",ROW($O$16:$O$149)-ROW($Q$16)+1),ROWS(Q$16:Q84))))</f>
        <v/>
      </c>
    </row>
    <row r="85" spans="2:17" x14ac:dyDescent="0.3">
      <c r="B85" s="22" t="str">
        <f>IFERROR(IF(Program=Spec[[#This Row],[PROGRAM]],Spec[[#This Row],[INRIKTNING]],""),"")</f>
        <v/>
      </c>
      <c r="C85" s="22">
        <f>ROWS('Program och examenskrav'!F97:Spec[[#Headers],[INRIKTNING]])</f>
        <v>70</v>
      </c>
      <c r="D85" s="22" t="str">
        <f t="array" ref="D85">IF(ROWS($D$16:D85)&gt;$B$11,"",INDEX($B$16:$B$149,SMALL(IF($B$16:$B$149&lt;&gt;"",ROW($B$16:$B$149)-ROW($D$16)+1),ROWS(D$16:D85))))</f>
        <v/>
      </c>
      <c r="H85"/>
      <c r="I85"/>
      <c r="J85"/>
      <c r="K85"/>
      <c r="L85"/>
      <c r="M85"/>
      <c r="O85" s="22" t="str">
        <f>IFERROR(IF(ProgramForNewCourse=Spec[[#This Row],[PROGRAM]],Spec[[#This Row],[INRIKTNING]],""),"")</f>
        <v/>
      </c>
      <c r="P85" s="22">
        <f>ROWS('Program och examenskrav'!S97:Spec[[#Headers],[INRIKTNING]])</f>
        <v>70</v>
      </c>
      <c r="Q85" s="22" t="str">
        <f t="array" ref="Q85">IF(ROWS($Q$16:Q85)&gt;$P$11,"",INDEX($O$16:$O$149,SMALL(IF($O$16:$O$149&lt;&gt;"",ROW($O$16:$O$149)-ROW($Q$16)+1),ROWS(Q$16:Q85))))</f>
        <v/>
      </c>
    </row>
    <row r="86" spans="2:17" x14ac:dyDescent="0.3">
      <c r="B86" s="22" t="str">
        <f>IFERROR(IF(Program=Spec[[#This Row],[PROGRAM]],Spec[[#This Row],[INRIKTNING]],""),"")</f>
        <v/>
      </c>
      <c r="C86" s="22">
        <f>ROWS('Program och examenskrav'!F98:Spec[[#Headers],[INRIKTNING]])</f>
        <v>71</v>
      </c>
      <c r="D86" s="22" t="str">
        <f t="array" ref="D86">IF(ROWS($D$16:D86)&gt;$B$11,"",INDEX($B$16:$B$149,SMALL(IF($B$16:$B$149&lt;&gt;"",ROW($B$16:$B$149)-ROW($D$16)+1),ROWS(D$16:D86))))</f>
        <v/>
      </c>
      <c r="H86"/>
      <c r="I86"/>
      <c r="J86"/>
      <c r="K86"/>
      <c r="L86"/>
      <c r="M86"/>
      <c r="O86" s="22" t="str">
        <f>IFERROR(IF(ProgramForNewCourse=Spec[[#This Row],[PROGRAM]],Spec[[#This Row],[INRIKTNING]],""),"")</f>
        <v/>
      </c>
      <c r="P86" s="22">
        <f>ROWS('Program och examenskrav'!S98:Spec[[#Headers],[INRIKTNING]])</f>
        <v>71</v>
      </c>
      <c r="Q86" s="22" t="str">
        <f t="array" ref="Q86">IF(ROWS($Q$16:Q86)&gt;$P$11,"",INDEX($O$16:$O$149,SMALL(IF($O$16:$O$149&lt;&gt;"",ROW($O$16:$O$149)-ROW($Q$16)+1),ROWS(Q$16:Q86))))</f>
        <v/>
      </c>
    </row>
    <row r="87" spans="2:17" x14ac:dyDescent="0.3">
      <c r="B87" s="22" t="str">
        <f>IFERROR(IF(Program=Spec[[#This Row],[PROGRAM]],Spec[[#This Row],[INRIKTNING]],""),"")</f>
        <v/>
      </c>
      <c r="C87" s="22">
        <f>ROWS('Program och examenskrav'!F99:Spec[[#Headers],[INRIKTNING]])</f>
        <v>72</v>
      </c>
      <c r="D87" s="22" t="str">
        <f t="array" ref="D87">IF(ROWS($D$16:D87)&gt;$B$11,"",INDEX($B$16:$B$149,SMALL(IF($B$16:$B$149&lt;&gt;"",ROW($B$16:$B$149)-ROW($D$16)+1),ROWS(D$16:D87))))</f>
        <v/>
      </c>
      <c r="H87"/>
      <c r="I87"/>
      <c r="J87"/>
      <c r="K87"/>
      <c r="L87"/>
      <c r="M87"/>
      <c r="O87" s="22" t="str">
        <f>IFERROR(IF(ProgramForNewCourse=Spec[[#This Row],[PROGRAM]],Spec[[#This Row],[INRIKTNING]],""),"")</f>
        <v/>
      </c>
      <c r="P87" s="22">
        <f>ROWS('Program och examenskrav'!S99:Spec[[#Headers],[INRIKTNING]])</f>
        <v>72</v>
      </c>
      <c r="Q87" s="22" t="str">
        <f t="array" ref="Q87">IF(ROWS($Q$16:Q87)&gt;$P$11,"",INDEX($O$16:$O$149,SMALL(IF($O$16:$O$149&lt;&gt;"",ROW($O$16:$O$149)-ROW($Q$16)+1),ROWS(Q$16:Q87))))</f>
        <v/>
      </c>
    </row>
    <row r="88" spans="2:17" x14ac:dyDescent="0.3">
      <c r="B88" s="22" t="str">
        <f>IFERROR(IF(Program=Spec[[#This Row],[PROGRAM]],Spec[[#This Row],[INRIKTNING]],""),"")</f>
        <v/>
      </c>
      <c r="C88" s="22">
        <f>ROWS('Program och examenskrav'!F100:Spec[[#Headers],[INRIKTNING]])</f>
        <v>73</v>
      </c>
      <c r="D88" s="22" t="str">
        <f t="array" ref="D88">IF(ROWS($D$16:D88)&gt;$B$11,"",INDEX($B$16:$B$149,SMALL(IF($B$16:$B$149&lt;&gt;"",ROW($B$16:$B$149)-ROW($D$16)+1),ROWS(D$16:D88))))</f>
        <v/>
      </c>
      <c r="H88"/>
      <c r="I88"/>
      <c r="J88"/>
      <c r="K88"/>
      <c r="L88"/>
      <c r="M88"/>
      <c r="O88" s="22" t="str">
        <f>IFERROR(IF(ProgramForNewCourse=Spec[[#This Row],[PROGRAM]],Spec[[#This Row],[INRIKTNING]],""),"")</f>
        <v/>
      </c>
      <c r="P88" s="22">
        <f>ROWS('Program och examenskrav'!S100:Spec[[#Headers],[INRIKTNING]])</f>
        <v>73</v>
      </c>
      <c r="Q88" s="22" t="str">
        <f t="array" ref="Q88">IF(ROWS($Q$16:Q88)&gt;$P$11,"",INDEX($O$16:$O$149,SMALL(IF($O$16:$O$149&lt;&gt;"",ROW($O$16:$O$149)-ROW($Q$16)+1),ROWS(Q$16:Q88))))</f>
        <v/>
      </c>
    </row>
    <row r="89" spans="2:17" x14ac:dyDescent="0.3">
      <c r="B89" s="22" t="str">
        <f>IFERROR(IF(Program=Spec[[#This Row],[PROGRAM]],Spec[[#This Row],[INRIKTNING]],""),"")</f>
        <v/>
      </c>
      <c r="C89" s="22">
        <f>ROWS('Program och examenskrav'!F101:Spec[[#Headers],[INRIKTNING]])</f>
        <v>74</v>
      </c>
      <c r="D89" s="22" t="str">
        <f t="array" ref="D89">IF(ROWS($D$16:D89)&gt;$B$11,"",INDEX($B$16:$B$149,SMALL(IF($B$16:$B$149&lt;&gt;"",ROW($B$16:$B$149)-ROW($D$16)+1),ROWS(D$16:D89))))</f>
        <v/>
      </c>
      <c r="H89"/>
      <c r="I89"/>
      <c r="J89"/>
      <c r="K89"/>
      <c r="L89"/>
      <c r="O89" s="22" t="str">
        <f>IFERROR(IF(ProgramForNewCourse=Spec[[#This Row],[PROGRAM]],Spec[[#This Row],[INRIKTNING]],""),"")</f>
        <v/>
      </c>
      <c r="P89" s="22">
        <f>ROWS('Program och examenskrav'!S101:Spec[[#Headers],[INRIKTNING]])</f>
        <v>74</v>
      </c>
      <c r="Q89" s="22" t="str">
        <f t="array" ref="Q89">IF(ROWS($Q$16:Q89)&gt;$P$11,"",INDEX($O$16:$O$149,SMALL(IF($O$16:$O$149&lt;&gt;"",ROW($O$16:$O$149)-ROW($Q$16)+1),ROWS(Q$16:Q89))))</f>
        <v/>
      </c>
    </row>
    <row r="90" spans="2:17" x14ac:dyDescent="0.3">
      <c r="B90" s="22" t="str">
        <f>IFERROR(IF(Program=Spec[[#This Row],[PROGRAM]],Spec[[#This Row],[INRIKTNING]],""),"")</f>
        <v/>
      </c>
      <c r="C90" s="22">
        <f>ROWS('Program och examenskrav'!F102:Spec[[#Headers],[INRIKTNING]])</f>
        <v>75</v>
      </c>
      <c r="D90" s="22" t="str">
        <f t="array" ref="D90">IF(ROWS($D$16:D90)&gt;$B$11,"",INDEX($B$16:$B$149,SMALL(IF($B$16:$B$149&lt;&gt;"",ROW($B$16:$B$149)-ROW($D$16)+1),ROWS(D$16:D90))))</f>
        <v/>
      </c>
      <c r="H90"/>
      <c r="I90"/>
      <c r="J90"/>
      <c r="K90"/>
      <c r="L90"/>
      <c r="O90" s="22" t="str">
        <f>IFERROR(IF(ProgramForNewCourse=Spec[[#This Row],[PROGRAM]],Spec[[#This Row],[INRIKTNING]],""),"")</f>
        <v/>
      </c>
      <c r="P90" s="22">
        <f>ROWS('Program och examenskrav'!S102:Spec[[#Headers],[INRIKTNING]])</f>
        <v>75</v>
      </c>
      <c r="Q90" s="22" t="str">
        <f t="array" ref="Q90">IF(ROWS($Q$16:Q90)&gt;$P$11,"",INDEX($O$16:$O$149,SMALL(IF($O$16:$O$149&lt;&gt;"",ROW($O$16:$O$149)-ROW($Q$16)+1),ROWS(Q$16:Q90))))</f>
        <v/>
      </c>
    </row>
    <row r="91" spans="2:17" x14ac:dyDescent="0.3">
      <c r="B91" s="22" t="str">
        <f>IFERROR(IF(Program=Spec[[#This Row],[PROGRAM]],Spec[[#This Row],[INRIKTNING]],""),"")</f>
        <v/>
      </c>
      <c r="C91" s="22">
        <f>ROWS('Program och examenskrav'!F103:Spec[[#Headers],[INRIKTNING]])</f>
        <v>76</v>
      </c>
      <c r="D91" s="22" t="str">
        <f t="array" ref="D91">IF(ROWS($D$16:D91)&gt;$B$11,"",INDEX($B$16:$B$149,SMALL(IF($B$16:$B$149&lt;&gt;"",ROW($B$16:$B$149)-ROW($D$16)+1),ROWS(D$16:D91))))</f>
        <v/>
      </c>
      <c r="H91"/>
      <c r="I91"/>
      <c r="J91"/>
      <c r="K91"/>
      <c r="L91"/>
      <c r="O91" s="22" t="str">
        <f>IFERROR(IF(ProgramForNewCourse=Spec[[#This Row],[PROGRAM]],Spec[[#This Row],[INRIKTNING]],""),"")</f>
        <v/>
      </c>
      <c r="P91" s="22">
        <f>ROWS('Program och examenskrav'!S103:Spec[[#Headers],[INRIKTNING]])</f>
        <v>76</v>
      </c>
      <c r="Q91" s="22" t="str">
        <f t="array" ref="Q91">IF(ROWS($Q$16:Q91)&gt;$P$11,"",INDEX($O$16:$O$149,SMALL(IF($O$16:$O$149&lt;&gt;"",ROW($O$16:$O$149)-ROW($Q$16)+1),ROWS(Q$16:Q91))))</f>
        <v/>
      </c>
    </row>
    <row r="92" spans="2:17" x14ac:dyDescent="0.3">
      <c r="B92" s="22" t="str">
        <f>IFERROR(IF(Program=Spec[[#This Row],[PROGRAM]],Spec[[#This Row],[INRIKTNING]],""),"")</f>
        <v/>
      </c>
      <c r="C92" s="22">
        <f>ROWS('Program och examenskrav'!F104:Spec[[#Headers],[INRIKTNING]])</f>
        <v>77</v>
      </c>
      <c r="D92" s="22" t="str">
        <f t="array" ref="D92">IF(ROWS($D$16:D92)&gt;$B$11,"",INDEX($B$16:$B$149,SMALL(IF($B$16:$B$149&lt;&gt;"",ROW($B$16:$B$149)-ROW($D$16)+1),ROWS(D$16:D92))))</f>
        <v/>
      </c>
      <c r="H92"/>
      <c r="I92"/>
      <c r="J92"/>
      <c r="K92"/>
      <c r="L92"/>
      <c r="O92" s="22" t="str">
        <f>IFERROR(IF(ProgramForNewCourse=Spec[[#This Row],[PROGRAM]],Spec[[#This Row],[INRIKTNING]],""),"")</f>
        <v/>
      </c>
      <c r="P92" s="22">
        <f>ROWS('Program och examenskrav'!S104:Spec[[#Headers],[INRIKTNING]])</f>
        <v>77</v>
      </c>
      <c r="Q92" s="22" t="str">
        <f t="array" ref="Q92">IF(ROWS($Q$16:Q92)&gt;$P$11,"",INDEX($O$16:$O$149,SMALL(IF($O$16:$O$149&lt;&gt;"",ROW($O$16:$O$149)-ROW($Q$16)+1),ROWS(Q$16:Q92))))</f>
        <v/>
      </c>
    </row>
    <row r="93" spans="2:17" x14ac:dyDescent="0.3">
      <c r="B93" s="22" t="str">
        <f>IFERROR(IF(Program=Spec[[#This Row],[PROGRAM]],Spec[[#This Row],[INRIKTNING]],""),"")</f>
        <v/>
      </c>
      <c r="C93" s="22">
        <f>ROWS('Program och examenskrav'!F105:Spec[[#Headers],[INRIKTNING]])</f>
        <v>78</v>
      </c>
      <c r="D93" s="22" t="str">
        <f t="array" ref="D93">IF(ROWS($D$16:D93)&gt;$B$11,"",INDEX($B$16:$B$149,SMALL(IF($B$16:$B$149&lt;&gt;"",ROW($B$16:$B$149)-ROW($D$16)+1),ROWS(D$16:D93))))</f>
        <v/>
      </c>
      <c r="H93"/>
      <c r="I93"/>
      <c r="J93"/>
      <c r="K93"/>
      <c r="L93"/>
      <c r="O93" s="22" t="str">
        <f>IFERROR(IF(ProgramForNewCourse=Spec[[#This Row],[PROGRAM]],Spec[[#This Row],[INRIKTNING]],""),"")</f>
        <v/>
      </c>
      <c r="P93" s="22">
        <f>ROWS('Program och examenskrav'!S105:Spec[[#Headers],[INRIKTNING]])</f>
        <v>78</v>
      </c>
      <c r="Q93" s="22" t="str">
        <f t="array" ref="Q93">IF(ROWS($Q$16:Q93)&gt;$P$11,"",INDEX($O$16:$O$149,SMALL(IF($O$16:$O$149&lt;&gt;"",ROW($O$16:$O$149)-ROW($Q$16)+1),ROWS(Q$16:Q93))))</f>
        <v/>
      </c>
    </row>
    <row r="94" spans="2:17" x14ac:dyDescent="0.3">
      <c r="B94" s="22" t="str">
        <f>IFERROR(IF(Program=Spec[[#This Row],[PROGRAM]],Spec[[#This Row],[INRIKTNING]],""),"")</f>
        <v/>
      </c>
      <c r="C94" s="22">
        <f>ROWS('Program och examenskrav'!F106:Spec[[#Headers],[INRIKTNING]])</f>
        <v>79</v>
      </c>
      <c r="D94" s="22" t="str">
        <f t="array" ref="D94">IF(ROWS($D$16:D94)&gt;$B$11,"",INDEX($B$16:$B$149,SMALL(IF($B$16:$B$149&lt;&gt;"",ROW($B$16:$B$149)-ROW($D$16)+1),ROWS(D$16:D94))))</f>
        <v/>
      </c>
      <c r="H94"/>
      <c r="I94"/>
      <c r="J94"/>
      <c r="K94"/>
      <c r="L94"/>
      <c r="O94" s="22" t="str">
        <f>IFERROR(IF(ProgramForNewCourse=Spec[[#This Row],[PROGRAM]],Spec[[#This Row],[INRIKTNING]],""),"")</f>
        <v/>
      </c>
      <c r="P94" s="22">
        <f>ROWS('Program och examenskrav'!S106:Spec[[#Headers],[INRIKTNING]])</f>
        <v>79</v>
      </c>
      <c r="Q94" s="22" t="str">
        <f t="array" ref="Q94">IF(ROWS($Q$16:Q94)&gt;$P$11,"",INDEX($O$16:$O$149,SMALL(IF($O$16:$O$149&lt;&gt;"",ROW($O$16:$O$149)-ROW($Q$16)+1),ROWS(Q$16:Q94))))</f>
        <v/>
      </c>
    </row>
    <row r="95" spans="2:17" x14ac:dyDescent="0.3">
      <c r="B95" s="22" t="str">
        <f>IFERROR(IF(Program=Spec[[#This Row],[PROGRAM]],Spec[[#This Row],[INRIKTNING]],""),"")</f>
        <v/>
      </c>
      <c r="C95" s="22">
        <f>ROWS('Program och examenskrav'!F107:Spec[[#Headers],[INRIKTNING]])</f>
        <v>80</v>
      </c>
      <c r="D95" s="22" t="str">
        <f t="array" ref="D95">IF(ROWS($D$16:D95)&gt;$B$11,"",INDEX($B$16:$B$149,SMALL(IF($B$16:$B$149&lt;&gt;"",ROW($B$16:$B$149)-ROW($D$16)+1),ROWS(D$16:D95))))</f>
        <v/>
      </c>
      <c r="H95"/>
      <c r="I95"/>
      <c r="J95"/>
      <c r="K95"/>
      <c r="L95"/>
      <c r="O95" s="22" t="str">
        <f>IFERROR(IF(ProgramForNewCourse=Spec[[#This Row],[PROGRAM]],Spec[[#This Row],[INRIKTNING]],""),"")</f>
        <v/>
      </c>
      <c r="P95" s="22">
        <f>ROWS('Program och examenskrav'!S107:Spec[[#Headers],[INRIKTNING]])</f>
        <v>80</v>
      </c>
      <c r="Q95" s="22" t="str">
        <f t="array" ref="Q95">IF(ROWS($Q$16:Q95)&gt;$P$11,"",INDEX($O$16:$O$149,SMALL(IF($O$16:$O$149&lt;&gt;"",ROW($O$16:$O$149)-ROW($Q$16)+1),ROWS(Q$16:Q95))))</f>
        <v/>
      </c>
    </row>
    <row r="96" spans="2:17" x14ac:dyDescent="0.3">
      <c r="B96" s="22" t="str">
        <f>IFERROR(IF(Program=Spec[[#This Row],[PROGRAM]],Spec[[#This Row],[INRIKTNING]],""),"")</f>
        <v/>
      </c>
      <c r="C96" s="22">
        <f>ROWS('Program och examenskrav'!F108:Spec[[#Headers],[INRIKTNING]])</f>
        <v>81</v>
      </c>
      <c r="D96" s="22" t="str">
        <f t="array" ref="D96">IF(ROWS($D$16:D96)&gt;$B$11,"",INDEX($B$16:$B$149,SMALL(IF($B$16:$B$149&lt;&gt;"",ROW($B$16:$B$149)-ROW($D$16)+1),ROWS(D$16:D96))))</f>
        <v/>
      </c>
      <c r="H96"/>
      <c r="I96"/>
      <c r="J96"/>
      <c r="K96"/>
      <c r="L96"/>
      <c r="O96" s="22" t="str">
        <f>IFERROR(IF(ProgramForNewCourse=Spec[[#This Row],[PROGRAM]],Spec[[#This Row],[INRIKTNING]],""),"")</f>
        <v/>
      </c>
      <c r="P96" s="22">
        <f>ROWS('Program och examenskrav'!S108:Spec[[#Headers],[INRIKTNING]])</f>
        <v>81</v>
      </c>
      <c r="Q96" s="22" t="str">
        <f t="array" ref="Q96">IF(ROWS($Q$16:Q96)&gt;$P$11,"",INDEX($O$16:$O$149,SMALL(IF($O$16:$O$149&lt;&gt;"",ROW($O$16:$O$149)-ROW($Q$16)+1),ROWS(Q$16:Q96))))</f>
        <v/>
      </c>
    </row>
    <row r="97" spans="2:17" x14ac:dyDescent="0.3">
      <c r="B97" s="22" t="str">
        <f>IFERROR(IF(Program=Spec[[#This Row],[PROGRAM]],Spec[[#This Row],[INRIKTNING]],""),"")</f>
        <v/>
      </c>
      <c r="C97" s="22">
        <f>ROWS('Program och examenskrav'!F109:Spec[[#Headers],[INRIKTNING]])</f>
        <v>82</v>
      </c>
      <c r="D97" s="22" t="str">
        <f t="array" ref="D97">IF(ROWS($D$16:D97)&gt;$B$11,"",INDEX($B$16:$B$149,SMALL(IF($B$16:$B$149&lt;&gt;"",ROW($B$16:$B$149)-ROW($D$16)+1),ROWS(D$16:D97))))</f>
        <v/>
      </c>
      <c r="H97"/>
      <c r="I97"/>
      <c r="J97"/>
      <c r="K97"/>
      <c r="L97"/>
      <c r="O97" s="22" t="str">
        <f>IFERROR(IF(ProgramForNewCourse=Spec[[#This Row],[PROGRAM]],Spec[[#This Row],[INRIKTNING]],""),"")</f>
        <v/>
      </c>
      <c r="P97" s="22">
        <f>ROWS('Program och examenskrav'!S109:Spec[[#Headers],[INRIKTNING]])</f>
        <v>82</v>
      </c>
      <c r="Q97" s="22" t="str">
        <f t="array" ref="Q97">IF(ROWS($Q$16:Q97)&gt;$P$11,"",INDEX($O$16:$O$149,SMALL(IF($O$16:$O$149&lt;&gt;"",ROW($O$16:$O$149)-ROW($Q$16)+1),ROWS(Q$16:Q97))))</f>
        <v/>
      </c>
    </row>
    <row r="98" spans="2:17" x14ac:dyDescent="0.3">
      <c r="B98" s="22" t="str">
        <f>IFERROR(IF(Program=Spec[[#This Row],[PROGRAM]],Spec[[#This Row],[INRIKTNING]],""),"")</f>
        <v/>
      </c>
      <c r="C98" s="22">
        <f>ROWS('Program och examenskrav'!F110:Spec[[#Headers],[INRIKTNING]])</f>
        <v>83</v>
      </c>
      <c r="D98" s="22" t="str">
        <f t="array" ref="D98">IF(ROWS($D$16:D98)&gt;$B$11,"",INDEX($B$16:$B$149,SMALL(IF($B$16:$B$149&lt;&gt;"",ROW($B$16:$B$149)-ROW($D$16)+1),ROWS(D$16:D98))))</f>
        <v/>
      </c>
      <c r="H98"/>
      <c r="I98"/>
      <c r="J98"/>
      <c r="K98"/>
      <c r="L98"/>
      <c r="O98" s="22" t="str">
        <f>IFERROR(IF(ProgramForNewCourse=Spec[[#This Row],[PROGRAM]],Spec[[#This Row],[INRIKTNING]],""),"")</f>
        <v/>
      </c>
      <c r="P98" s="22">
        <f>ROWS('Program och examenskrav'!S110:Spec[[#Headers],[INRIKTNING]])</f>
        <v>83</v>
      </c>
      <c r="Q98" s="22" t="str">
        <f t="array" ref="Q98">IF(ROWS($Q$16:Q98)&gt;$P$11,"",INDEX($O$16:$O$149,SMALL(IF($O$16:$O$149&lt;&gt;"",ROW($O$16:$O$149)-ROW($Q$16)+1),ROWS(Q$16:Q98))))</f>
        <v/>
      </c>
    </row>
    <row r="99" spans="2:17" x14ac:dyDescent="0.3">
      <c r="B99" s="22" t="str">
        <f>IFERROR(IF(Program=Spec[[#This Row],[PROGRAM]],Spec[[#This Row],[INRIKTNING]],""),"")</f>
        <v/>
      </c>
      <c r="C99" s="22">
        <f>ROWS('Program och examenskrav'!F111:Spec[[#Headers],[INRIKTNING]])</f>
        <v>84</v>
      </c>
      <c r="D99" s="22" t="str">
        <f t="array" ref="D99">IF(ROWS($D$16:D99)&gt;$B$11,"",INDEX($B$16:$B$149,SMALL(IF($B$16:$B$149&lt;&gt;"",ROW($B$16:$B$149)-ROW($D$16)+1),ROWS(D$16:D99))))</f>
        <v/>
      </c>
      <c r="H99"/>
      <c r="I99"/>
      <c r="J99"/>
      <c r="K99"/>
      <c r="L99"/>
      <c r="O99" s="22" t="str">
        <f>IFERROR(IF(ProgramForNewCourse=Spec[[#This Row],[PROGRAM]],Spec[[#This Row],[INRIKTNING]],""),"")</f>
        <v/>
      </c>
      <c r="P99" s="22">
        <f>ROWS('Program och examenskrav'!S111:Spec[[#Headers],[INRIKTNING]])</f>
        <v>84</v>
      </c>
      <c r="Q99" s="22" t="str">
        <f t="array" ref="Q99">IF(ROWS($Q$16:Q99)&gt;$P$11,"",INDEX($O$16:$O$149,SMALL(IF($O$16:$O$149&lt;&gt;"",ROW($O$16:$O$149)-ROW($Q$16)+1),ROWS(Q$16:Q99))))</f>
        <v/>
      </c>
    </row>
    <row r="100" spans="2:17" x14ac:dyDescent="0.3">
      <c r="B100" s="22" t="str">
        <f>IFERROR(IF(Program=Spec[[#This Row],[PROGRAM]],Spec[[#This Row],[INRIKTNING]],""),"")</f>
        <v/>
      </c>
      <c r="C100" s="22">
        <f>ROWS('Program och examenskrav'!F112:Spec[[#Headers],[INRIKTNING]])</f>
        <v>85</v>
      </c>
      <c r="D100" s="22" t="str">
        <f t="array" ref="D100">IF(ROWS($D$16:D100)&gt;$B$11,"",INDEX($B$16:$B$149,SMALL(IF($B$16:$B$149&lt;&gt;"",ROW($B$16:$B$149)-ROW($D$16)+1),ROWS(D$16:D100))))</f>
        <v/>
      </c>
      <c r="H100"/>
      <c r="I100"/>
      <c r="J100"/>
      <c r="K100"/>
      <c r="L100"/>
      <c r="O100" s="22" t="str">
        <f>IFERROR(IF(ProgramForNewCourse=Spec[[#This Row],[PROGRAM]],Spec[[#This Row],[INRIKTNING]],""),"")</f>
        <v/>
      </c>
      <c r="P100" s="22">
        <f>ROWS('Program och examenskrav'!S112:Spec[[#Headers],[INRIKTNING]])</f>
        <v>85</v>
      </c>
      <c r="Q100" s="22" t="str">
        <f t="array" ref="Q100">IF(ROWS($Q$16:Q100)&gt;$P$11,"",INDEX($O$16:$O$149,SMALL(IF($O$16:$O$149&lt;&gt;"",ROW($O$16:$O$149)-ROW($Q$16)+1),ROWS(Q$16:Q100))))</f>
        <v/>
      </c>
    </row>
    <row r="101" spans="2:17" x14ac:dyDescent="0.3">
      <c r="B101" s="22" t="str">
        <f>IFERROR(IF(Program=Spec[[#This Row],[PROGRAM]],Spec[[#This Row],[INRIKTNING]],""),"")</f>
        <v/>
      </c>
      <c r="C101" s="22">
        <f>ROWS('Program och examenskrav'!F113:Spec[[#Headers],[INRIKTNING]])</f>
        <v>86</v>
      </c>
      <c r="D101" s="22" t="str">
        <f t="array" ref="D101">IF(ROWS($D$16:D101)&gt;$B$11,"",INDEX($B$16:$B$149,SMALL(IF($B$16:$B$149&lt;&gt;"",ROW($B$16:$B$149)-ROW($D$16)+1),ROWS(D$16:D101))))</f>
        <v/>
      </c>
      <c r="H101"/>
      <c r="I101"/>
      <c r="J101"/>
      <c r="K101"/>
      <c r="L101"/>
      <c r="O101" s="22" t="str">
        <f>IFERROR(IF(ProgramForNewCourse=Spec[[#This Row],[PROGRAM]],Spec[[#This Row],[INRIKTNING]],""),"")</f>
        <v/>
      </c>
      <c r="P101" s="22">
        <f>ROWS('Program och examenskrav'!S113:Spec[[#Headers],[INRIKTNING]])</f>
        <v>86</v>
      </c>
      <c r="Q101" s="22" t="str">
        <f t="array" ref="Q101">IF(ROWS($Q$16:Q101)&gt;$P$11,"",INDEX($O$16:$O$149,SMALL(IF($O$16:$O$149&lt;&gt;"",ROW($O$16:$O$149)-ROW($Q$16)+1),ROWS(Q$16:Q101))))</f>
        <v/>
      </c>
    </row>
    <row r="102" spans="2:17" x14ac:dyDescent="0.3">
      <c r="B102" s="22" t="str">
        <f>IFERROR(IF(Program=Spec[[#This Row],[PROGRAM]],Spec[[#This Row],[INRIKTNING]],""),"")</f>
        <v/>
      </c>
      <c r="C102" s="22">
        <f>ROWS('Program och examenskrav'!F114:Spec[[#Headers],[INRIKTNING]])</f>
        <v>87</v>
      </c>
      <c r="D102" s="22" t="str">
        <f t="array" ref="D102">IF(ROWS($D$16:D102)&gt;$B$11,"",INDEX($B$16:$B$149,SMALL(IF($B$16:$B$149&lt;&gt;"",ROW($B$16:$B$149)-ROW($D$16)+1),ROWS(D$16:D102))))</f>
        <v/>
      </c>
      <c r="H102"/>
      <c r="I102"/>
      <c r="J102"/>
      <c r="K102"/>
      <c r="L102"/>
      <c r="O102" s="22" t="str">
        <f>IFERROR(IF(ProgramForNewCourse=Spec[[#This Row],[PROGRAM]],Spec[[#This Row],[INRIKTNING]],""),"")</f>
        <v/>
      </c>
      <c r="P102" s="22">
        <f>ROWS('Program och examenskrav'!S114:Spec[[#Headers],[INRIKTNING]])</f>
        <v>87</v>
      </c>
      <c r="Q102" s="22" t="str">
        <f t="array" ref="Q102">IF(ROWS($Q$16:Q102)&gt;$P$11,"",INDEX($O$16:$O$149,SMALL(IF($O$16:$O$149&lt;&gt;"",ROW($O$16:$O$149)-ROW($Q$16)+1),ROWS(Q$16:Q102))))</f>
        <v/>
      </c>
    </row>
    <row r="103" spans="2:17" x14ac:dyDescent="0.3">
      <c r="B103" s="22" t="str">
        <f>IFERROR(IF(Program=Spec[[#This Row],[PROGRAM]],Spec[[#This Row],[INRIKTNING]],""),"")</f>
        <v/>
      </c>
      <c r="C103" s="22">
        <f>ROWS('Program och examenskrav'!F115:Spec[[#Headers],[INRIKTNING]])</f>
        <v>88</v>
      </c>
      <c r="D103" s="22" t="str">
        <f t="array" ref="D103">IF(ROWS($D$16:D103)&gt;$B$11,"",INDEX($B$16:$B$149,SMALL(IF($B$16:$B$149&lt;&gt;"",ROW($B$16:$B$149)-ROW($D$16)+1),ROWS(D$16:D103))))</f>
        <v/>
      </c>
      <c r="H103"/>
      <c r="I103"/>
      <c r="J103"/>
      <c r="K103"/>
      <c r="L103"/>
      <c r="O103" s="22" t="str">
        <f>IFERROR(IF(ProgramForNewCourse=Spec[[#This Row],[PROGRAM]],Spec[[#This Row],[INRIKTNING]],""),"")</f>
        <v/>
      </c>
      <c r="P103" s="22">
        <f>ROWS('Program och examenskrav'!S115:Spec[[#Headers],[INRIKTNING]])</f>
        <v>88</v>
      </c>
      <c r="Q103" s="22" t="str">
        <f t="array" ref="Q103">IF(ROWS($Q$16:Q103)&gt;$P$11,"",INDEX($O$16:$O$149,SMALL(IF($O$16:$O$149&lt;&gt;"",ROW($O$16:$O$149)-ROW($Q$16)+1),ROWS(Q$16:Q103))))</f>
        <v/>
      </c>
    </row>
    <row r="104" spans="2:17" x14ac:dyDescent="0.3">
      <c r="B104" s="22" t="str">
        <f>IFERROR(IF(Program=Spec[[#This Row],[PROGRAM]],Spec[[#This Row],[INRIKTNING]],""),"")</f>
        <v/>
      </c>
      <c r="C104" s="22">
        <f>ROWS('Program och examenskrav'!F116:Spec[[#Headers],[INRIKTNING]])</f>
        <v>89</v>
      </c>
      <c r="D104" s="22" t="str">
        <f t="array" ref="D104">IF(ROWS($D$16:D104)&gt;$B$11,"",INDEX($B$16:$B$149,SMALL(IF($B$16:$B$149&lt;&gt;"",ROW($B$16:$B$149)-ROW($D$16)+1),ROWS(D$16:D104))))</f>
        <v/>
      </c>
      <c r="H104"/>
      <c r="I104"/>
      <c r="J104"/>
      <c r="K104"/>
      <c r="L104"/>
      <c r="O104" s="22" t="str">
        <f>IFERROR(IF(ProgramForNewCourse=Spec[[#This Row],[PROGRAM]],Spec[[#This Row],[INRIKTNING]],""),"")</f>
        <v/>
      </c>
      <c r="P104" s="22">
        <f>ROWS('Program och examenskrav'!S116:Spec[[#Headers],[INRIKTNING]])</f>
        <v>89</v>
      </c>
      <c r="Q104" s="22" t="str">
        <f t="array" ref="Q104">IF(ROWS($Q$16:Q104)&gt;$P$11,"",INDEX($O$16:$O$149,SMALL(IF($O$16:$O$149&lt;&gt;"",ROW($O$16:$O$149)-ROW($Q$16)+1),ROWS(Q$16:Q104))))</f>
        <v/>
      </c>
    </row>
    <row r="105" spans="2:17" x14ac:dyDescent="0.3">
      <c r="B105" s="22" t="str">
        <f>IFERROR(IF(Program=Spec[[#This Row],[PROGRAM]],Spec[[#This Row],[INRIKTNING]],""),"")</f>
        <v/>
      </c>
      <c r="C105" s="22">
        <f>ROWS('Program och examenskrav'!F117:Spec[[#Headers],[INRIKTNING]])</f>
        <v>90</v>
      </c>
      <c r="D105" s="22" t="str">
        <f t="array" ref="D105">IF(ROWS($D$16:D105)&gt;$B$11,"",INDEX($B$16:$B$149,SMALL(IF($B$16:$B$149&lt;&gt;"",ROW($B$16:$B$149)-ROW($D$16)+1),ROWS(D$16:D105))))</f>
        <v/>
      </c>
      <c r="H105"/>
      <c r="I105"/>
      <c r="J105"/>
      <c r="K105"/>
      <c r="L105"/>
      <c r="O105" s="22" t="str">
        <f>IFERROR(IF(ProgramForNewCourse=Spec[[#This Row],[PROGRAM]],Spec[[#This Row],[INRIKTNING]],""),"")</f>
        <v/>
      </c>
      <c r="P105" s="22">
        <f>ROWS('Program och examenskrav'!S117:Spec[[#Headers],[INRIKTNING]])</f>
        <v>90</v>
      </c>
      <c r="Q105" s="22" t="str">
        <f t="array" ref="Q105">IF(ROWS($Q$16:Q105)&gt;$P$11,"",INDEX($O$16:$O$149,SMALL(IF($O$16:$O$149&lt;&gt;"",ROW($O$16:$O$149)-ROW($Q$16)+1),ROWS(Q$16:Q105))))</f>
        <v/>
      </c>
    </row>
    <row r="106" spans="2:17" x14ac:dyDescent="0.3">
      <c r="B106" s="22" t="str">
        <f>IFERROR(IF(Program=Spec[[#This Row],[PROGRAM]],Spec[[#This Row],[INRIKTNING]],""),"")</f>
        <v/>
      </c>
      <c r="C106" s="22">
        <f>ROWS('Program och examenskrav'!F118:Spec[[#Headers],[INRIKTNING]])</f>
        <v>91</v>
      </c>
      <c r="D106" s="22" t="str">
        <f t="array" ref="D106">IF(ROWS($D$16:D106)&gt;$B$11,"",INDEX($B$16:$B$149,SMALL(IF($B$16:$B$149&lt;&gt;"",ROW($B$16:$B$149)-ROW($D$16)+1),ROWS(D$16:D106))))</f>
        <v/>
      </c>
      <c r="H106"/>
      <c r="I106"/>
      <c r="J106"/>
      <c r="K106"/>
      <c r="L106"/>
      <c r="O106" s="22" t="str">
        <f>IFERROR(IF(ProgramForNewCourse=Spec[[#This Row],[PROGRAM]],Spec[[#This Row],[INRIKTNING]],""),"")</f>
        <v/>
      </c>
      <c r="P106" s="22">
        <f>ROWS('Program och examenskrav'!S118:Spec[[#Headers],[INRIKTNING]])</f>
        <v>91</v>
      </c>
      <c r="Q106" s="22" t="str">
        <f t="array" ref="Q106">IF(ROWS($Q$16:Q106)&gt;$P$11,"",INDEX($O$16:$O$149,SMALL(IF($O$16:$O$149&lt;&gt;"",ROW($O$16:$O$149)-ROW($Q$16)+1),ROWS(Q$16:Q106))))</f>
        <v/>
      </c>
    </row>
    <row r="107" spans="2:17" x14ac:dyDescent="0.3">
      <c r="B107" s="22" t="str">
        <f>IFERROR(IF(Program=Spec[[#This Row],[PROGRAM]],Spec[[#This Row],[INRIKTNING]],""),"")</f>
        <v/>
      </c>
      <c r="C107" s="22">
        <f>ROWS('Program och examenskrav'!F119:Spec[[#Headers],[INRIKTNING]])</f>
        <v>92</v>
      </c>
      <c r="D107" s="22" t="str">
        <f t="array" ref="D107">IF(ROWS($D$16:D107)&gt;$B$11,"",INDEX($B$16:$B$149,SMALL(IF($B$16:$B$149&lt;&gt;"",ROW($B$16:$B$149)-ROW($D$16)+1),ROWS(D$16:D107))))</f>
        <v/>
      </c>
      <c r="H107"/>
      <c r="I107"/>
      <c r="J107"/>
      <c r="K107"/>
      <c r="L107"/>
      <c r="O107" s="22" t="str">
        <f>IFERROR(IF(ProgramForNewCourse=Spec[[#This Row],[PROGRAM]],Spec[[#This Row],[INRIKTNING]],""),"")</f>
        <v/>
      </c>
      <c r="P107" s="22">
        <f>ROWS('Program och examenskrav'!S119:Spec[[#Headers],[INRIKTNING]])</f>
        <v>92</v>
      </c>
      <c r="Q107" s="22" t="str">
        <f t="array" ref="Q107">IF(ROWS($Q$16:Q107)&gt;$P$11,"",INDEX($O$16:$O$149,SMALL(IF($O$16:$O$149&lt;&gt;"",ROW($O$16:$O$149)-ROW($Q$16)+1),ROWS(Q$16:Q107))))</f>
        <v/>
      </c>
    </row>
    <row r="108" spans="2:17" x14ac:dyDescent="0.3">
      <c r="B108" s="22" t="str">
        <f>IFERROR(IF(Program=Spec[[#This Row],[PROGRAM]],Spec[[#This Row],[INRIKTNING]],""),"")</f>
        <v/>
      </c>
      <c r="C108" s="22">
        <f>ROWS('Program och examenskrav'!F120:Spec[[#Headers],[INRIKTNING]])</f>
        <v>93</v>
      </c>
      <c r="D108" s="22" t="str">
        <f t="array" ref="D108">IF(ROWS($D$16:D108)&gt;$B$11,"",INDEX($B$16:$B$149,SMALL(IF($B$16:$B$149&lt;&gt;"",ROW($B$16:$B$149)-ROW($D$16)+1),ROWS(D$16:D108))))</f>
        <v/>
      </c>
      <c r="H108"/>
      <c r="I108"/>
      <c r="J108"/>
      <c r="K108"/>
      <c r="L108"/>
      <c r="O108" s="22" t="str">
        <f>IFERROR(IF(ProgramForNewCourse=Spec[[#This Row],[PROGRAM]],Spec[[#This Row],[INRIKTNING]],""),"")</f>
        <v/>
      </c>
      <c r="P108" s="22">
        <f>ROWS('Program och examenskrav'!S120:Spec[[#Headers],[INRIKTNING]])</f>
        <v>93</v>
      </c>
      <c r="Q108" s="22" t="str">
        <f t="array" ref="Q108">IF(ROWS($Q$16:Q108)&gt;$P$11,"",INDEX($O$16:$O$149,SMALL(IF($O$16:$O$149&lt;&gt;"",ROW($O$16:$O$149)-ROW($Q$16)+1),ROWS(Q$16:Q108))))</f>
        <v/>
      </c>
    </row>
    <row r="109" spans="2:17" x14ac:dyDescent="0.3">
      <c r="B109" s="22" t="str">
        <f>IFERROR(IF(Program=Spec[[#This Row],[PROGRAM]],Spec[[#This Row],[INRIKTNING]],""),"")</f>
        <v/>
      </c>
      <c r="C109" s="22">
        <f>ROWS('Program och examenskrav'!F121:Spec[[#Headers],[INRIKTNING]])</f>
        <v>94</v>
      </c>
      <c r="D109" s="22" t="str">
        <f t="array" ref="D109">IF(ROWS($D$16:D109)&gt;$B$11,"",INDEX($B$16:$B$149,SMALL(IF($B$16:$B$149&lt;&gt;"",ROW($B$16:$B$149)-ROW($D$16)+1),ROWS(D$16:D109))))</f>
        <v/>
      </c>
      <c r="H109"/>
      <c r="I109"/>
      <c r="J109"/>
      <c r="K109"/>
      <c r="L109"/>
      <c r="O109" s="22" t="str">
        <f>IFERROR(IF(ProgramForNewCourse=Spec[[#This Row],[PROGRAM]],Spec[[#This Row],[INRIKTNING]],""),"")</f>
        <v/>
      </c>
      <c r="P109" s="22">
        <f>ROWS('Program och examenskrav'!S121:Spec[[#Headers],[INRIKTNING]])</f>
        <v>94</v>
      </c>
      <c r="Q109" s="22" t="str">
        <f t="array" ref="Q109">IF(ROWS($Q$16:Q109)&gt;$P$11,"",INDEX($O$16:$O$149,SMALL(IF($O$16:$O$149&lt;&gt;"",ROW($O$16:$O$149)-ROW($Q$16)+1),ROWS(Q$16:Q109))))</f>
        <v/>
      </c>
    </row>
    <row r="110" spans="2:17" x14ac:dyDescent="0.3">
      <c r="B110" s="22" t="str">
        <f>IFERROR(IF(Program=Spec[[#This Row],[PROGRAM]],Spec[[#This Row],[INRIKTNING]],""),"")</f>
        <v/>
      </c>
      <c r="C110" s="22">
        <f>ROWS('Program och examenskrav'!F122:Spec[[#Headers],[INRIKTNING]])</f>
        <v>95</v>
      </c>
      <c r="D110" s="22" t="str">
        <f t="array" ref="D110">IF(ROWS($D$16:D110)&gt;$B$11,"",INDEX($B$16:$B$149,SMALL(IF($B$16:$B$149&lt;&gt;"",ROW($B$16:$B$149)-ROW($D$16)+1),ROWS(D$16:D110))))</f>
        <v/>
      </c>
      <c r="H110"/>
      <c r="I110"/>
      <c r="J110"/>
      <c r="K110"/>
      <c r="L110"/>
      <c r="O110" s="22" t="str">
        <f>IFERROR(IF(ProgramForNewCourse=Spec[[#This Row],[PROGRAM]],Spec[[#This Row],[INRIKTNING]],""),"")</f>
        <v/>
      </c>
      <c r="P110" s="22">
        <f>ROWS('Program och examenskrav'!S122:Spec[[#Headers],[INRIKTNING]])</f>
        <v>95</v>
      </c>
      <c r="Q110" s="22" t="str">
        <f t="array" ref="Q110">IF(ROWS($Q$16:Q110)&gt;$P$11,"",INDEX($O$16:$O$149,SMALL(IF($O$16:$O$149&lt;&gt;"",ROW($O$16:$O$149)-ROW($Q$16)+1),ROWS(Q$16:Q110))))</f>
        <v/>
      </c>
    </row>
    <row r="111" spans="2:17" x14ac:dyDescent="0.3">
      <c r="B111" s="22" t="str">
        <f>IFERROR(IF(Program=Spec[[#This Row],[PROGRAM]],Spec[[#This Row],[INRIKTNING]],""),"")</f>
        <v/>
      </c>
      <c r="C111" s="22">
        <f>ROWS('Program och examenskrav'!F123:Spec[[#Headers],[INRIKTNING]])</f>
        <v>96</v>
      </c>
      <c r="D111" s="22" t="str">
        <f t="array" ref="D111">IF(ROWS($D$16:D111)&gt;$B$11,"",INDEX($B$16:$B$149,SMALL(IF($B$16:$B$149&lt;&gt;"",ROW($B$16:$B$149)-ROW($D$16)+1),ROWS(D$16:D111))))</f>
        <v/>
      </c>
      <c r="H111"/>
      <c r="I111"/>
      <c r="J111"/>
      <c r="K111"/>
      <c r="L111"/>
      <c r="O111" s="22" t="str">
        <f>IFERROR(IF(ProgramForNewCourse=Spec[[#This Row],[PROGRAM]],Spec[[#This Row],[INRIKTNING]],""),"")</f>
        <v/>
      </c>
      <c r="P111" s="22">
        <f>ROWS('Program och examenskrav'!S123:Spec[[#Headers],[INRIKTNING]])</f>
        <v>96</v>
      </c>
      <c r="Q111" s="22" t="str">
        <f t="array" ref="Q111">IF(ROWS($Q$16:Q111)&gt;$P$11,"",INDEX($O$16:$O$149,SMALL(IF($O$16:$O$149&lt;&gt;"",ROW($O$16:$O$149)-ROW($Q$16)+1),ROWS(Q$16:Q111))))</f>
        <v/>
      </c>
    </row>
    <row r="112" spans="2:17" x14ac:dyDescent="0.3">
      <c r="B112" s="22" t="str">
        <f>IFERROR(IF(Program=Spec[[#This Row],[PROGRAM]],Spec[[#This Row],[INRIKTNING]],""),"")</f>
        <v/>
      </c>
      <c r="C112" s="22">
        <f>ROWS('Program och examenskrav'!F124:Spec[[#Headers],[INRIKTNING]])</f>
        <v>97</v>
      </c>
      <c r="D112" s="22" t="str">
        <f t="array" ref="D112">IF(ROWS($D$16:D112)&gt;$B$11,"",INDEX($B$16:$B$149,SMALL(IF($B$16:$B$149&lt;&gt;"",ROW($B$16:$B$149)-ROW($D$16)+1),ROWS(D$16:D112))))</f>
        <v/>
      </c>
      <c r="H112"/>
      <c r="I112"/>
      <c r="J112"/>
      <c r="K112"/>
      <c r="L112"/>
      <c r="O112" s="22" t="str">
        <f>IFERROR(IF(ProgramForNewCourse=Spec[[#This Row],[PROGRAM]],Spec[[#This Row],[INRIKTNING]],""),"")</f>
        <v/>
      </c>
      <c r="P112" s="22">
        <f>ROWS('Program och examenskrav'!S124:Spec[[#Headers],[INRIKTNING]])</f>
        <v>97</v>
      </c>
      <c r="Q112" s="22" t="str">
        <f t="array" ref="Q112">IF(ROWS($Q$16:Q112)&gt;$P$11,"",INDEX($O$16:$O$149,SMALL(IF($O$16:$O$149&lt;&gt;"",ROW($O$16:$O$149)-ROW($Q$16)+1),ROWS(Q$16:Q112))))</f>
        <v/>
      </c>
    </row>
    <row r="113" spans="2:17" x14ac:dyDescent="0.3">
      <c r="B113" s="22" t="str">
        <f>IFERROR(IF(Program=Spec[[#This Row],[PROGRAM]],Spec[[#This Row],[INRIKTNING]],""),"")</f>
        <v/>
      </c>
      <c r="C113" s="22">
        <f>ROWS('Program och examenskrav'!F125:Spec[[#Headers],[INRIKTNING]])</f>
        <v>98</v>
      </c>
      <c r="D113" s="22" t="str">
        <f t="array" ref="D113">IF(ROWS($D$16:D113)&gt;$B$11,"",INDEX($B$16:$B$149,SMALL(IF($B$16:$B$149&lt;&gt;"",ROW($B$16:$B$149)-ROW($D$16)+1),ROWS(D$16:D113))))</f>
        <v/>
      </c>
      <c r="H113"/>
      <c r="I113"/>
      <c r="J113"/>
      <c r="K113"/>
      <c r="L113"/>
      <c r="O113" s="22" t="str">
        <f>IFERROR(IF(ProgramForNewCourse=Spec[[#This Row],[PROGRAM]],Spec[[#This Row],[INRIKTNING]],""),"")</f>
        <v/>
      </c>
      <c r="P113" s="22">
        <f>ROWS('Program och examenskrav'!S125:Spec[[#Headers],[INRIKTNING]])</f>
        <v>98</v>
      </c>
      <c r="Q113" s="22" t="str">
        <f t="array" ref="Q113">IF(ROWS($Q$16:Q113)&gt;$P$11,"",INDEX($O$16:$O$149,SMALL(IF($O$16:$O$149&lt;&gt;"",ROW($O$16:$O$149)-ROW($Q$16)+1),ROWS(Q$16:Q113))))</f>
        <v/>
      </c>
    </row>
    <row r="114" spans="2:17" x14ac:dyDescent="0.3">
      <c r="B114" s="22" t="str">
        <f>IFERROR(IF(Program=Spec[[#This Row],[PROGRAM]],Spec[[#This Row],[INRIKTNING]],""),"")</f>
        <v/>
      </c>
      <c r="C114" s="22">
        <f>ROWS('Program och examenskrav'!F126:Spec[[#Headers],[INRIKTNING]])</f>
        <v>99</v>
      </c>
      <c r="D114" s="22" t="str">
        <f t="array" ref="D114">IF(ROWS($D$16:D114)&gt;$B$11,"",INDEX($B$16:$B$149,SMALL(IF($B$16:$B$149&lt;&gt;"",ROW($B$16:$B$149)-ROW($D$16)+1),ROWS(D$16:D114))))</f>
        <v/>
      </c>
      <c r="H114"/>
      <c r="I114"/>
      <c r="J114"/>
      <c r="K114"/>
      <c r="L114"/>
      <c r="O114" s="22" t="str">
        <f>IFERROR(IF(ProgramForNewCourse=Spec[[#This Row],[PROGRAM]],Spec[[#This Row],[INRIKTNING]],""),"")</f>
        <v/>
      </c>
      <c r="P114" s="22">
        <f>ROWS('Program och examenskrav'!S126:Spec[[#Headers],[INRIKTNING]])</f>
        <v>99</v>
      </c>
      <c r="Q114" s="22" t="str">
        <f t="array" ref="Q114">IF(ROWS($Q$16:Q114)&gt;$P$11,"",INDEX($O$16:$O$149,SMALL(IF($O$16:$O$149&lt;&gt;"",ROW($O$16:$O$149)-ROW($Q$16)+1),ROWS(Q$16:Q114))))</f>
        <v/>
      </c>
    </row>
    <row r="115" spans="2:17" x14ac:dyDescent="0.3">
      <c r="B115" s="22" t="str">
        <f>IFERROR(IF(Program=Spec[[#This Row],[PROGRAM]],Spec[[#This Row],[INRIKTNING]],""),"")</f>
        <v/>
      </c>
      <c r="C115" s="22">
        <f>ROWS('Program och examenskrav'!F127:Spec[[#Headers],[INRIKTNING]])</f>
        <v>100</v>
      </c>
      <c r="D115" s="22" t="str">
        <f t="array" ref="D115">IF(ROWS($D$16:D115)&gt;$B$11,"",INDEX($B$16:$B$149,SMALL(IF($B$16:$B$149&lt;&gt;"",ROW($B$16:$B$149)-ROW($D$16)+1),ROWS(D$16:D115))))</f>
        <v/>
      </c>
      <c r="H115"/>
      <c r="I115"/>
      <c r="J115"/>
      <c r="K115"/>
      <c r="L115"/>
      <c r="O115" s="22" t="str">
        <f>IFERROR(IF(ProgramForNewCourse=Spec[[#This Row],[PROGRAM]],Spec[[#This Row],[INRIKTNING]],""),"")</f>
        <v/>
      </c>
      <c r="P115" s="22">
        <f>ROWS('Program och examenskrav'!S127:Spec[[#Headers],[INRIKTNING]])</f>
        <v>100</v>
      </c>
      <c r="Q115" s="22" t="str">
        <f t="array" ref="Q115">IF(ROWS($Q$16:Q115)&gt;$P$11,"",INDEX($O$16:$O$149,SMALL(IF($O$16:$O$149&lt;&gt;"",ROW($O$16:$O$149)-ROW($Q$16)+1),ROWS(Q$16:Q115))))</f>
        <v/>
      </c>
    </row>
    <row r="116" spans="2:17" x14ac:dyDescent="0.3">
      <c r="B116" s="22" t="str">
        <f>IFERROR(IF(Program=Spec[[#This Row],[PROGRAM]],Spec[[#This Row],[INRIKTNING]],""),"")</f>
        <v/>
      </c>
      <c r="C116" s="22">
        <f>ROWS('Program och examenskrav'!F128:Spec[[#Headers],[INRIKTNING]])</f>
        <v>101</v>
      </c>
      <c r="D116" s="22" t="str">
        <f t="array" ref="D116">IF(ROWS($D$16:D116)&gt;$B$11,"",INDEX($B$16:$B$149,SMALL(IF($B$16:$B$149&lt;&gt;"",ROW($B$16:$B$149)-ROW($D$16)+1),ROWS(D$16:D116))))</f>
        <v/>
      </c>
      <c r="H116"/>
      <c r="I116"/>
      <c r="J116"/>
      <c r="K116"/>
      <c r="L116"/>
      <c r="O116" s="22" t="str">
        <f>IFERROR(IF(ProgramForNewCourse=Spec[[#This Row],[PROGRAM]],Spec[[#This Row],[INRIKTNING]],""),"")</f>
        <v/>
      </c>
      <c r="P116" s="22">
        <f>ROWS('Program och examenskrav'!S128:Spec[[#Headers],[INRIKTNING]])</f>
        <v>101</v>
      </c>
      <c r="Q116" s="22" t="str">
        <f t="array" ref="Q116">IF(ROWS($Q$16:Q116)&gt;$P$11,"",INDEX($O$16:$O$149,SMALL(IF($O$16:$O$149&lt;&gt;"",ROW($O$16:$O$149)-ROW($Q$16)+1),ROWS(Q$16:Q116))))</f>
        <v/>
      </c>
    </row>
    <row r="117" spans="2:17" x14ac:dyDescent="0.3">
      <c r="B117" s="22" t="str">
        <f>IFERROR(IF(Program=Spec[[#This Row],[PROGRAM]],Spec[[#This Row],[INRIKTNING]],""),"")</f>
        <v/>
      </c>
      <c r="C117" s="22">
        <f>ROWS('Program och examenskrav'!F129:Spec[[#Headers],[INRIKTNING]])</f>
        <v>102</v>
      </c>
      <c r="D117" s="22" t="str">
        <f t="array" ref="D117">IF(ROWS($D$16:D117)&gt;$B$11,"",INDEX($B$16:$B$149,SMALL(IF($B$16:$B$149&lt;&gt;"",ROW($B$16:$B$149)-ROW($D$16)+1),ROWS(D$16:D117))))</f>
        <v/>
      </c>
      <c r="H117"/>
      <c r="I117"/>
      <c r="J117"/>
      <c r="K117"/>
      <c r="L117"/>
      <c r="O117" s="22" t="str">
        <f>IFERROR(IF(ProgramForNewCourse=Spec[[#This Row],[PROGRAM]],Spec[[#This Row],[INRIKTNING]],""),"")</f>
        <v/>
      </c>
      <c r="P117" s="22">
        <f>ROWS('Program och examenskrav'!S129:Spec[[#Headers],[INRIKTNING]])</f>
        <v>102</v>
      </c>
      <c r="Q117" s="22" t="str">
        <f t="array" ref="Q117">IF(ROWS($Q$16:Q117)&gt;$P$11,"",INDEX($O$16:$O$149,SMALL(IF($O$16:$O$149&lt;&gt;"",ROW($O$16:$O$149)-ROW($Q$16)+1),ROWS(Q$16:Q117))))</f>
        <v/>
      </c>
    </row>
    <row r="118" spans="2:17" x14ac:dyDescent="0.3">
      <c r="B118" s="22" t="str">
        <f>IFERROR(IF(Program=Spec[[#This Row],[PROGRAM]],Spec[[#This Row],[INRIKTNING]],""),"")</f>
        <v/>
      </c>
      <c r="C118" s="22">
        <f>ROWS('Program och examenskrav'!F130:Spec[[#Headers],[INRIKTNING]])</f>
        <v>103</v>
      </c>
      <c r="D118" s="22" t="str">
        <f t="array" ref="D118">IF(ROWS($D$16:D118)&gt;$B$11,"",INDEX($B$16:$B$149,SMALL(IF($B$16:$B$149&lt;&gt;"",ROW($B$16:$B$149)-ROW($D$16)+1),ROWS(D$16:D118))))</f>
        <v/>
      </c>
      <c r="H118"/>
      <c r="I118"/>
      <c r="J118"/>
      <c r="K118"/>
      <c r="L118"/>
      <c r="O118" s="22" t="str">
        <f>IFERROR(IF(ProgramForNewCourse=Spec[[#This Row],[PROGRAM]],Spec[[#This Row],[INRIKTNING]],""),"")</f>
        <v/>
      </c>
      <c r="P118" s="22">
        <f>ROWS('Program och examenskrav'!S130:Spec[[#Headers],[INRIKTNING]])</f>
        <v>103</v>
      </c>
      <c r="Q118" s="22" t="str">
        <f t="array" ref="Q118">IF(ROWS($Q$16:Q118)&gt;$P$11,"",INDEX($O$16:$O$149,SMALL(IF($O$16:$O$149&lt;&gt;"",ROW($O$16:$O$149)-ROW($Q$16)+1),ROWS(Q$16:Q118))))</f>
        <v/>
      </c>
    </row>
    <row r="119" spans="2:17" x14ac:dyDescent="0.3">
      <c r="B119" s="22" t="str">
        <f>IFERROR(IF(Program=Spec[[#This Row],[PROGRAM]],Spec[[#This Row],[INRIKTNING]],""),"")</f>
        <v/>
      </c>
      <c r="C119" s="22">
        <f>ROWS('Program och examenskrav'!F131:Spec[[#Headers],[INRIKTNING]])</f>
        <v>104</v>
      </c>
      <c r="D119" s="22" t="str">
        <f t="array" ref="D119">IF(ROWS($D$16:D119)&gt;$B$11,"",INDEX($B$16:$B$149,SMALL(IF($B$16:$B$149&lt;&gt;"",ROW($B$16:$B$149)-ROW($D$16)+1),ROWS(D$16:D119))))</f>
        <v/>
      </c>
      <c r="H119"/>
      <c r="I119"/>
      <c r="J119"/>
      <c r="K119"/>
      <c r="L119"/>
      <c r="O119" s="22" t="str">
        <f>IFERROR(IF(ProgramForNewCourse=Spec[[#This Row],[PROGRAM]],Spec[[#This Row],[INRIKTNING]],""),"")</f>
        <v/>
      </c>
      <c r="P119" s="22">
        <f>ROWS('Program och examenskrav'!S131:Spec[[#Headers],[INRIKTNING]])</f>
        <v>104</v>
      </c>
      <c r="Q119" s="22" t="str">
        <f t="array" ref="Q119">IF(ROWS($Q$16:Q119)&gt;$P$11,"",INDEX($O$16:$O$149,SMALL(IF($O$16:$O$149&lt;&gt;"",ROW($O$16:$O$149)-ROW($Q$16)+1),ROWS(Q$16:Q119))))</f>
        <v/>
      </c>
    </row>
    <row r="120" spans="2:17" x14ac:dyDescent="0.3">
      <c r="B120" s="22" t="str">
        <f>IFERROR(IF(Program=Spec[[#This Row],[PROGRAM]],Spec[[#This Row],[INRIKTNING]],""),"")</f>
        <v/>
      </c>
      <c r="C120" s="22">
        <f>ROWS('Program och examenskrav'!F132:Spec[[#Headers],[INRIKTNING]])</f>
        <v>105</v>
      </c>
      <c r="D120" s="22" t="str">
        <f t="array" ref="D120">IF(ROWS($D$16:D120)&gt;$B$11,"",INDEX($B$16:$B$149,SMALL(IF($B$16:$B$149&lt;&gt;"",ROW($B$16:$B$149)-ROW($D$16)+1),ROWS(D$16:D120))))</f>
        <v/>
      </c>
      <c r="H120"/>
      <c r="I120"/>
      <c r="J120"/>
      <c r="K120"/>
      <c r="L120"/>
      <c r="O120" s="22" t="str">
        <f>IFERROR(IF(ProgramForNewCourse=Spec[[#This Row],[PROGRAM]],Spec[[#This Row],[INRIKTNING]],""),"")</f>
        <v/>
      </c>
      <c r="P120" s="22">
        <f>ROWS('Program och examenskrav'!S132:Spec[[#Headers],[INRIKTNING]])</f>
        <v>105</v>
      </c>
      <c r="Q120" s="22" t="str">
        <f t="array" ref="Q120">IF(ROWS($Q$16:Q120)&gt;$P$11,"",INDEX($O$16:$O$149,SMALL(IF($O$16:$O$149&lt;&gt;"",ROW($O$16:$O$149)-ROW($Q$16)+1),ROWS(Q$16:Q120))))</f>
        <v/>
      </c>
    </row>
    <row r="121" spans="2:17" x14ac:dyDescent="0.3">
      <c r="B121" s="22" t="str">
        <f>IFERROR(IF(Program=Spec[[#This Row],[PROGRAM]],Spec[[#This Row],[INRIKTNING]],""),"")</f>
        <v/>
      </c>
      <c r="C121" s="22">
        <f>ROWS('Program och examenskrav'!F133:Spec[[#Headers],[INRIKTNING]])</f>
        <v>106</v>
      </c>
      <c r="D121" s="22" t="str">
        <f t="array" ref="D121">IF(ROWS($D$16:D121)&gt;$B$11,"",INDEX($B$16:$B$149,SMALL(IF($B$16:$B$149&lt;&gt;"",ROW($B$16:$B$149)-ROW($D$16)+1),ROWS(D$16:D121))))</f>
        <v/>
      </c>
      <c r="H121"/>
      <c r="I121"/>
      <c r="J121"/>
      <c r="K121"/>
      <c r="L121"/>
      <c r="O121" s="22" t="str">
        <f>IFERROR(IF(ProgramForNewCourse=Spec[[#This Row],[PROGRAM]],Spec[[#This Row],[INRIKTNING]],""),"")</f>
        <v/>
      </c>
      <c r="P121" s="22">
        <f>ROWS('Program och examenskrav'!S133:Spec[[#Headers],[INRIKTNING]])</f>
        <v>106</v>
      </c>
      <c r="Q121" s="22" t="str">
        <f t="array" ref="Q121">IF(ROWS($Q$16:Q121)&gt;$P$11,"",INDEX($O$16:$O$149,SMALL(IF($O$16:$O$149&lt;&gt;"",ROW($O$16:$O$149)-ROW($Q$16)+1),ROWS(Q$16:Q121))))</f>
        <v/>
      </c>
    </row>
    <row r="122" spans="2:17" x14ac:dyDescent="0.3">
      <c r="B122" s="22" t="str">
        <f>IFERROR(IF(Program=Spec[[#This Row],[PROGRAM]],Spec[[#This Row],[INRIKTNING]],""),"")</f>
        <v/>
      </c>
      <c r="C122" s="22">
        <f>ROWS('Program och examenskrav'!F134:Spec[[#Headers],[INRIKTNING]])</f>
        <v>107</v>
      </c>
      <c r="D122" s="22" t="str">
        <f t="array" ref="D122">IF(ROWS($D$16:D122)&gt;$B$11,"",INDEX($B$16:$B$149,SMALL(IF($B$16:$B$149&lt;&gt;"",ROW($B$16:$B$149)-ROW($D$16)+1),ROWS(D$16:D122))))</f>
        <v/>
      </c>
      <c r="H122"/>
      <c r="I122"/>
      <c r="J122"/>
      <c r="K122"/>
      <c r="L122"/>
      <c r="O122" s="22" t="str">
        <f>IFERROR(IF(ProgramForNewCourse=Spec[[#This Row],[PROGRAM]],Spec[[#This Row],[INRIKTNING]],""),"")</f>
        <v/>
      </c>
      <c r="P122" s="22">
        <f>ROWS('Program och examenskrav'!S134:Spec[[#Headers],[INRIKTNING]])</f>
        <v>107</v>
      </c>
      <c r="Q122" s="22" t="str">
        <f t="array" ref="Q122">IF(ROWS($Q$16:Q122)&gt;$P$11,"",INDEX($O$16:$O$149,SMALL(IF($O$16:$O$149&lt;&gt;"",ROW($O$16:$O$149)-ROW($Q$16)+1),ROWS(Q$16:Q122))))</f>
        <v/>
      </c>
    </row>
    <row r="123" spans="2:17" x14ac:dyDescent="0.3">
      <c r="B123" s="22" t="str">
        <f>IFERROR(IF(Program=Spec[[#This Row],[PROGRAM]],Spec[[#This Row],[INRIKTNING]],""),"")</f>
        <v/>
      </c>
      <c r="C123" s="22">
        <f>ROWS('Program och examenskrav'!F135:Spec[[#Headers],[INRIKTNING]])</f>
        <v>108</v>
      </c>
      <c r="D123" s="22" t="str">
        <f t="array" ref="D123">IF(ROWS($D$16:D123)&gt;$B$11,"",INDEX($B$16:$B$149,SMALL(IF($B$16:$B$149&lt;&gt;"",ROW($B$16:$B$149)-ROW($D$16)+1),ROWS(D$16:D123))))</f>
        <v/>
      </c>
      <c r="H123"/>
      <c r="I123"/>
      <c r="J123"/>
      <c r="K123"/>
      <c r="L123"/>
      <c r="O123" s="22" t="str">
        <f>IFERROR(IF(ProgramForNewCourse=Spec[[#This Row],[PROGRAM]],Spec[[#This Row],[INRIKTNING]],""),"")</f>
        <v/>
      </c>
      <c r="P123" s="22">
        <f>ROWS('Program och examenskrav'!S135:Spec[[#Headers],[INRIKTNING]])</f>
        <v>108</v>
      </c>
      <c r="Q123" s="22" t="str">
        <f t="array" ref="Q123">IF(ROWS($Q$16:Q123)&gt;$P$11,"",INDEX($O$16:$O$149,SMALL(IF($O$16:$O$149&lt;&gt;"",ROW($O$16:$O$149)-ROW($Q$16)+1),ROWS(Q$16:Q123))))</f>
        <v/>
      </c>
    </row>
    <row r="124" spans="2:17" x14ac:dyDescent="0.3">
      <c r="B124" s="22" t="str">
        <f>IFERROR(IF(Program=Spec[[#This Row],[PROGRAM]],Spec[[#This Row],[INRIKTNING]],""),"")</f>
        <v/>
      </c>
      <c r="C124" s="22">
        <f>ROWS('Program och examenskrav'!F136:Spec[[#Headers],[INRIKTNING]])</f>
        <v>109</v>
      </c>
      <c r="D124" s="22" t="str">
        <f t="array" ref="D124">IF(ROWS($D$16:D124)&gt;$B$11,"",INDEX($B$16:$B$149,SMALL(IF($B$16:$B$149&lt;&gt;"",ROW($B$16:$B$149)-ROW($D$16)+1),ROWS(D$16:D124))))</f>
        <v/>
      </c>
      <c r="H124"/>
      <c r="I124"/>
      <c r="J124"/>
      <c r="K124"/>
      <c r="L124"/>
      <c r="O124" s="22" t="str">
        <f>IFERROR(IF(ProgramForNewCourse=Spec[[#This Row],[PROGRAM]],Spec[[#This Row],[INRIKTNING]],""),"")</f>
        <v/>
      </c>
      <c r="P124" s="22">
        <f>ROWS('Program och examenskrav'!S136:Spec[[#Headers],[INRIKTNING]])</f>
        <v>109</v>
      </c>
      <c r="Q124" s="22" t="str">
        <f t="array" ref="Q124">IF(ROWS($Q$16:Q124)&gt;$P$11,"",INDEX($O$16:$O$149,SMALL(IF($O$16:$O$149&lt;&gt;"",ROW($O$16:$O$149)-ROW($Q$16)+1),ROWS(Q$16:Q124))))</f>
        <v/>
      </c>
    </row>
    <row r="125" spans="2:17" x14ac:dyDescent="0.3">
      <c r="B125" s="22" t="str">
        <f>IFERROR(IF(Program=Spec[[#This Row],[PROGRAM]],Spec[[#This Row],[INRIKTNING]],""),"")</f>
        <v/>
      </c>
      <c r="C125" s="22">
        <f>ROWS('Program och examenskrav'!F137:Spec[[#Headers],[INRIKTNING]])</f>
        <v>110</v>
      </c>
      <c r="D125" s="22" t="str">
        <f t="array" ref="D125">IF(ROWS($D$16:D125)&gt;$B$11,"",INDEX($B$16:$B$149,SMALL(IF($B$16:$B$149&lt;&gt;"",ROW($B$16:$B$149)-ROW($D$16)+1),ROWS(D$16:D125))))</f>
        <v/>
      </c>
      <c r="O125" s="22" t="str">
        <f>IFERROR(IF(ProgramForNewCourse=Spec[[#This Row],[PROGRAM]],Spec[[#This Row],[INRIKTNING]],""),"")</f>
        <v/>
      </c>
      <c r="P125" s="22">
        <f>ROWS('Program och examenskrav'!S137:Spec[[#Headers],[INRIKTNING]])</f>
        <v>110</v>
      </c>
      <c r="Q125" s="22" t="str">
        <f t="array" ref="Q125">IF(ROWS($Q$16:Q125)&gt;$P$11,"",INDEX($O$16:$O$149,SMALL(IF($O$16:$O$149&lt;&gt;"",ROW($O$16:$O$149)-ROW($Q$16)+1),ROWS(Q$16:Q125))))</f>
        <v/>
      </c>
    </row>
    <row r="126" spans="2:17" x14ac:dyDescent="0.3">
      <c r="B126" s="22" t="str">
        <f>IFERROR(IF(Program=Spec[[#This Row],[PROGRAM]],Spec[[#This Row],[INRIKTNING]],""),"")</f>
        <v/>
      </c>
      <c r="C126" s="22">
        <f>ROWS('Program och examenskrav'!F138:Spec[[#Headers],[INRIKTNING]])</f>
        <v>111</v>
      </c>
      <c r="D126" s="22" t="str">
        <f t="array" ref="D126">IF(ROWS($D$16:D126)&gt;$B$11,"",INDEX($B$16:$B$149,SMALL(IF($B$16:$B$149&lt;&gt;"",ROW($B$16:$B$149)-ROW($D$16)+1),ROWS(D$16:D126))))</f>
        <v/>
      </c>
      <c r="O126" s="22" t="str">
        <f>IFERROR(IF(ProgramForNewCourse=Spec[[#This Row],[PROGRAM]],Spec[[#This Row],[INRIKTNING]],""),"")</f>
        <v/>
      </c>
      <c r="P126" s="22">
        <f>ROWS('Program och examenskrav'!S138:Spec[[#Headers],[INRIKTNING]])</f>
        <v>111</v>
      </c>
      <c r="Q126" s="22" t="str">
        <f t="array" ref="Q126">IF(ROWS($Q$16:Q126)&gt;$P$11,"",INDEX($O$16:$O$149,SMALL(IF($O$16:$O$149&lt;&gt;"",ROW($O$16:$O$149)-ROW($Q$16)+1),ROWS(Q$16:Q126))))</f>
        <v/>
      </c>
    </row>
    <row r="127" spans="2:17" x14ac:dyDescent="0.3">
      <c r="B127" s="22" t="str">
        <f>IFERROR(IF(Program=Spec[[#This Row],[PROGRAM]],Spec[[#This Row],[INRIKTNING]],""),"")</f>
        <v/>
      </c>
      <c r="C127" s="22">
        <f>ROWS('Program och examenskrav'!F139:Spec[[#Headers],[INRIKTNING]])</f>
        <v>112</v>
      </c>
      <c r="D127" s="22" t="str">
        <f t="array" ref="D127">IF(ROWS($D$16:D127)&gt;$B$11,"",INDEX($B$16:$B$149,SMALL(IF($B$16:$B$149&lt;&gt;"",ROW($B$16:$B$149)-ROW($D$16)+1),ROWS(D$16:D127))))</f>
        <v/>
      </c>
      <c r="O127" s="22" t="str">
        <f>IFERROR(IF(ProgramForNewCourse=Spec[[#This Row],[PROGRAM]],Spec[[#This Row],[INRIKTNING]],""),"")</f>
        <v/>
      </c>
      <c r="P127" s="22">
        <f>ROWS('Program och examenskrav'!S139:Spec[[#Headers],[INRIKTNING]])</f>
        <v>112</v>
      </c>
      <c r="Q127" s="22" t="str">
        <f t="array" ref="Q127">IF(ROWS($Q$16:Q127)&gt;$P$11,"",INDEX($O$16:$O$149,SMALL(IF($O$16:$O$149&lt;&gt;"",ROW($O$16:$O$149)-ROW($Q$16)+1),ROWS(Q$16:Q127))))</f>
        <v/>
      </c>
    </row>
    <row r="128" spans="2:17" x14ac:dyDescent="0.3">
      <c r="B128" s="22" t="str">
        <f>IFERROR(IF(Program=Spec[[#This Row],[PROGRAM]],Spec[[#This Row],[INRIKTNING]],""),"")</f>
        <v/>
      </c>
      <c r="C128" s="22">
        <f>ROWS('Program och examenskrav'!F140:Spec[[#Headers],[INRIKTNING]])</f>
        <v>113</v>
      </c>
      <c r="D128" s="22" t="str">
        <f t="array" ref="D128">IF(ROWS($D$16:D128)&gt;$B$11,"",INDEX($B$16:$B$149,SMALL(IF($B$16:$B$149&lt;&gt;"",ROW($B$16:$B$149)-ROW($D$16)+1),ROWS(D$16:D128))))</f>
        <v/>
      </c>
      <c r="O128" s="22" t="str">
        <f>IFERROR(IF(ProgramForNewCourse=Spec[[#This Row],[PROGRAM]],Spec[[#This Row],[INRIKTNING]],""),"")</f>
        <v/>
      </c>
      <c r="P128" s="22">
        <f>ROWS('Program och examenskrav'!S140:Spec[[#Headers],[INRIKTNING]])</f>
        <v>113</v>
      </c>
      <c r="Q128" s="22" t="str">
        <f t="array" ref="Q128">IF(ROWS($Q$16:Q128)&gt;$P$11,"",INDEX($O$16:$O$149,SMALL(IF($O$16:$O$149&lt;&gt;"",ROW($O$16:$O$149)-ROW($Q$16)+1),ROWS(Q$16:Q128))))</f>
        <v/>
      </c>
    </row>
    <row r="129" spans="2:17" x14ac:dyDescent="0.3">
      <c r="B129" s="22" t="str">
        <f>IFERROR(IF(Program=Spec[[#This Row],[PROGRAM]],Spec[[#This Row],[INRIKTNING]],""),"")</f>
        <v/>
      </c>
      <c r="C129" s="22">
        <f>ROWS('Program och examenskrav'!F141:Spec[[#Headers],[INRIKTNING]])</f>
        <v>114</v>
      </c>
      <c r="D129" s="22" t="str">
        <f t="array" ref="D129">IF(ROWS($D$16:D129)&gt;$B$11,"",INDEX($B$16:$B$149,SMALL(IF($B$16:$B$149&lt;&gt;"",ROW($B$16:$B$149)-ROW($D$16)+1),ROWS(D$16:D129))))</f>
        <v/>
      </c>
      <c r="O129" s="22" t="str">
        <f>IFERROR(IF(ProgramForNewCourse=Spec[[#This Row],[PROGRAM]],Spec[[#This Row],[INRIKTNING]],""),"")</f>
        <v/>
      </c>
      <c r="P129" s="22">
        <f>ROWS('Program och examenskrav'!S141:Spec[[#Headers],[INRIKTNING]])</f>
        <v>114</v>
      </c>
      <c r="Q129" s="22" t="str">
        <f t="array" ref="Q129">IF(ROWS($Q$16:Q129)&gt;$P$11,"",INDEX($O$16:$O$149,SMALL(IF($O$16:$O$149&lt;&gt;"",ROW($O$16:$O$149)-ROW($Q$16)+1),ROWS(Q$16:Q129))))</f>
        <v/>
      </c>
    </row>
    <row r="130" spans="2:17" x14ac:dyDescent="0.3">
      <c r="B130" s="22" t="str">
        <f>IFERROR(IF(Program=Spec[[#This Row],[PROGRAM]],Spec[[#This Row],[INRIKTNING]],""),"")</f>
        <v/>
      </c>
      <c r="C130" s="22">
        <f>ROWS('Program och examenskrav'!F142:Spec[[#Headers],[INRIKTNING]])</f>
        <v>115</v>
      </c>
      <c r="D130" s="22" t="str">
        <f t="array" ref="D130">IF(ROWS($D$16:D130)&gt;$B$11,"",INDEX($B$16:$B$149,SMALL(IF($B$16:$B$149&lt;&gt;"",ROW($B$16:$B$149)-ROW($D$16)+1),ROWS(D$16:D130))))</f>
        <v/>
      </c>
      <c r="O130" s="22" t="str">
        <f>IFERROR(IF(ProgramForNewCourse=Spec[[#This Row],[PROGRAM]],Spec[[#This Row],[INRIKTNING]],""),"")</f>
        <v/>
      </c>
      <c r="P130" s="22">
        <f>ROWS('Program och examenskrav'!S142:Spec[[#Headers],[INRIKTNING]])</f>
        <v>115</v>
      </c>
      <c r="Q130" s="22" t="str">
        <f t="array" ref="Q130">IF(ROWS($Q$16:Q130)&gt;$P$11,"",INDEX($O$16:$O$149,SMALL(IF($O$16:$O$149&lt;&gt;"",ROW($O$16:$O$149)-ROW($Q$16)+1),ROWS(Q$16:Q130))))</f>
        <v/>
      </c>
    </row>
    <row r="131" spans="2:17" x14ac:dyDescent="0.3">
      <c r="B131" s="22" t="str">
        <f>IFERROR(IF(Program=Spec[[#This Row],[PROGRAM]],Spec[[#This Row],[INRIKTNING]],""),"")</f>
        <v/>
      </c>
      <c r="C131" s="22">
        <f>ROWS('Program och examenskrav'!F143:Spec[[#Headers],[INRIKTNING]])</f>
        <v>116</v>
      </c>
      <c r="D131" s="22" t="str">
        <f t="array" ref="D131">IF(ROWS($D$16:D131)&gt;$B$11,"",INDEX($B$16:$B$149,SMALL(IF($B$16:$B$149&lt;&gt;"",ROW($B$16:$B$149)-ROW($D$16)+1),ROWS(D$16:D131))))</f>
        <v/>
      </c>
      <c r="O131" s="22" t="str">
        <f>IFERROR(IF(ProgramForNewCourse=Spec[[#This Row],[PROGRAM]],Spec[[#This Row],[INRIKTNING]],""),"")</f>
        <v/>
      </c>
      <c r="P131" s="22">
        <f>ROWS('Program och examenskrav'!S143:Spec[[#Headers],[INRIKTNING]])</f>
        <v>116</v>
      </c>
      <c r="Q131" s="22" t="str">
        <f t="array" ref="Q131">IF(ROWS($Q$16:Q131)&gt;$P$11,"",INDEX($O$16:$O$149,SMALL(IF($O$16:$O$149&lt;&gt;"",ROW($O$16:$O$149)-ROW($Q$16)+1),ROWS(Q$16:Q131))))</f>
        <v/>
      </c>
    </row>
    <row r="132" spans="2:17" x14ac:dyDescent="0.3">
      <c r="B132" s="22" t="str">
        <f>IFERROR(IF(Program=Spec[[#This Row],[PROGRAM]],Spec[[#This Row],[INRIKTNING]],""),"")</f>
        <v/>
      </c>
      <c r="C132" s="22">
        <f>ROWS('Program och examenskrav'!F144:Spec[[#Headers],[INRIKTNING]])</f>
        <v>117</v>
      </c>
      <c r="D132" s="22" t="str">
        <f t="array" ref="D132">IF(ROWS($D$16:D132)&gt;$B$11,"",INDEX($B$16:$B$149,SMALL(IF($B$16:$B$149&lt;&gt;"",ROW($B$16:$B$149)-ROW($D$16)+1),ROWS(D$16:D132))))</f>
        <v/>
      </c>
      <c r="O132" s="22" t="str">
        <f>IFERROR(IF(ProgramForNewCourse=Spec[[#This Row],[PROGRAM]],Spec[[#This Row],[INRIKTNING]],""),"")</f>
        <v/>
      </c>
      <c r="P132" s="22">
        <f>ROWS('Program och examenskrav'!S144:Spec[[#Headers],[INRIKTNING]])</f>
        <v>117</v>
      </c>
      <c r="Q132" s="22" t="str">
        <f t="array" ref="Q132">IF(ROWS($Q$16:Q132)&gt;$P$11,"",INDEX($O$16:$O$149,SMALL(IF($O$16:$O$149&lt;&gt;"",ROW($O$16:$O$149)-ROW($Q$16)+1),ROWS(Q$16:Q132))))</f>
        <v/>
      </c>
    </row>
    <row r="133" spans="2:17" x14ac:dyDescent="0.3">
      <c r="B133" s="22" t="str">
        <f>IFERROR(IF(Program=Spec[[#This Row],[PROGRAM]],Spec[[#This Row],[INRIKTNING]],""),"")</f>
        <v/>
      </c>
      <c r="C133" s="22">
        <f>ROWS('Program och examenskrav'!F145:Spec[[#Headers],[INRIKTNING]])</f>
        <v>118</v>
      </c>
      <c r="D133" s="22" t="str">
        <f t="array" ref="D133">IF(ROWS($D$16:D133)&gt;$B$11,"",INDEX($B$16:$B$149,SMALL(IF($B$16:$B$149&lt;&gt;"",ROW($B$16:$B$149)-ROW($D$16)+1),ROWS(D$16:D133))))</f>
        <v/>
      </c>
      <c r="O133" s="22" t="str">
        <f>IFERROR(IF(ProgramForNewCourse=Spec[[#This Row],[PROGRAM]],Spec[[#This Row],[INRIKTNING]],""),"")</f>
        <v/>
      </c>
      <c r="P133" s="22">
        <f>ROWS('Program och examenskrav'!S145:Spec[[#Headers],[INRIKTNING]])</f>
        <v>118</v>
      </c>
      <c r="Q133" s="22" t="str">
        <f t="array" ref="Q133">IF(ROWS($Q$16:Q133)&gt;$P$11,"",INDEX($O$16:$O$149,SMALL(IF($O$16:$O$149&lt;&gt;"",ROW($O$16:$O$149)-ROW($Q$16)+1),ROWS(Q$16:Q133))))</f>
        <v/>
      </c>
    </row>
    <row r="134" spans="2:17" x14ac:dyDescent="0.3">
      <c r="B134" s="22" t="str">
        <f>IFERROR(IF(Program=Spec[[#This Row],[PROGRAM]],Spec[[#This Row],[INRIKTNING]],""),"")</f>
        <v/>
      </c>
      <c r="C134" s="22">
        <f>ROWS('Program och examenskrav'!F146:Spec[[#Headers],[INRIKTNING]])</f>
        <v>119</v>
      </c>
      <c r="D134" s="22" t="str">
        <f t="array" ref="D134">IF(ROWS($D$16:D134)&gt;$B$11,"",INDEX($B$16:$B$149,SMALL(IF($B$16:$B$149&lt;&gt;"",ROW($B$16:$B$149)-ROW($D$16)+1),ROWS(D$16:D134))))</f>
        <v/>
      </c>
      <c r="O134" s="22" t="str">
        <f>IFERROR(IF(ProgramForNewCourse=Spec[[#This Row],[PROGRAM]],Spec[[#This Row],[INRIKTNING]],""),"")</f>
        <v/>
      </c>
      <c r="P134" s="22">
        <f>ROWS('Program och examenskrav'!S146:Spec[[#Headers],[INRIKTNING]])</f>
        <v>119</v>
      </c>
      <c r="Q134" s="22" t="str">
        <f t="array" ref="Q134">IF(ROWS($Q$16:Q134)&gt;$P$11,"",INDEX($O$16:$O$149,SMALL(IF($O$16:$O$149&lt;&gt;"",ROW($O$16:$O$149)-ROW($Q$16)+1),ROWS(Q$16:Q134))))</f>
        <v/>
      </c>
    </row>
    <row r="135" spans="2:17" x14ac:dyDescent="0.3">
      <c r="B135" s="22" t="str">
        <f>IFERROR(IF(Program=Spec[[#This Row],[PROGRAM]],Spec[[#This Row],[INRIKTNING]],""),"")</f>
        <v/>
      </c>
      <c r="C135" s="22">
        <f>ROWS('Program och examenskrav'!F147:Spec[[#Headers],[INRIKTNING]])</f>
        <v>120</v>
      </c>
      <c r="D135" s="22" t="str">
        <f t="array" ref="D135">IF(ROWS($D$16:D135)&gt;$B$11,"",INDEX($B$16:$B$149,SMALL(IF($B$16:$B$149&lt;&gt;"",ROW($B$16:$B$149)-ROW($D$16)+1),ROWS(D$16:D135))))</f>
        <v/>
      </c>
      <c r="O135" s="22" t="str">
        <f>IFERROR(IF(ProgramForNewCourse=Spec[[#This Row],[PROGRAM]],Spec[[#This Row],[INRIKTNING]],""),"")</f>
        <v/>
      </c>
      <c r="P135" s="22">
        <f>ROWS('Program och examenskrav'!S147:Spec[[#Headers],[INRIKTNING]])</f>
        <v>120</v>
      </c>
      <c r="Q135" s="22" t="str">
        <f t="array" ref="Q135">IF(ROWS($Q$16:Q135)&gt;$P$11,"",INDEX($O$16:$O$149,SMALL(IF($O$16:$O$149&lt;&gt;"",ROW($O$16:$O$149)-ROW($Q$16)+1),ROWS(Q$16:Q135))))</f>
        <v/>
      </c>
    </row>
    <row r="136" spans="2:17" x14ac:dyDescent="0.3">
      <c r="B136" s="22" t="str">
        <f>IFERROR(IF(Program=Spec[[#This Row],[PROGRAM]],Spec[[#This Row],[INRIKTNING]],""),"")</f>
        <v/>
      </c>
      <c r="C136" s="22">
        <f>ROWS('Program och examenskrav'!F148:Spec[[#Headers],[INRIKTNING]])</f>
        <v>121</v>
      </c>
      <c r="D136" s="22" t="str">
        <f t="array" ref="D136">IF(ROWS($D$16:D136)&gt;$B$11,"",INDEX($B$16:$B$149,SMALL(IF($B$16:$B$149&lt;&gt;"",ROW($B$16:$B$149)-ROW($D$16)+1),ROWS(D$16:D136))))</f>
        <v/>
      </c>
      <c r="O136" s="22" t="str">
        <f>IFERROR(IF(ProgramForNewCourse=Spec[[#This Row],[PROGRAM]],Spec[[#This Row],[INRIKTNING]],""),"")</f>
        <v/>
      </c>
      <c r="P136" s="22">
        <f>ROWS('Program och examenskrav'!S148:Spec[[#Headers],[INRIKTNING]])</f>
        <v>121</v>
      </c>
      <c r="Q136" s="22" t="str">
        <f t="array" ref="Q136">IF(ROWS($Q$16:Q136)&gt;$P$11,"",INDEX($O$16:$O$149,SMALL(IF($O$16:$O$149&lt;&gt;"",ROW($O$16:$O$149)-ROW($Q$16)+1),ROWS(Q$16:Q136))))</f>
        <v/>
      </c>
    </row>
    <row r="137" spans="2:17" x14ac:dyDescent="0.3">
      <c r="B137" s="22" t="str">
        <f>IFERROR(IF(Program=Spec[[#This Row],[PROGRAM]],Spec[[#This Row],[INRIKTNING]],""),"")</f>
        <v/>
      </c>
      <c r="C137" s="22">
        <f>ROWS('Program och examenskrav'!F149:Spec[[#Headers],[INRIKTNING]])</f>
        <v>122</v>
      </c>
      <c r="D137" s="22" t="str">
        <f t="array" ref="D137">IF(ROWS($D$16:D137)&gt;$B$11,"",INDEX($B$16:$B$149,SMALL(IF($B$16:$B$149&lt;&gt;"",ROW($B$16:$B$149)-ROW($D$16)+1),ROWS(D$16:D137))))</f>
        <v/>
      </c>
      <c r="O137" s="22" t="str">
        <f>IFERROR(IF(ProgramForNewCourse=Spec[[#This Row],[PROGRAM]],Spec[[#This Row],[INRIKTNING]],""),"")</f>
        <v/>
      </c>
      <c r="P137" s="22">
        <f>ROWS('Program och examenskrav'!S149:Spec[[#Headers],[INRIKTNING]])</f>
        <v>122</v>
      </c>
      <c r="Q137" s="22" t="str">
        <f t="array" ref="Q137">IF(ROWS($Q$16:Q137)&gt;$P$11,"",INDEX($O$16:$O$149,SMALL(IF($O$16:$O$149&lt;&gt;"",ROW($O$16:$O$149)-ROW($Q$16)+1),ROWS(Q$16:Q137))))</f>
        <v/>
      </c>
    </row>
    <row r="138" spans="2:17" x14ac:dyDescent="0.3">
      <c r="B138" s="22" t="str">
        <f>IFERROR(IF(Program=Spec[[#This Row],[PROGRAM]],Spec[[#This Row],[INRIKTNING]],""),"")</f>
        <v/>
      </c>
      <c r="C138" s="22">
        <f>ROWS('Program och examenskrav'!F150:Spec[[#Headers],[INRIKTNING]])</f>
        <v>123</v>
      </c>
      <c r="D138" s="22" t="str">
        <f t="array" ref="D138">IF(ROWS($D$16:D138)&gt;$B$11,"",INDEX($B$16:$B$149,SMALL(IF($B$16:$B$149&lt;&gt;"",ROW($B$16:$B$149)-ROW($D$16)+1),ROWS(D$16:D138))))</f>
        <v/>
      </c>
      <c r="O138" s="22" t="str">
        <f>IFERROR(IF(ProgramForNewCourse=Spec[[#This Row],[PROGRAM]],Spec[[#This Row],[INRIKTNING]],""),"")</f>
        <v/>
      </c>
      <c r="P138" s="22">
        <f>ROWS('Program och examenskrav'!S150:Spec[[#Headers],[INRIKTNING]])</f>
        <v>123</v>
      </c>
      <c r="Q138" s="22" t="str">
        <f t="array" ref="Q138">IF(ROWS($Q$16:Q138)&gt;$P$11,"",INDEX($O$16:$O$149,SMALL(IF($O$16:$O$149&lt;&gt;"",ROW($O$16:$O$149)-ROW($Q$16)+1),ROWS(Q$16:Q138))))</f>
        <v/>
      </c>
    </row>
    <row r="139" spans="2:17" x14ac:dyDescent="0.3">
      <c r="B139" s="22" t="str">
        <f>IFERROR(IF(Program=Spec[[#This Row],[PROGRAM]],Spec[[#This Row],[INRIKTNING]],""),"")</f>
        <v/>
      </c>
      <c r="C139" s="22">
        <f>ROWS('Program och examenskrav'!F151:Spec[[#Headers],[INRIKTNING]])</f>
        <v>124</v>
      </c>
      <c r="D139" s="22" t="str">
        <f t="array" ref="D139">IF(ROWS($D$16:D139)&gt;$B$11,"",INDEX($B$16:$B$149,SMALL(IF($B$16:$B$149&lt;&gt;"",ROW($B$16:$B$149)-ROW($D$16)+1),ROWS(D$16:D139))))</f>
        <v/>
      </c>
      <c r="O139" s="22" t="str">
        <f>IFERROR(IF(ProgramForNewCourse=Spec[[#This Row],[PROGRAM]],Spec[[#This Row],[INRIKTNING]],""),"")</f>
        <v/>
      </c>
      <c r="P139" s="22">
        <f>ROWS('Program och examenskrav'!S151:Spec[[#Headers],[INRIKTNING]])</f>
        <v>124</v>
      </c>
      <c r="Q139" s="22" t="str">
        <f t="array" ref="Q139">IF(ROWS($Q$16:Q139)&gt;$P$11,"",INDEX($O$16:$O$149,SMALL(IF($O$16:$O$149&lt;&gt;"",ROW($O$16:$O$149)-ROW($Q$16)+1),ROWS(Q$16:Q139))))</f>
        <v/>
      </c>
    </row>
    <row r="140" spans="2:17" x14ac:dyDescent="0.3">
      <c r="B140" s="22" t="str">
        <f>IFERROR(IF(Program=Spec[[#This Row],[PROGRAM]],Spec[[#This Row],[INRIKTNING]],""),"")</f>
        <v/>
      </c>
      <c r="C140" s="22">
        <f>ROWS('Program och examenskrav'!F152:Spec[[#Headers],[INRIKTNING]])</f>
        <v>125</v>
      </c>
      <c r="D140" s="22" t="str">
        <f t="array" ref="D140">IF(ROWS($D$16:D140)&gt;$B$11,"",INDEX($B$16:$B$149,SMALL(IF($B$16:$B$149&lt;&gt;"",ROW($B$16:$B$149)-ROW($D$16)+1),ROWS(D$16:D140))))</f>
        <v/>
      </c>
      <c r="O140" s="22" t="str">
        <f>IFERROR(IF(ProgramForNewCourse=Spec[[#This Row],[PROGRAM]],Spec[[#This Row],[INRIKTNING]],""),"")</f>
        <v/>
      </c>
      <c r="P140" s="22">
        <f>ROWS('Program och examenskrav'!S152:Spec[[#Headers],[INRIKTNING]])</f>
        <v>125</v>
      </c>
      <c r="Q140" s="22" t="str">
        <f t="array" ref="Q140">IF(ROWS($Q$16:Q140)&gt;$P$11,"",INDEX($O$16:$O$149,SMALL(IF($O$16:$O$149&lt;&gt;"",ROW($O$16:$O$149)-ROW($Q$16)+1),ROWS(Q$16:Q140))))</f>
        <v/>
      </c>
    </row>
    <row r="141" spans="2:17" x14ac:dyDescent="0.3">
      <c r="B141" s="22" t="str">
        <f>IFERROR(IF(Program=Spec[[#This Row],[PROGRAM]],Spec[[#This Row],[INRIKTNING]],""),"")</f>
        <v/>
      </c>
      <c r="C141" s="22">
        <f>ROWS('Program och examenskrav'!F153:Spec[[#Headers],[INRIKTNING]])</f>
        <v>126</v>
      </c>
      <c r="D141" s="22" t="str">
        <f t="array" ref="D141">IF(ROWS($D$16:D141)&gt;$B$11,"",INDEX($B$16:$B$149,SMALL(IF($B$16:$B$149&lt;&gt;"",ROW($B$16:$B$149)-ROW($D$16)+1),ROWS(D$16:D141))))</f>
        <v/>
      </c>
      <c r="O141" s="22" t="str">
        <f>IFERROR(IF(ProgramForNewCourse=Spec[[#This Row],[PROGRAM]],Spec[[#This Row],[INRIKTNING]],""),"")</f>
        <v/>
      </c>
      <c r="P141" s="22">
        <f>ROWS('Program och examenskrav'!S153:Spec[[#Headers],[INRIKTNING]])</f>
        <v>126</v>
      </c>
      <c r="Q141" s="22" t="str">
        <f t="array" ref="Q141">IF(ROWS($Q$16:Q141)&gt;$P$11,"",INDEX($O$16:$O$149,SMALL(IF($O$16:$O$149&lt;&gt;"",ROW($O$16:$O$149)-ROW($Q$16)+1),ROWS(Q$16:Q141))))</f>
        <v/>
      </c>
    </row>
    <row r="142" spans="2:17" x14ac:dyDescent="0.3">
      <c r="B142" s="22" t="str">
        <f>IFERROR(IF(Program=Spec[[#This Row],[PROGRAM]],Spec[[#This Row],[INRIKTNING]],""),"")</f>
        <v/>
      </c>
      <c r="C142" s="22">
        <f>ROWS('Program och examenskrav'!F154:Spec[[#Headers],[INRIKTNING]])</f>
        <v>127</v>
      </c>
      <c r="D142" s="22" t="str">
        <f t="array" ref="D142">IF(ROWS($D$16:D142)&gt;$B$11,"",INDEX($B$16:$B$149,SMALL(IF($B$16:$B$149&lt;&gt;"",ROW($B$16:$B$149)-ROW($D$16)+1),ROWS(D$16:D142))))</f>
        <v/>
      </c>
      <c r="O142" s="22" t="str">
        <f>IFERROR(IF(ProgramForNewCourse=Spec[[#This Row],[PROGRAM]],Spec[[#This Row],[INRIKTNING]],""),"")</f>
        <v/>
      </c>
      <c r="P142" s="22">
        <f>ROWS('Program och examenskrav'!S154:Spec[[#Headers],[INRIKTNING]])</f>
        <v>127</v>
      </c>
      <c r="Q142" s="22" t="str">
        <f t="array" ref="Q142">IF(ROWS($Q$16:Q142)&gt;$P$11,"",INDEX($O$16:$O$149,SMALL(IF($O$16:$O$149&lt;&gt;"",ROW($O$16:$O$149)-ROW($Q$16)+1),ROWS(Q$16:Q142))))</f>
        <v/>
      </c>
    </row>
    <row r="143" spans="2:17" x14ac:dyDescent="0.3">
      <c r="B143" s="22" t="str">
        <f>IFERROR(IF(Program=Spec[[#This Row],[PROGRAM]],Spec[[#This Row],[INRIKTNING]],""),"")</f>
        <v/>
      </c>
      <c r="C143" s="22">
        <f>ROWS('Program och examenskrav'!F155:Spec[[#Headers],[INRIKTNING]])</f>
        <v>128</v>
      </c>
      <c r="D143" s="22" t="str">
        <f t="array" ref="D143">IF(ROWS($D$16:D143)&gt;$B$11,"",INDEX($B$16:$B$149,SMALL(IF($B$16:$B$149&lt;&gt;"",ROW($B$16:$B$149)-ROW($D$16)+1),ROWS(D$16:D143))))</f>
        <v/>
      </c>
      <c r="O143" s="22" t="str">
        <f>IFERROR(IF(ProgramForNewCourse=Spec[[#This Row],[PROGRAM]],Spec[[#This Row],[INRIKTNING]],""),"")</f>
        <v/>
      </c>
      <c r="P143" s="22">
        <f>ROWS('Program och examenskrav'!S155:Spec[[#Headers],[INRIKTNING]])</f>
        <v>128</v>
      </c>
      <c r="Q143" s="22" t="str">
        <f t="array" ref="Q143">IF(ROWS($Q$16:Q143)&gt;$P$11,"",INDEX($O$16:$O$149,SMALL(IF($O$16:$O$149&lt;&gt;"",ROW($O$16:$O$149)-ROW($Q$16)+1),ROWS(Q$16:Q143))))</f>
        <v/>
      </c>
    </row>
    <row r="144" spans="2:17" x14ac:dyDescent="0.3">
      <c r="B144" s="22" t="str">
        <f>IFERROR(IF(Program=Spec[[#This Row],[PROGRAM]],Spec[[#This Row],[INRIKTNING]],""),"")</f>
        <v/>
      </c>
      <c r="C144" s="22">
        <f>ROWS('Program och examenskrav'!F156:Spec[[#Headers],[INRIKTNING]])</f>
        <v>129</v>
      </c>
      <c r="D144" s="22" t="str">
        <f t="array" ref="D144">IF(ROWS($D$16:D144)&gt;$B$11,"",INDEX($B$16:$B$149,SMALL(IF($B$16:$B$149&lt;&gt;"",ROW($B$16:$B$149)-ROW($D$16)+1),ROWS(D$16:D144))))</f>
        <v/>
      </c>
      <c r="O144" s="22" t="str">
        <f>IFERROR(IF(ProgramForNewCourse=Spec[[#This Row],[PROGRAM]],Spec[[#This Row],[INRIKTNING]],""),"")</f>
        <v/>
      </c>
      <c r="P144" s="22">
        <f>ROWS('Program och examenskrav'!S156:Spec[[#Headers],[INRIKTNING]])</f>
        <v>129</v>
      </c>
      <c r="Q144" s="22" t="str">
        <f t="array" ref="Q144">IF(ROWS($Q$16:Q144)&gt;$P$11,"",INDEX($O$16:$O$149,SMALL(IF($O$16:$O$149&lt;&gt;"",ROW($O$16:$O$149)-ROW($Q$16)+1),ROWS(Q$16:Q144))))</f>
        <v/>
      </c>
    </row>
    <row r="145" spans="2:17" x14ac:dyDescent="0.3">
      <c r="B145" s="22" t="str">
        <f>IFERROR(IF(Program=Spec[[#This Row],[PROGRAM]],Spec[[#This Row],[INRIKTNING]],""),"")</f>
        <v/>
      </c>
      <c r="C145" s="22">
        <f>ROWS('Program och examenskrav'!F157:Spec[[#Headers],[INRIKTNING]])</f>
        <v>130</v>
      </c>
      <c r="D145" s="22" t="str">
        <f t="array" ref="D145">IF(ROWS($D$16:D145)&gt;$B$11,"",INDEX($B$16:$B$149,SMALL(IF($B$16:$B$149&lt;&gt;"",ROW($B$16:$B$149)-ROW($D$16)+1),ROWS(D$16:D145))))</f>
        <v/>
      </c>
      <c r="O145" s="22" t="str">
        <f>IFERROR(IF(ProgramForNewCourse=Spec[[#This Row],[PROGRAM]],Spec[[#This Row],[INRIKTNING]],""),"")</f>
        <v/>
      </c>
      <c r="P145" s="22">
        <f>ROWS('Program och examenskrav'!S157:Spec[[#Headers],[INRIKTNING]])</f>
        <v>130</v>
      </c>
      <c r="Q145" s="22" t="str">
        <f t="array" ref="Q145">IF(ROWS($Q$16:Q145)&gt;$P$11,"",INDEX($O$16:$O$149,SMALL(IF($O$16:$O$149&lt;&gt;"",ROW($O$16:$O$149)-ROW($Q$16)+1),ROWS(Q$16:Q145))))</f>
        <v/>
      </c>
    </row>
    <row r="146" spans="2:17" x14ac:dyDescent="0.3">
      <c r="B146" s="22" t="str">
        <f>IFERROR(IF(Program=Spec[[#This Row],[PROGRAM]],Spec[[#This Row],[INRIKTNING]],""),"")</f>
        <v/>
      </c>
      <c r="C146" s="22">
        <f>ROWS('Program och examenskrav'!F158:Spec[[#Headers],[INRIKTNING]])</f>
        <v>131</v>
      </c>
      <c r="D146" s="22" t="str">
        <f t="array" ref="D146">IF(ROWS($D$16:D146)&gt;$B$11,"",INDEX($B$16:$B$149,SMALL(IF($B$16:$B$149&lt;&gt;"",ROW($B$16:$B$149)-ROW($D$16)+1),ROWS(D$16:D146))))</f>
        <v/>
      </c>
      <c r="O146" s="22" t="str">
        <f>IFERROR(IF(ProgramForNewCourse=Spec[[#This Row],[PROGRAM]],Spec[[#This Row],[INRIKTNING]],""),"")</f>
        <v/>
      </c>
      <c r="P146" s="22">
        <f>ROWS('Program och examenskrav'!S158:Spec[[#Headers],[INRIKTNING]])</f>
        <v>131</v>
      </c>
      <c r="Q146" s="22" t="str">
        <f t="array" ref="Q146">IF(ROWS($Q$16:Q146)&gt;$P$11,"",INDEX($O$16:$O$149,SMALL(IF($O$16:$O$149&lt;&gt;"",ROW($O$16:$O$149)-ROW($Q$16)+1),ROWS(Q$16:Q146))))</f>
        <v/>
      </c>
    </row>
    <row r="147" spans="2:17" x14ac:dyDescent="0.3">
      <c r="B147" s="22" t="str">
        <f>IFERROR(IF(Program=Spec[[#This Row],[PROGRAM]],Spec[[#This Row],[INRIKTNING]],""),"")</f>
        <v/>
      </c>
      <c r="C147" s="22">
        <f>ROWS('Program och examenskrav'!F159:Spec[[#Headers],[INRIKTNING]])</f>
        <v>132</v>
      </c>
      <c r="D147" s="22" t="str">
        <f t="array" ref="D147">IF(ROWS($D$16:D147)&gt;$B$11,"",INDEX($B$16:$B$149,SMALL(IF($B$16:$B$149&lt;&gt;"",ROW($B$16:$B$149)-ROW($D$16)+1),ROWS(D$16:D147))))</f>
        <v/>
      </c>
      <c r="O147" s="22" t="str">
        <f>IFERROR(IF(ProgramForNewCourse=Spec[[#This Row],[PROGRAM]],Spec[[#This Row],[INRIKTNING]],""),"")</f>
        <v/>
      </c>
      <c r="P147" s="22">
        <f>ROWS('Program och examenskrav'!S159:Spec[[#Headers],[INRIKTNING]])</f>
        <v>132</v>
      </c>
      <c r="Q147" s="22" t="str">
        <f t="array" ref="Q147">IF(ROWS($Q$16:Q147)&gt;$P$11,"",INDEX($O$16:$O$149,SMALL(IF($O$16:$O$149&lt;&gt;"",ROW($O$16:$O$149)-ROW($Q$16)+1),ROWS(Q$16:Q147))))</f>
        <v/>
      </c>
    </row>
    <row r="148" spans="2:17" x14ac:dyDescent="0.3">
      <c r="B148" s="22" t="str">
        <f>IFERROR(IF(Program=Spec[[#This Row],[PROGRAM]],Spec[[#This Row],[INRIKTNING]],""),"")</f>
        <v/>
      </c>
      <c r="C148" s="22">
        <f>ROWS('Program och examenskrav'!F160:Spec[[#Headers],[INRIKTNING]])</f>
        <v>133</v>
      </c>
      <c r="D148" s="22" t="str">
        <f t="array" ref="D148">IF(ROWS($D$16:D148)&gt;$B$11,"",INDEX($B$16:$B$149,SMALL(IF($B$16:$B$149&lt;&gt;"",ROW($B$16:$B$149)-ROW($D$16)+1),ROWS(D$16:D148))))</f>
        <v/>
      </c>
      <c r="O148" s="22" t="str">
        <f>IFERROR(IF(ProgramForNewCourse=Spec[[#This Row],[PROGRAM]],Spec[[#This Row],[INRIKTNING]],""),"")</f>
        <v/>
      </c>
      <c r="P148" s="22">
        <f>ROWS('Program och examenskrav'!S160:Spec[[#Headers],[INRIKTNING]])</f>
        <v>133</v>
      </c>
      <c r="Q148" s="22" t="str">
        <f t="array" ref="Q148">IF(ROWS($Q$16:Q148)&gt;$P$11,"",INDEX($O$16:$O$149,SMALL(IF($O$16:$O$149&lt;&gt;"",ROW($O$16:$O$149)-ROW($Q$16)+1),ROWS(Q$16:Q148))))</f>
        <v/>
      </c>
    </row>
    <row r="149" spans="2:17" x14ac:dyDescent="0.3">
      <c r="B149" s="22" t="str">
        <f>IFERROR(IF(Program=Spec[[#This Row],[PROGRAM]],Spec[[#This Row],[INRIKTNING]],""),"")</f>
        <v/>
      </c>
      <c r="C149" s="22">
        <f>ROWS('Program och examenskrav'!F161:Spec[[#Headers],[INRIKTNING]])</f>
        <v>134</v>
      </c>
      <c r="D149" s="22" t="str">
        <f t="array" ref="D149">IF(ROWS($D$16:D149)&gt;$B$11,"",INDEX($B$16:$B$149,SMALL(IF($B$16:$B$149&lt;&gt;"",ROW($B$16:$B$149)-ROW($D$16)+1),ROWS(D$16:D149))))</f>
        <v/>
      </c>
      <c r="O149" s="22" t="str">
        <f>IFERROR(IF(ProgramForNewCourse=Spec[[#This Row],[PROGRAM]],Spec[[#This Row],[INRIKTNING]],""),"")</f>
        <v/>
      </c>
      <c r="P149" s="22">
        <f>ROWS('Program och examenskrav'!S161:Spec[[#Headers],[INRIKTNING]])</f>
        <v>134</v>
      </c>
      <c r="Q149" s="22" t="str">
        <f t="array" ref="Q149">IF(ROWS($Q$16:Q149)&gt;$P$11,"",INDEX($O$16:$O$149,SMALL(IF($O$16:$O$149&lt;&gt;"",ROW($O$16:$O$149)-ROW($Q$16)+1),ROWS(Q$16:Q149))))</f>
        <v/>
      </c>
    </row>
    <row r="150" spans="2:17" x14ac:dyDescent="0.3">
      <c r="B150" s="22" t="str">
        <f>IFERROR(IF(Program=Spec[[#This Row],[PROGRAM]],Spec[[#This Row],[INRIKTNING]],""),"")</f>
        <v/>
      </c>
      <c r="C150" s="22">
        <f>ROWS('Program och examenskrav'!F162:Spec[[#Headers],[INRIKTNING]])</f>
        <v>135</v>
      </c>
      <c r="D150" s="22" t="str">
        <f t="array" ref="D150">IF(ROWS($D$16:D150)&gt;$B$11,"",INDEX($B$16:$B$149,SMALL(IF($B$16:$B$149&lt;&gt;"",ROW($B$16:$B$149)-ROW($D$16)+1),ROWS(D$16:D150))))</f>
        <v/>
      </c>
      <c r="O150" s="22" t="str">
        <f>IFERROR(IF(ProgramForNewCourse=Spec[[#This Row],[PROGRAM]],Spec[[#This Row],[INRIKTNING]],""),"")</f>
        <v/>
      </c>
      <c r="P150" s="22">
        <f>ROWS('Program och examenskrav'!S162:Spec[[#Headers],[INRIKTNING]])</f>
        <v>135</v>
      </c>
      <c r="Q150" s="22" t="str">
        <f t="array" ref="Q150">IF(ROWS($Q$16:Q150)&gt;$P$11,"",INDEX($O$16:$O$149,SMALL(IF($O$16:$O$149&lt;&gt;"",ROW($O$16:$O$149)-ROW($Q$16)+1),ROWS(Q$16:Q150))))</f>
        <v/>
      </c>
    </row>
    <row r="151" spans="2:17" x14ac:dyDescent="0.3">
      <c r="B151" s="22" t="str">
        <f>IFERROR(IF(Program=Spec[[#This Row],[PROGRAM]],Spec[[#This Row],[INRIKTNING]],""),"")</f>
        <v/>
      </c>
      <c r="C151" s="22">
        <f>ROWS('Program och examenskrav'!F163:Spec[[#Headers],[INRIKTNING]])</f>
        <v>136</v>
      </c>
      <c r="D151" s="22" t="str">
        <f t="array" ref="D151">IF(ROWS($D$16:D151)&gt;$B$11,"",INDEX($B$16:$B$149,SMALL(IF($B$16:$B$149&lt;&gt;"",ROW($B$16:$B$149)-ROW($D$16)+1),ROWS(D$16:D151))))</f>
        <v/>
      </c>
      <c r="O151" s="22" t="str">
        <f>IFERROR(IF(ProgramForNewCourse=Spec[[#This Row],[PROGRAM]],Spec[[#This Row],[INRIKTNING]],""),"")</f>
        <v/>
      </c>
      <c r="P151" s="22">
        <f>ROWS('Program och examenskrav'!S163:Spec[[#Headers],[INRIKTNING]])</f>
        <v>136</v>
      </c>
      <c r="Q151" s="22" t="str">
        <f t="array" ref="Q151">IF(ROWS($Q$16:Q151)&gt;$P$11,"",INDEX($O$16:$O$149,SMALL(IF($O$16:$O$149&lt;&gt;"",ROW($O$16:$O$149)-ROW($Q$16)+1),ROWS(Q$16:Q151))))</f>
        <v/>
      </c>
    </row>
    <row r="152" spans="2:17" x14ac:dyDescent="0.3">
      <c r="B152" s="22" t="str">
        <f>IFERROR(IF(Program=Spec[[#This Row],[PROGRAM]],Spec[[#This Row],[INRIKTNING]],""),"")</f>
        <v/>
      </c>
      <c r="C152" s="22">
        <f>ROWS('Program och examenskrav'!F164:Spec[[#Headers],[INRIKTNING]])</f>
        <v>137</v>
      </c>
      <c r="D152" s="22" t="str">
        <f t="array" ref="D152">IF(ROWS($D$16:D152)&gt;$B$11,"",INDEX($B$16:$B$149,SMALL(IF($B$16:$B$149&lt;&gt;"",ROW($B$16:$B$149)-ROW($D$16)+1),ROWS(D$16:D152))))</f>
        <v/>
      </c>
      <c r="O152" s="22" t="str">
        <f>IFERROR(IF(ProgramForNewCourse=Spec[[#This Row],[PROGRAM]],Spec[[#This Row],[INRIKTNING]],""),"")</f>
        <v/>
      </c>
      <c r="P152" s="22">
        <f>ROWS('Program och examenskrav'!S164:Spec[[#Headers],[INRIKTNING]])</f>
        <v>137</v>
      </c>
      <c r="Q152" s="22" t="str">
        <f t="array" ref="Q152">IF(ROWS($Q$16:Q152)&gt;$P$11,"",INDEX($O$16:$O$149,SMALL(IF($O$16:$O$149&lt;&gt;"",ROW($O$16:$O$149)-ROW($Q$16)+1),ROWS(Q$16:Q152))))</f>
        <v/>
      </c>
    </row>
    <row r="153" spans="2:17" x14ac:dyDescent="0.3">
      <c r="B153" s="22" t="str">
        <f>IFERROR(IF(Program=Spec[[#This Row],[PROGRAM]],Spec[[#This Row],[INRIKTNING]],""),"")</f>
        <v/>
      </c>
      <c r="C153" s="22">
        <f>ROWS('Program och examenskrav'!F165:Spec[[#Headers],[INRIKTNING]])</f>
        <v>138</v>
      </c>
      <c r="D153" s="22" t="str">
        <f t="array" ref="D153">IF(ROWS($D$16:D153)&gt;$B$11,"",INDEX($B$16:$B$149,SMALL(IF($B$16:$B$149&lt;&gt;"",ROW($B$16:$B$149)-ROW($D$16)+1),ROWS(D$16:D153))))</f>
        <v/>
      </c>
      <c r="O153" s="22" t="str">
        <f>IFERROR(IF(ProgramForNewCourse=Spec[[#This Row],[PROGRAM]],Spec[[#This Row],[INRIKTNING]],""),"")</f>
        <v/>
      </c>
      <c r="P153" s="22">
        <f>ROWS('Program och examenskrav'!S165:Spec[[#Headers],[INRIKTNING]])</f>
        <v>138</v>
      </c>
      <c r="Q153" s="22" t="str">
        <f t="array" ref="Q153">IF(ROWS($Q$16:Q153)&gt;$P$11,"",INDEX($O$16:$O$149,SMALL(IF($O$16:$O$149&lt;&gt;"",ROW($O$16:$O$149)-ROW($Q$16)+1),ROWS(Q$16:Q153))))</f>
        <v/>
      </c>
    </row>
    <row r="154" spans="2:17" x14ac:dyDescent="0.3">
      <c r="B154" s="22" t="str">
        <f>IFERROR(IF(Program=Spec[[#This Row],[PROGRAM]],Spec[[#This Row],[INRIKTNING]],""),"")</f>
        <v/>
      </c>
      <c r="C154" s="22">
        <f>ROWS('Program och examenskrav'!F166:Spec[[#Headers],[INRIKTNING]])</f>
        <v>139</v>
      </c>
      <c r="D154" s="22" t="str">
        <f t="array" ref="D154">IF(ROWS($D$16:D154)&gt;$B$11,"",INDEX($B$16:$B$149,SMALL(IF($B$16:$B$149&lt;&gt;"",ROW($B$16:$B$149)-ROW($D$16)+1),ROWS(D$16:D154))))</f>
        <v/>
      </c>
      <c r="O154" s="22" t="str">
        <f>IFERROR(IF(ProgramForNewCourse=Spec[[#This Row],[PROGRAM]],Spec[[#This Row],[INRIKTNING]],""),"")</f>
        <v/>
      </c>
      <c r="P154" s="22">
        <f>ROWS('Program och examenskrav'!S166:Spec[[#Headers],[INRIKTNING]])</f>
        <v>139</v>
      </c>
      <c r="Q154" s="22" t="str">
        <f t="array" ref="Q154">IF(ROWS($Q$16:Q154)&gt;$P$11,"",INDEX($O$16:$O$149,SMALL(IF($O$16:$O$149&lt;&gt;"",ROW($O$16:$O$149)-ROW($Q$16)+1),ROWS(Q$16:Q154))))</f>
        <v/>
      </c>
    </row>
    <row r="155" spans="2:17" x14ac:dyDescent="0.3">
      <c r="B155" s="22" t="str">
        <f>IFERROR(IF(Program=Spec[[#This Row],[PROGRAM]],Spec[[#This Row],[INRIKTNING]],""),"")</f>
        <v/>
      </c>
      <c r="C155" s="22">
        <f>ROWS('Program och examenskrav'!F167:Spec[[#Headers],[INRIKTNING]])</f>
        <v>140</v>
      </c>
      <c r="D155" s="22" t="str">
        <f t="array" ref="D155">IF(ROWS($D$16:D155)&gt;$B$11,"",INDEX($B$16:$B$149,SMALL(IF($B$16:$B$149&lt;&gt;"",ROW($B$16:$B$149)-ROW($D$16)+1),ROWS(D$16:D155))))</f>
        <v/>
      </c>
      <c r="O155" s="22" t="str">
        <f>IFERROR(IF(ProgramForNewCourse=Spec[[#This Row],[PROGRAM]],Spec[[#This Row],[INRIKTNING]],""),"")</f>
        <v/>
      </c>
      <c r="P155" s="22">
        <f>ROWS('Program och examenskrav'!S167:Spec[[#Headers],[INRIKTNING]])</f>
        <v>140</v>
      </c>
      <c r="Q155" s="22" t="str">
        <f t="array" ref="Q155">IF(ROWS($Q$16:Q155)&gt;$P$11,"",INDEX($O$16:$O$149,SMALL(IF($O$16:$O$149&lt;&gt;"",ROW($O$16:$O$149)-ROW($Q$16)+1),ROWS(Q$16:Q155))))</f>
        <v/>
      </c>
    </row>
    <row r="156" spans="2:17" x14ac:dyDescent="0.3">
      <c r="B156" s="22" t="str">
        <f>IFERROR(IF(Program=Spec[[#This Row],[PROGRAM]],Spec[[#This Row],[INRIKTNING]],""),"")</f>
        <v/>
      </c>
      <c r="C156" s="22">
        <f>ROWS('Program och examenskrav'!F168:Spec[[#Headers],[INRIKTNING]])</f>
        <v>141</v>
      </c>
      <c r="D156" s="22" t="str">
        <f t="array" ref="D156">IF(ROWS($D$16:D156)&gt;$B$11,"",INDEX($B$16:$B$149,SMALL(IF($B$16:$B$149&lt;&gt;"",ROW($B$16:$B$149)-ROW($D$16)+1),ROWS(D$16:D156))))</f>
        <v/>
      </c>
      <c r="O156" s="22" t="str">
        <f>IFERROR(IF(ProgramForNewCourse=Spec[[#This Row],[PROGRAM]],Spec[[#This Row],[INRIKTNING]],""),"")</f>
        <v/>
      </c>
      <c r="P156" s="22">
        <f>ROWS('Program och examenskrav'!S168:Spec[[#Headers],[INRIKTNING]])</f>
        <v>141</v>
      </c>
      <c r="Q156" s="22" t="str">
        <f t="array" ref="Q156">IF(ROWS($Q$16:Q156)&gt;$P$11,"",INDEX($O$16:$O$149,SMALL(IF($O$16:$O$149&lt;&gt;"",ROW($O$16:$O$149)-ROW($Q$16)+1),ROWS(Q$16:Q156))))</f>
        <v/>
      </c>
    </row>
    <row r="157" spans="2:17" x14ac:dyDescent="0.3">
      <c r="B157" s="22" t="str">
        <f>IFERROR(IF(Program=Spec[[#This Row],[PROGRAM]],Spec[[#This Row],[INRIKTNING]],""),"")</f>
        <v/>
      </c>
      <c r="C157" s="22">
        <f>ROWS('Program och examenskrav'!F169:Spec[[#Headers],[INRIKTNING]])</f>
        <v>142</v>
      </c>
      <c r="D157" s="22" t="str">
        <f t="array" ref="D157">IF(ROWS($D$16:D157)&gt;$B$11,"",INDEX($B$16:$B$149,SMALL(IF($B$16:$B$149&lt;&gt;"",ROW($B$16:$B$149)-ROW($D$16)+1),ROWS(D$16:D157))))</f>
        <v/>
      </c>
      <c r="O157" s="22" t="str">
        <f>IFERROR(IF(ProgramForNewCourse=Spec[[#This Row],[PROGRAM]],Spec[[#This Row],[INRIKTNING]],""),"")</f>
        <v/>
      </c>
      <c r="P157" s="22">
        <f>ROWS('Program och examenskrav'!S169:Spec[[#Headers],[INRIKTNING]])</f>
        <v>142</v>
      </c>
      <c r="Q157" s="22" t="str">
        <f t="array" ref="Q157">IF(ROWS($Q$16:Q157)&gt;$P$11,"",INDEX($O$16:$O$149,SMALL(IF($O$16:$O$149&lt;&gt;"",ROW($O$16:$O$149)-ROW($Q$16)+1),ROWS(Q$16:Q157))))</f>
        <v/>
      </c>
    </row>
    <row r="158" spans="2:17" x14ac:dyDescent="0.3">
      <c r="B158" s="22" t="str">
        <f>IFERROR(IF(Program=Spec[[#This Row],[PROGRAM]],Spec[[#This Row],[INRIKTNING]],""),"")</f>
        <v/>
      </c>
      <c r="C158" s="22">
        <f>ROWS('Program och examenskrav'!F170:Spec[[#Headers],[INRIKTNING]])</f>
        <v>143</v>
      </c>
      <c r="D158" s="22" t="str">
        <f t="array" ref="D158">IF(ROWS($D$16:D158)&gt;$B$11,"",INDEX($B$16:$B$149,SMALL(IF($B$16:$B$149&lt;&gt;"",ROW($B$16:$B$149)-ROW($D$16)+1),ROWS(D$16:D158))))</f>
        <v/>
      </c>
      <c r="O158" s="22" t="str">
        <f>IFERROR(IF(ProgramForNewCourse=Spec[[#This Row],[PROGRAM]],Spec[[#This Row],[INRIKTNING]],""),"")</f>
        <v/>
      </c>
      <c r="P158" s="22">
        <f>ROWS('Program och examenskrav'!S170:Spec[[#Headers],[INRIKTNING]])</f>
        <v>143</v>
      </c>
      <c r="Q158" s="22" t="str">
        <f t="array" ref="Q158">IF(ROWS($Q$16:Q158)&gt;$P$11,"",INDEX($O$16:$O$149,SMALL(IF($O$16:$O$149&lt;&gt;"",ROW($O$16:$O$149)-ROW($Q$16)+1),ROWS(Q$16:Q158))))</f>
        <v/>
      </c>
    </row>
    <row r="159" spans="2:17" x14ac:dyDescent="0.3">
      <c r="B159" s="22" t="str">
        <f>IFERROR(IF(Program=Spec[[#This Row],[PROGRAM]],Spec[[#This Row],[INRIKTNING]],""),"")</f>
        <v/>
      </c>
      <c r="C159" s="22">
        <f>ROWS('Program och examenskrav'!F171:Spec[[#Headers],[INRIKTNING]])</f>
        <v>144</v>
      </c>
      <c r="D159" s="22" t="str">
        <f t="array" ref="D159">IF(ROWS($D$16:D159)&gt;$B$11,"",INDEX($B$16:$B$149,SMALL(IF($B$16:$B$149&lt;&gt;"",ROW($B$16:$B$149)-ROW($D$16)+1),ROWS(D$16:D159))))</f>
        <v/>
      </c>
      <c r="O159" s="22" t="str">
        <f>IFERROR(IF(ProgramForNewCourse=Spec[[#This Row],[PROGRAM]],Spec[[#This Row],[INRIKTNING]],""),"")</f>
        <v/>
      </c>
      <c r="P159" s="22">
        <f>ROWS('Program och examenskrav'!S171:Spec[[#Headers],[INRIKTNING]])</f>
        <v>144</v>
      </c>
      <c r="Q159" s="22" t="str">
        <f t="array" ref="Q159">IF(ROWS($Q$16:Q159)&gt;$P$11,"",INDEX($O$16:$O$149,SMALL(IF($O$16:$O$149&lt;&gt;"",ROW($O$16:$O$149)-ROW($Q$16)+1),ROWS(Q$16:Q159))))</f>
        <v/>
      </c>
    </row>
    <row r="160" spans="2:17" x14ac:dyDescent="0.3">
      <c r="B160" s="22" t="str">
        <f>IFERROR(IF(Program=Spec[[#This Row],[PROGRAM]],Spec[[#This Row],[INRIKTNING]],""),"")</f>
        <v/>
      </c>
      <c r="C160" s="22">
        <f>ROWS('Program och examenskrav'!F172:Spec[[#Headers],[INRIKTNING]])</f>
        <v>145</v>
      </c>
      <c r="D160" s="22" t="str">
        <f t="array" ref="D160">IF(ROWS($D$16:D160)&gt;$B$11,"",INDEX($B$16:$B$149,SMALL(IF($B$16:$B$149&lt;&gt;"",ROW($B$16:$B$149)-ROW($D$16)+1),ROWS(D$16:D160))))</f>
        <v/>
      </c>
      <c r="O160" s="22" t="str">
        <f>IFERROR(IF(ProgramForNewCourse=Spec[[#This Row],[PROGRAM]],Spec[[#This Row],[INRIKTNING]],""),"")</f>
        <v/>
      </c>
      <c r="P160" s="22">
        <f>ROWS('Program och examenskrav'!S172:Spec[[#Headers],[INRIKTNING]])</f>
        <v>145</v>
      </c>
      <c r="Q160" s="22" t="str">
        <f t="array" ref="Q160">IF(ROWS($Q$16:Q160)&gt;$P$11,"",INDEX($O$16:$O$149,SMALL(IF($O$16:$O$149&lt;&gt;"",ROW($O$16:$O$149)-ROW($Q$16)+1),ROWS(Q$16:Q160))))</f>
        <v/>
      </c>
    </row>
    <row r="161" spans="2:17" x14ac:dyDescent="0.3">
      <c r="B161" s="22" t="str">
        <f>IFERROR(IF(Program=Spec[[#This Row],[PROGRAM]],Spec[[#This Row],[INRIKTNING]],""),"")</f>
        <v/>
      </c>
      <c r="C161" s="22">
        <f>ROWS('Program och examenskrav'!F173:Spec[[#Headers],[INRIKTNING]])</f>
        <v>146</v>
      </c>
      <c r="D161" s="22" t="str">
        <f t="array" ref="D161">IF(ROWS($D$16:D161)&gt;$B$11,"",INDEX($B$16:$B$149,SMALL(IF($B$16:$B$149&lt;&gt;"",ROW($B$16:$B$149)-ROW($D$16)+1),ROWS(D$16:D161))))</f>
        <v/>
      </c>
      <c r="O161" s="22" t="str">
        <f>IFERROR(IF(ProgramForNewCourse=Spec[[#This Row],[PROGRAM]],Spec[[#This Row],[INRIKTNING]],""),"")</f>
        <v/>
      </c>
      <c r="P161" s="22">
        <f>ROWS('Program och examenskrav'!S173:Spec[[#Headers],[INRIKTNING]])</f>
        <v>146</v>
      </c>
      <c r="Q161" s="22" t="str">
        <f t="array" ref="Q161">IF(ROWS($Q$16:Q161)&gt;$P$11,"",INDEX($O$16:$O$149,SMALL(IF($O$16:$O$149&lt;&gt;"",ROW($O$16:$O$149)-ROW($Q$16)+1),ROWS(Q$16:Q161))))</f>
        <v/>
      </c>
    </row>
    <row r="162" spans="2:17" x14ac:dyDescent="0.3">
      <c r="B162" s="22" t="str">
        <f>IFERROR(IF(Program=Spec[[#This Row],[PROGRAM]],Spec[[#This Row],[INRIKTNING]],""),"")</f>
        <v/>
      </c>
      <c r="C162" s="22">
        <f>ROWS('Program och examenskrav'!F174:Spec[[#Headers],[INRIKTNING]])</f>
        <v>147</v>
      </c>
      <c r="D162" s="22" t="str">
        <f t="array" ref="D162">IF(ROWS($D$16:D162)&gt;$B$11,"",INDEX($B$16:$B$149,SMALL(IF($B$16:$B$149&lt;&gt;"",ROW($B$16:$B$149)-ROW($D$16)+1),ROWS(D$16:D162))))</f>
        <v/>
      </c>
      <c r="O162" s="22" t="str">
        <f>IFERROR(IF(ProgramForNewCourse=Spec[[#This Row],[PROGRAM]],Spec[[#This Row],[INRIKTNING]],""),"")</f>
        <v/>
      </c>
      <c r="P162" s="22">
        <f>ROWS('Program och examenskrav'!S174:Spec[[#Headers],[INRIKTNING]])</f>
        <v>147</v>
      </c>
      <c r="Q162" s="22" t="str">
        <f t="array" ref="Q162">IF(ROWS($Q$16:Q162)&gt;$P$11,"",INDEX($O$16:$O$149,SMALL(IF($O$16:$O$149&lt;&gt;"",ROW($O$16:$O$149)-ROW($Q$16)+1),ROWS(Q$16:Q162))))</f>
        <v/>
      </c>
    </row>
    <row r="163" spans="2:17" x14ac:dyDescent="0.3">
      <c r="B163" s="22" t="str">
        <f>IFERROR(IF(Program=Spec[[#This Row],[PROGRAM]],Spec[[#This Row],[INRIKTNING]],""),"")</f>
        <v/>
      </c>
      <c r="C163" s="22">
        <f>ROWS('Program och examenskrav'!F175:Spec[[#Headers],[INRIKTNING]])</f>
        <v>148</v>
      </c>
      <c r="D163" s="22" t="str">
        <f t="array" ref="D163">IF(ROWS($D$16:D163)&gt;$B$11,"",INDEX($B$16:$B$149,SMALL(IF($B$16:$B$149&lt;&gt;"",ROW($B$16:$B$149)-ROW($D$16)+1),ROWS(D$16:D163))))</f>
        <v/>
      </c>
      <c r="O163" s="22" t="str">
        <f>IFERROR(IF(ProgramForNewCourse=Spec[[#This Row],[PROGRAM]],Spec[[#This Row],[INRIKTNING]],""),"")</f>
        <v/>
      </c>
      <c r="P163" s="22">
        <f>ROWS('Program och examenskrav'!S175:Spec[[#Headers],[INRIKTNING]])</f>
        <v>148</v>
      </c>
      <c r="Q163" s="22" t="str">
        <f t="array" ref="Q163">IF(ROWS($Q$16:Q163)&gt;$P$11,"",INDEX($O$16:$O$149,SMALL(IF($O$16:$O$149&lt;&gt;"",ROW($O$16:$O$149)-ROW($Q$16)+1),ROWS(Q$16:Q163))))</f>
        <v/>
      </c>
    </row>
    <row r="164" spans="2:17" x14ac:dyDescent="0.3">
      <c r="B164" s="22" t="str">
        <f>IFERROR(IF(Program=Spec[[#This Row],[PROGRAM]],Spec[[#This Row],[INRIKTNING]],""),"")</f>
        <v/>
      </c>
      <c r="C164" s="22">
        <f>ROWS('Program och examenskrav'!F176:Spec[[#Headers],[INRIKTNING]])</f>
        <v>149</v>
      </c>
      <c r="D164" s="22" t="str">
        <f t="array" ref="D164">IF(ROWS($D$16:D164)&gt;$B$11,"",INDEX($B$16:$B$149,SMALL(IF($B$16:$B$149&lt;&gt;"",ROW($B$16:$B$149)-ROW($D$16)+1),ROWS(D$16:D164))))</f>
        <v/>
      </c>
      <c r="O164" s="22" t="str">
        <f>IFERROR(IF(ProgramForNewCourse=Spec[[#This Row],[PROGRAM]],Spec[[#This Row],[INRIKTNING]],""),"")</f>
        <v/>
      </c>
      <c r="P164" s="22">
        <f>ROWS('Program och examenskrav'!S176:Spec[[#Headers],[INRIKTNING]])</f>
        <v>149</v>
      </c>
      <c r="Q164" s="22" t="str">
        <f t="array" ref="Q164">IF(ROWS($Q$16:Q164)&gt;$P$11,"",INDEX($O$16:$O$149,SMALL(IF($O$16:$O$149&lt;&gt;"",ROW($O$16:$O$149)-ROW($Q$16)+1),ROWS(Q$16:Q164))))</f>
        <v/>
      </c>
    </row>
    <row r="165" spans="2:17" x14ac:dyDescent="0.3">
      <c r="B165" s="22" t="str">
        <f>IFERROR(IF(Program=Spec[[#This Row],[PROGRAM]],Spec[[#This Row],[INRIKTNING]],""),"")</f>
        <v/>
      </c>
      <c r="C165" s="22">
        <f>ROWS('Program och examenskrav'!F177:Spec[[#Headers],[INRIKTNING]])</f>
        <v>150</v>
      </c>
      <c r="D165" s="22" t="str">
        <f t="array" ref="D165">IF(ROWS($D$16:D165)&gt;$B$11,"",INDEX($B$16:$B$149,SMALL(IF($B$16:$B$149&lt;&gt;"",ROW($B$16:$B$149)-ROW($D$16)+1),ROWS(D$16:D165))))</f>
        <v/>
      </c>
      <c r="O165" s="22" t="str">
        <f>IFERROR(IF(ProgramForNewCourse=Spec[[#This Row],[PROGRAM]],Spec[[#This Row],[INRIKTNING]],""),"")</f>
        <v/>
      </c>
      <c r="P165" s="22">
        <f>ROWS('Program och examenskrav'!S177:Spec[[#Headers],[INRIKTNING]])</f>
        <v>150</v>
      </c>
      <c r="Q165" s="22" t="str">
        <f t="array" ref="Q165">IF(ROWS($Q$16:Q165)&gt;$P$11,"",INDEX($O$16:$O$149,SMALL(IF($O$16:$O$149&lt;&gt;"",ROW($O$16:$O$149)-ROW($Q$16)+1),ROWS(Q$16:Q165))))</f>
        <v/>
      </c>
    </row>
    <row r="166" spans="2:17" x14ac:dyDescent="0.3">
      <c r="B166" s="22" t="str">
        <f>IFERROR(IF(Program=Spec[[#This Row],[PROGRAM]],Spec[[#This Row],[INRIKTNING]],""),"")</f>
        <v/>
      </c>
      <c r="C166" s="22">
        <f>ROWS('Program och examenskrav'!F178:Spec[[#Headers],[INRIKTNING]])</f>
        <v>151</v>
      </c>
      <c r="D166" s="22" t="str">
        <f t="array" ref="D166">IF(ROWS($D$16:D166)&gt;$B$11,"",INDEX($B$16:$B$149,SMALL(IF($B$16:$B$149&lt;&gt;"",ROW($B$16:$B$149)-ROW($D$16)+1),ROWS(D$16:D166))))</f>
        <v/>
      </c>
      <c r="O166" s="22" t="str">
        <f>IFERROR(IF(ProgramForNewCourse=Spec[[#This Row],[PROGRAM]],Spec[[#This Row],[INRIKTNING]],""),"")</f>
        <v/>
      </c>
      <c r="P166" s="22">
        <f>ROWS('Program och examenskrav'!S178:Spec[[#Headers],[INRIKTNING]])</f>
        <v>151</v>
      </c>
      <c r="Q166" s="22" t="str">
        <f t="array" ref="Q166">IF(ROWS($Q$16:Q166)&gt;$P$11,"",INDEX($O$16:$O$149,SMALL(IF($O$16:$O$149&lt;&gt;"",ROW($O$16:$O$149)-ROW($Q$16)+1),ROWS(Q$16:Q166))))</f>
        <v/>
      </c>
    </row>
    <row r="167" spans="2:17" x14ac:dyDescent="0.3">
      <c r="B167" s="22" t="str">
        <f>IFERROR(IF(Program=Spec[[#This Row],[PROGRAM]],Spec[[#This Row],[INRIKTNING]],""),"")</f>
        <v/>
      </c>
      <c r="C167" s="22">
        <f>ROWS('Program och examenskrav'!F179:Spec[[#Headers],[INRIKTNING]])</f>
        <v>152</v>
      </c>
      <c r="D167" s="22" t="str">
        <f t="array" ref="D167">IF(ROWS($D$16:D167)&gt;$B$11,"",INDEX($B$16:$B$149,SMALL(IF($B$16:$B$149&lt;&gt;"",ROW($B$16:$B$149)-ROW($D$16)+1),ROWS(D$16:D167))))</f>
        <v/>
      </c>
      <c r="O167" s="22" t="str">
        <f>IFERROR(IF(ProgramForNewCourse=Spec[[#This Row],[PROGRAM]],Spec[[#This Row],[INRIKTNING]],""),"")</f>
        <v/>
      </c>
      <c r="P167" s="22">
        <f>ROWS('Program och examenskrav'!S179:Spec[[#Headers],[INRIKTNING]])</f>
        <v>152</v>
      </c>
      <c r="Q167" s="22" t="str">
        <f t="array" ref="Q167">IF(ROWS($Q$16:Q167)&gt;$P$11,"",INDEX($O$16:$O$149,SMALL(IF($O$16:$O$149&lt;&gt;"",ROW($O$16:$O$149)-ROW($Q$16)+1),ROWS(Q$16:Q167))))</f>
        <v/>
      </c>
    </row>
    <row r="168" spans="2:17" x14ac:dyDescent="0.3">
      <c r="B168" s="22" t="str">
        <f>IFERROR(IF(Program=Spec[[#This Row],[PROGRAM]],Spec[[#This Row],[INRIKTNING]],""),"")</f>
        <v/>
      </c>
      <c r="C168" s="22">
        <f>ROWS('Program och examenskrav'!F180:Spec[[#Headers],[INRIKTNING]])</f>
        <v>153</v>
      </c>
      <c r="D168" s="22" t="str">
        <f t="array" ref="D168">IF(ROWS($D$16:D168)&gt;$B$11,"",INDEX($B$16:$B$149,SMALL(IF($B$16:$B$149&lt;&gt;"",ROW($B$16:$B$149)-ROW($D$16)+1),ROWS(D$16:D168))))</f>
        <v/>
      </c>
      <c r="O168" s="22" t="str">
        <f>IFERROR(IF(ProgramForNewCourse=Spec[[#This Row],[PROGRAM]],Spec[[#This Row],[INRIKTNING]],""),"")</f>
        <v/>
      </c>
      <c r="P168" s="22">
        <f>ROWS('Program och examenskrav'!S180:Spec[[#Headers],[INRIKTNING]])</f>
        <v>153</v>
      </c>
      <c r="Q168" s="22" t="str">
        <f t="array" ref="Q168">IF(ROWS($Q$16:Q168)&gt;$P$11,"",INDEX($O$16:$O$149,SMALL(IF($O$16:$O$149&lt;&gt;"",ROW($O$16:$O$149)-ROW($Q$16)+1),ROWS(Q$16:Q168))))</f>
        <v/>
      </c>
    </row>
    <row r="169" spans="2:17" x14ac:dyDescent="0.3">
      <c r="B169" s="22" t="str">
        <f>IFERROR(IF(Program=Spec[[#This Row],[PROGRAM]],Spec[[#This Row],[INRIKTNING]],""),"")</f>
        <v/>
      </c>
      <c r="C169" s="22">
        <f>ROWS('Program och examenskrav'!F181:Spec[[#Headers],[INRIKTNING]])</f>
        <v>154</v>
      </c>
      <c r="D169" s="22" t="str">
        <f t="array" ref="D169">IF(ROWS($D$16:D169)&gt;$B$11,"",INDEX($B$16:$B$149,SMALL(IF($B$16:$B$149&lt;&gt;"",ROW($B$16:$B$149)-ROW($D$16)+1),ROWS(D$16:D169))))</f>
        <v/>
      </c>
      <c r="O169" s="22" t="str">
        <f>IFERROR(IF(ProgramForNewCourse=Spec[[#This Row],[PROGRAM]],Spec[[#This Row],[INRIKTNING]],""),"")</f>
        <v/>
      </c>
      <c r="P169" s="22">
        <f>ROWS('Program och examenskrav'!S181:Spec[[#Headers],[INRIKTNING]])</f>
        <v>154</v>
      </c>
      <c r="Q169" s="22" t="str">
        <f t="array" ref="Q169">IF(ROWS($Q$16:Q169)&gt;$P$11,"",INDEX($O$16:$O$149,SMALL(IF($O$16:$O$149&lt;&gt;"",ROW($O$16:$O$149)-ROW($Q$16)+1),ROWS(Q$16:Q169))))</f>
        <v/>
      </c>
    </row>
    <row r="170" spans="2:17" x14ac:dyDescent="0.3">
      <c r="B170" s="22" t="str">
        <f>IFERROR(IF(Program=Spec[[#This Row],[PROGRAM]],Spec[[#This Row],[INRIKTNING]],""),"")</f>
        <v/>
      </c>
      <c r="C170" s="22">
        <f>ROWS('Program och examenskrav'!F182:Spec[[#Headers],[INRIKTNING]])</f>
        <v>155</v>
      </c>
      <c r="D170" s="22" t="str">
        <f t="array" ref="D170">IF(ROWS($D$16:D170)&gt;$B$11,"",INDEX($B$16:$B$149,SMALL(IF($B$16:$B$149&lt;&gt;"",ROW($B$16:$B$149)-ROW($D$16)+1),ROWS(D$16:D170))))</f>
        <v/>
      </c>
      <c r="O170" s="22" t="str">
        <f>IFERROR(IF(ProgramForNewCourse=Spec[[#This Row],[PROGRAM]],Spec[[#This Row],[INRIKTNING]],""),"")</f>
        <v/>
      </c>
      <c r="P170" s="22">
        <f>ROWS('Program och examenskrav'!S182:Spec[[#Headers],[INRIKTNING]])</f>
        <v>155</v>
      </c>
      <c r="Q170" s="22" t="str">
        <f t="array" ref="Q170">IF(ROWS($Q$16:Q170)&gt;$P$11,"",INDEX($O$16:$O$149,SMALL(IF($O$16:$O$149&lt;&gt;"",ROW($O$16:$O$149)-ROW($Q$16)+1),ROWS(Q$16:Q170))))</f>
        <v/>
      </c>
    </row>
    <row r="171" spans="2:17" x14ac:dyDescent="0.3">
      <c r="B171" s="22" t="str">
        <f>IFERROR(IF(Program=Spec[[#This Row],[PROGRAM]],Spec[[#This Row],[INRIKTNING]],""),"")</f>
        <v/>
      </c>
      <c r="C171" s="22">
        <f>ROWS('Program och examenskrav'!F183:Spec[[#Headers],[INRIKTNING]])</f>
        <v>156</v>
      </c>
      <c r="D171" s="22" t="str">
        <f t="array" ref="D171">IF(ROWS($D$16:D171)&gt;$B$11,"",INDEX($B$16:$B$149,SMALL(IF($B$16:$B$149&lt;&gt;"",ROW($B$16:$B$149)-ROW($D$16)+1),ROWS(D$16:D171))))</f>
        <v/>
      </c>
      <c r="N171" s="22" t="s">
        <v>2039</v>
      </c>
      <c r="O171" s="22" t="str">
        <f>IFERROR(IF(ProgramForNewCourse=Spec[[#This Row],[PROGRAM]],Spec[[#This Row],[INRIKTNING]],""),"")</f>
        <v/>
      </c>
      <c r="P171" s="22">
        <f>ROWS('Program och examenskrav'!S183:Spec[[#Headers],[INRIKTNING]])</f>
        <v>156</v>
      </c>
      <c r="Q171" s="22" t="str">
        <f t="array" ref="Q171">IF(ROWS($Q$16:Q171)&gt;$P$11,"",INDEX($O$16:$O$149,SMALL(IF($O$16:$O$149&lt;&gt;"",ROW($O$16:$O$149)-ROW($Q$16)+1),ROWS(Q$16:Q171))))</f>
        <v/>
      </c>
    </row>
    <row r="172" spans="2:17" x14ac:dyDescent="0.3">
      <c r="B172" s="22" t="s">
        <v>45</v>
      </c>
      <c r="C172" s="22">
        <f>ROWS('Program och examenskrav'!F184:Spec[[#Headers],[INRIKTNING]])</f>
        <v>157</v>
      </c>
      <c r="D172" s="22" t="str">
        <f t="array" ref="D172">IF(ROWS($D$16:D172)&gt;$B$11,"",INDEX($B$16:$B$149,SMALL(IF($B$16:$B$149&lt;&gt;"",ROW($B$16:$B$149)-ROW($D$16)+1),ROWS(D$16:D172))))</f>
        <v/>
      </c>
      <c r="O172" s="22" t="str">
        <f>IFERROR(IF(ProgramForNewCourse=Spec[[#This Row],[PROGRAM]],Spec[[#This Row],[INRIKTNING]],""),"")</f>
        <v/>
      </c>
      <c r="P172" s="22">
        <f>ROWS('Program och examenskrav'!S184:Spec[[#Headers],[INRIKTNING]])</f>
        <v>157</v>
      </c>
      <c r="Q172" s="22" t="str">
        <f t="array" ref="Q172">IF(ROWS($Q$16:Q172)&gt;$P$11,"",INDEX($O$16:$O$149,SMALL(IF($O$16:$O$149&lt;&gt;"",ROW($O$16:$O$149)-ROW($Q$16)+1),ROWS(Q$16:Q172))))</f>
        <v/>
      </c>
    </row>
    <row r="173" spans="2:17" x14ac:dyDescent="0.3">
      <c r="B173" s="22" t="s">
        <v>46</v>
      </c>
      <c r="C173" s="22">
        <f>ROWS('Program och examenskrav'!F185:Spec[[#Headers],[INRIKTNING]])</f>
        <v>158</v>
      </c>
      <c r="D173" s="22" t="str">
        <f t="array" ref="D173">IF(ROWS($D$16:D173)&gt;$B$11,"",INDEX($B$16:$B$149,SMALL(IF($B$16:$B$149&lt;&gt;"",ROW($B$16:$B$149)-ROW($D$16)+1),ROWS(D$16:D173))))</f>
        <v/>
      </c>
      <c r="O173" s="22" t="str">
        <f>IFERROR(IF(ProgramForNewCourse=Spec[[#This Row],[PROGRAM]],Spec[[#This Row],[INRIKTNING]],""),"")</f>
        <v/>
      </c>
      <c r="P173" s="22">
        <f>ROWS('Program och examenskrav'!S185:Spec[[#Headers],[INRIKTNING]])</f>
        <v>158</v>
      </c>
      <c r="Q173" s="22" t="str">
        <f t="array" ref="Q173">IF(ROWS($Q$16:Q173)&gt;$P$11,"",INDEX($O$16:$O$149,SMALL(IF($O$16:$O$149&lt;&gt;"",ROW($O$16:$O$149)-ROW($Q$16)+1),ROWS(Q$16:Q173))))</f>
        <v/>
      </c>
    </row>
    <row r="174" spans="2:17" x14ac:dyDescent="0.3">
      <c r="B174" s="22" t="s">
        <v>182</v>
      </c>
      <c r="C174" s="22">
        <f>ROWS('Program och examenskrav'!F186:Spec[[#Headers],[INRIKTNING]])</f>
        <v>159</v>
      </c>
      <c r="D174" s="22" t="str">
        <f t="array" ref="D174">IF(ROWS($D$16:D174)&gt;$B$11,"",INDEX($B$16:$B$149,SMALL(IF($B$16:$B$149&lt;&gt;"",ROW($B$16:$B$149)-ROW($D$16)+1),ROWS(D$16:D174))))</f>
        <v/>
      </c>
      <c r="O174" s="22" t="str">
        <f>IFERROR(IF(ProgramForNewCourse=Spec[[#This Row],[PROGRAM]],Spec[[#This Row],[INRIKTNING]],""),"")</f>
        <v/>
      </c>
      <c r="P174" s="22">
        <f>ROWS('Program och examenskrav'!S186:Spec[[#Headers],[INRIKTNING]])</f>
        <v>159</v>
      </c>
      <c r="Q174" s="22" t="str">
        <f t="array" ref="Q174">IF(ROWS($Q$16:Q174)&gt;$P$11,"",INDEX($O$16:$O$149,SMALL(IF($O$16:$O$149&lt;&gt;"",ROW($O$16:$O$149)-ROW($Q$16)+1),ROWS(Q$16:Q174))))</f>
        <v/>
      </c>
    </row>
  </sheetData>
  <mergeCells count="3">
    <mergeCell ref="B5:E5"/>
    <mergeCell ref="G8:L8"/>
    <mergeCell ref="N8:T8"/>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6">
    <tabColor rgb="FF002060"/>
  </sheetPr>
  <dimension ref="A1:R154"/>
  <sheetViews>
    <sheetView workbookViewId="0">
      <selection activeCell="F16" sqref="F16"/>
    </sheetView>
  </sheetViews>
  <sheetFormatPr defaultRowHeight="15" x14ac:dyDescent="0.3"/>
  <cols>
    <col min="1" max="1" width="4.25" style="22" customWidth="1"/>
    <col min="2" max="2" width="14.375" style="22" customWidth="1"/>
    <col min="3" max="3" width="4.25" style="22" customWidth="1"/>
    <col min="4" max="4" width="14.625" style="22" customWidth="1"/>
    <col min="5" max="5" width="4.375" style="22" customWidth="1"/>
    <col min="6" max="6" width="11.875" style="22" customWidth="1"/>
    <col min="7" max="7" width="3.25" style="22" customWidth="1"/>
    <col min="8" max="8" width="11.375" style="22" customWidth="1"/>
    <col min="9" max="9" width="4" style="22" customWidth="1"/>
    <col min="10" max="10" width="9.625" style="22" customWidth="1"/>
    <col min="11" max="11" width="3.875" style="22" customWidth="1"/>
    <col min="12" max="13" width="10" style="22" customWidth="1"/>
    <col min="14" max="14" width="17" style="22" customWidth="1"/>
    <col min="15" max="15" width="14.875" style="22" customWidth="1"/>
    <col min="16" max="16" width="36.375" style="22" customWidth="1"/>
    <col min="17" max="17" width="9" style="22"/>
    <col min="18" max="18" width="14.625" style="22" customWidth="1"/>
    <col min="19" max="19" width="9" style="22"/>
    <col min="20" max="20" width="15.875" style="22" customWidth="1"/>
    <col min="21" max="16384" width="9" style="22"/>
  </cols>
  <sheetData>
    <row r="1" spans="1:18" ht="9" customHeight="1" x14ac:dyDescent="0.3">
      <c r="A1" s="1"/>
      <c r="B1" s="1"/>
      <c r="C1" s="1"/>
      <c r="D1" s="1"/>
      <c r="E1" s="1"/>
      <c r="F1" s="1"/>
      <c r="G1" s="1"/>
      <c r="H1" s="1"/>
      <c r="I1" s="1"/>
      <c r="J1" s="1"/>
      <c r="K1" s="1"/>
      <c r="L1" s="1"/>
      <c r="M1" s="1"/>
      <c r="N1" s="1"/>
      <c r="O1" s="1"/>
      <c r="P1" s="1"/>
      <c r="Q1" s="1"/>
      <c r="R1" s="1"/>
    </row>
    <row r="2" spans="1:18" ht="51" customHeight="1" x14ac:dyDescent="0.3">
      <c r="A2" s="10" t="s">
        <v>180</v>
      </c>
      <c r="B2" s="117"/>
      <c r="C2" s="117"/>
      <c r="D2" s="1"/>
      <c r="E2" s="1"/>
      <c r="F2" s="118"/>
      <c r="G2" s="113"/>
      <c r="H2" s="113"/>
      <c r="I2" s="113"/>
      <c r="J2" s="113"/>
      <c r="K2" s="113"/>
      <c r="L2" s="113"/>
      <c r="M2" s="113"/>
      <c r="N2" s="113"/>
      <c r="O2" s="1"/>
      <c r="P2" s="1"/>
      <c r="Q2" s="1"/>
      <c r="R2" s="1"/>
    </row>
    <row r="3" spans="1:18" ht="9" customHeight="1" x14ac:dyDescent="0.3">
      <c r="A3" s="1"/>
      <c r="B3" s="1"/>
      <c r="C3" s="1"/>
      <c r="D3" s="1"/>
      <c r="E3" s="1"/>
      <c r="F3" s="1"/>
      <c r="G3" s="1"/>
      <c r="H3" s="5"/>
      <c r="I3" s="5"/>
      <c r="J3" s="1"/>
      <c r="K3" s="1"/>
      <c r="L3" s="1"/>
      <c r="M3" s="1"/>
      <c r="N3" s="1"/>
      <c r="O3" s="1"/>
      <c r="P3" s="1"/>
      <c r="Q3" s="1"/>
      <c r="R3" s="1"/>
    </row>
    <row r="5" spans="1:18" ht="15.75" x14ac:dyDescent="0.3">
      <c r="B5" s="121" t="s">
        <v>181</v>
      </c>
      <c r="D5" s="22" t="s">
        <v>10</v>
      </c>
      <c r="F5" s="22" t="s">
        <v>37</v>
      </c>
      <c r="H5" s="22" t="s">
        <v>38</v>
      </c>
      <c r="J5" s="22" t="s">
        <v>39</v>
      </c>
      <c r="L5" s="22" t="s">
        <v>41</v>
      </c>
      <c r="N5" s="114" t="s">
        <v>33</v>
      </c>
      <c r="O5" s="114" t="s">
        <v>34</v>
      </c>
      <c r="P5" s="114" t="s">
        <v>35</v>
      </c>
    </row>
    <row r="6" spans="1:18" x14ac:dyDescent="0.3">
      <c r="B6" s="22" t="s">
        <v>50</v>
      </c>
      <c r="D6" s="22">
        <f ca="1">YEAR(NOW())-7</f>
        <v>2007</v>
      </c>
      <c r="F6" s="22" t="s">
        <v>105</v>
      </c>
      <c r="H6" s="22">
        <v>1</v>
      </c>
      <c r="J6" s="22">
        <v>1</v>
      </c>
      <c r="L6" s="22">
        <v>1</v>
      </c>
      <c r="N6" s="115" t="str">
        <f>IFERROR(_xlfn.RANK.EQ(O7,SearchTable[Search],1),"FEL")</f>
        <v>FEL</v>
      </c>
      <c r="O6" s="115"/>
      <c r="P6" s="115"/>
    </row>
    <row r="7" spans="1:18" x14ac:dyDescent="0.3">
      <c r="B7" s="22" t="s">
        <v>51</v>
      </c>
      <c r="D7" s="22">
        <f ca="1">YEAR(NOW())-6</f>
        <v>2008</v>
      </c>
      <c r="F7" s="22" t="s">
        <v>106</v>
      </c>
      <c r="H7" s="22">
        <v>2</v>
      </c>
      <c r="J7" s="22">
        <v>2</v>
      </c>
      <c r="L7" s="22">
        <v>2</v>
      </c>
      <c r="N7" s="115" t="str">
        <f>IFERROR(_xlfn.RANK.EQ(O7,SearchTable[Search],1),"FEL")</f>
        <v>FEL</v>
      </c>
      <c r="O7" s="115" t="str">
        <f>IFERROR(SEARCH(SearchField,ProgramKurser[KURSNAMN])+ROW()/100000,"")</f>
        <v/>
      </c>
      <c r="P7" s="115" t="e">
        <f>ProgramKurser[KURSNAMN]</f>
        <v>#VALUE!</v>
      </c>
    </row>
    <row r="8" spans="1:18" x14ac:dyDescent="0.3">
      <c r="B8" s="22">
        <v>3</v>
      </c>
      <c r="D8" s="22">
        <f ca="1">YEAR(NOW())-5</f>
        <v>2009</v>
      </c>
      <c r="F8" s="22" t="s">
        <v>110</v>
      </c>
      <c r="H8" s="22">
        <v>3</v>
      </c>
      <c r="J8" s="22" t="s">
        <v>40</v>
      </c>
      <c r="L8" s="22">
        <v>3</v>
      </c>
      <c r="N8" s="115" t="str">
        <f>IFERROR(_xlfn.RANK.EQ(O8,SearchTable[Search],1),"FEL")</f>
        <v>FEL</v>
      </c>
      <c r="O8" s="115" t="str">
        <f>IFERROR(SEARCH(SearchField,ProgramKurser[KURSNAMN])+ROW()/100000,"")</f>
        <v/>
      </c>
      <c r="P8" s="115" t="e">
        <f>ProgramKurser[KURSNAMN]</f>
        <v>#VALUE!</v>
      </c>
    </row>
    <row r="9" spans="1:18" x14ac:dyDescent="0.3">
      <c r="B9" s="22">
        <v>4</v>
      </c>
      <c r="D9" s="22">
        <f ca="1">YEAR(NOW())-4</f>
        <v>2010</v>
      </c>
      <c r="H9" s="22">
        <v>4</v>
      </c>
      <c r="L9" s="22">
        <v>4</v>
      </c>
      <c r="N9" s="115" t="str">
        <f>IFERROR(_xlfn.RANK.EQ(O9,SearchTable[Search],1),"FEL")</f>
        <v>FEL</v>
      </c>
      <c r="O9" s="115" t="str">
        <f>IFERROR(SEARCH(SearchField,ProgramKurser[KURSNAMN])+ROW()/100000,"")</f>
        <v/>
      </c>
      <c r="P9" s="115" t="e">
        <f>ProgramKurser[KURSNAMN]</f>
        <v>#VALUE!</v>
      </c>
    </row>
    <row r="10" spans="1:18" x14ac:dyDescent="0.3">
      <c r="B10" s="22">
        <v>5</v>
      </c>
      <c r="D10" s="22">
        <f ca="1">YEAR(NOW())-3</f>
        <v>2011</v>
      </c>
      <c r="H10" s="22">
        <v>5</v>
      </c>
      <c r="L10" s="22">
        <v>5</v>
      </c>
      <c r="N10" s="115" t="str">
        <f>IFERROR(_xlfn.RANK.EQ(O10,SearchTable[Search],1),"FEL")</f>
        <v>FEL</v>
      </c>
      <c r="O10" s="115" t="str">
        <f>IFERROR(SEARCH(SearchField,ProgramKurser[KURSNAMN])+ROW()/100000,"")</f>
        <v/>
      </c>
      <c r="P10" s="116" t="e">
        <f>ProgramKurser[KURSNAMN]</f>
        <v>#VALUE!</v>
      </c>
    </row>
    <row r="11" spans="1:18" x14ac:dyDescent="0.3">
      <c r="D11" s="22">
        <f ca="1">YEAR(NOW())-2</f>
        <v>2012</v>
      </c>
      <c r="H11" s="22">
        <v>6</v>
      </c>
      <c r="N11" s="115" t="str">
        <f>IFERROR(_xlfn.RANK.EQ(O11,SearchTable[Search],1),"FEL")</f>
        <v>FEL</v>
      </c>
      <c r="O11" s="115" t="str">
        <f>IFERROR(SEARCH(SearchField,ProgramKurser[KURSNAMN])+ROW()/100000,"")</f>
        <v/>
      </c>
      <c r="P11" s="116" t="e">
        <f>ProgramKurser[KURSNAMN]</f>
        <v>#VALUE!</v>
      </c>
    </row>
    <row r="12" spans="1:18" x14ac:dyDescent="0.3">
      <c r="D12" s="22">
        <f ca="1">YEAR(NOW())-1</f>
        <v>2013</v>
      </c>
      <c r="H12" s="22">
        <v>7</v>
      </c>
      <c r="N12" s="115" t="str">
        <f>IFERROR(_xlfn.RANK.EQ(O12,SearchTable[Search],1),"FEL")</f>
        <v>FEL</v>
      </c>
      <c r="O12" s="115" t="str">
        <f>IFERROR(SEARCH(SearchField,ProgramKurser[KURSNAMN])+ROW()/100000,"")</f>
        <v/>
      </c>
      <c r="P12" s="116" t="e">
        <f>ProgramKurser[KURSNAMN]</f>
        <v>#VALUE!</v>
      </c>
    </row>
    <row r="13" spans="1:18" x14ac:dyDescent="0.3">
      <c r="D13" s="22">
        <f ca="1">YEAR(NOW())-0</f>
        <v>2014</v>
      </c>
      <c r="H13" s="22">
        <v>8</v>
      </c>
      <c r="N13" s="115" t="str">
        <f>IFERROR(_xlfn.RANK.EQ(O13,SearchTable[Search],1),"FEL")</f>
        <v>FEL</v>
      </c>
      <c r="O13" s="115" t="str">
        <f>IFERROR(SEARCH(SearchField,ProgramKurser[KURSNAMN])+ROW()/100000,"")</f>
        <v/>
      </c>
      <c r="P13" s="116" t="e">
        <f>ProgramKurser[KURSNAMN]</f>
        <v>#VALUE!</v>
      </c>
    </row>
    <row r="14" spans="1:18" x14ac:dyDescent="0.3">
      <c r="H14" s="22">
        <v>9</v>
      </c>
      <c r="N14" s="115" t="str">
        <f>IFERROR(_xlfn.RANK.EQ(O14,SearchTable[Search],1),"FEL")</f>
        <v>FEL</v>
      </c>
      <c r="O14" s="115" t="str">
        <f>IFERROR(SEARCH(SearchField,ProgramKurser[KURSNAMN])+ROW()/100000,"")</f>
        <v/>
      </c>
      <c r="P14" s="116" t="e">
        <f>ProgramKurser[KURSNAMN]</f>
        <v>#VALUE!</v>
      </c>
    </row>
    <row r="15" spans="1:18" x14ac:dyDescent="0.3">
      <c r="H15" s="22">
        <v>10</v>
      </c>
      <c r="N15" s="115" t="str">
        <f>IFERROR(_xlfn.RANK.EQ(O15,SearchTable[Search],1),"FEL")</f>
        <v>FEL</v>
      </c>
      <c r="O15" s="115" t="str">
        <f>IFERROR(SEARCH(SearchField,ProgramKurser[KURSNAMN])+ROW()/100000,"")</f>
        <v/>
      </c>
      <c r="P15" s="116" t="e">
        <f>ProgramKurser[KURSNAMN]</f>
        <v>#VALUE!</v>
      </c>
    </row>
    <row r="16" spans="1:18" x14ac:dyDescent="0.3">
      <c r="N16" s="115" t="str">
        <f>IFERROR(_xlfn.RANK.EQ(O16,SearchTable[Search],1),"FEL")</f>
        <v>FEL</v>
      </c>
      <c r="O16" s="115" t="str">
        <f>IFERROR(SEARCH(SearchField,ProgramKurser[KURSNAMN])+ROW()/100000,"")</f>
        <v/>
      </c>
      <c r="P16" s="116" t="str">
        <f>ProgramKurser[KURSNAMN]</f>
        <v>Linjär algebra</v>
      </c>
    </row>
    <row r="17" spans="14:16" x14ac:dyDescent="0.3">
      <c r="N17" s="115" t="str">
        <f>IFERROR(_xlfn.RANK.EQ(O17,SearchTable[Search],1),"FEL")</f>
        <v>FEL</v>
      </c>
      <c r="O17" s="115" t="str">
        <f>IFERROR(SEARCH(SearchField,ProgramKurser[KURSNAMN])+ROW()/100000,"")</f>
        <v/>
      </c>
      <c r="P17" s="116" t="str">
        <f>ProgramKurser[KURSNAMN]</f>
        <v>Industriell ekonomi</v>
      </c>
    </row>
    <row r="18" spans="14:16" x14ac:dyDescent="0.3">
      <c r="N18" s="115" t="str">
        <f>IFERROR(_xlfn.RANK.EQ(O18,SearchTable[Search],1),"FEL")</f>
        <v>FEL</v>
      </c>
      <c r="O18" s="115" t="str">
        <f>IFERROR(SEARCH(SearchField,ProgramKurser[KURSNAMN])+ROW()/100000,"")</f>
        <v/>
      </c>
      <c r="P18" s="116" t="str">
        <f>ProgramKurser[KURSNAMN]</f>
        <v>Envariabelanalys 1</v>
      </c>
    </row>
    <row r="19" spans="14:16" x14ac:dyDescent="0.3">
      <c r="N19" s="115" t="str">
        <f>IFERROR(_xlfn.RANK.EQ(O19,SearchTable[Search],1),"FEL")</f>
        <v>FEL</v>
      </c>
      <c r="O19" s="115" t="str">
        <f>IFERROR(SEARCH(SearchField,ProgramKurser[KURSNAMN])+ROW()/100000,"")</f>
        <v/>
      </c>
      <c r="P19" s="116" t="str">
        <f>ProgramKurser[KURSNAMN]</f>
        <v>Envariabelanalys 2</v>
      </c>
    </row>
    <row r="20" spans="14:16" x14ac:dyDescent="0.3">
      <c r="N20" s="115" t="str">
        <f>IFERROR(_xlfn.RANK.EQ(O20,SearchTable[Search],1),"FEL")</f>
        <v>FEL</v>
      </c>
      <c r="O20" s="115" t="str">
        <f>IFERROR(SEARCH(SearchField,ProgramKurser[KURSNAMN])+ROW()/100000,"")</f>
        <v/>
      </c>
      <c r="P20" s="116" t="str">
        <f>ProgramKurser[KURSNAMN]</f>
        <v>Aerodynamik</v>
      </c>
    </row>
    <row r="21" spans="14:16" x14ac:dyDescent="0.3">
      <c r="N21" s="115" t="str">
        <f>IFERROR(_xlfn.RANK.EQ(O21,SearchTable[Search],1),"FEL")</f>
        <v>FEL</v>
      </c>
      <c r="O21" s="115" t="str">
        <f>IFERROR(SEARCH(SearchField,ProgramKurser[KURSNAMN])+ROW()/100000,"")</f>
        <v/>
      </c>
      <c r="P21" s="116" t="str">
        <f>ProgramKurser[KURSNAMN]</f>
        <v>Affektiv produktutveckling</v>
      </c>
    </row>
    <row r="22" spans="14:16" x14ac:dyDescent="0.3">
      <c r="N22" s="115" t="str">
        <f>IFERROR(_xlfn.RANK.EQ(O22,SearchTable[Search],1),"FEL")</f>
        <v>FEL</v>
      </c>
      <c r="O22" s="115" t="str">
        <f>IFERROR(SEARCH(SearchField,ProgramKurser[KURSNAMN])+ROW()/100000,"")</f>
        <v/>
      </c>
      <c r="P22" s="116" t="str">
        <f>ProgramKurser[KURSNAMN]</f>
        <v>Flervariabelanalys</v>
      </c>
    </row>
    <row r="23" spans="14:16" x14ac:dyDescent="0.3">
      <c r="N23" s="115" t="str">
        <f>IFERROR(_xlfn.RANK.EQ(O23,SearchTable[Search],1),"FEL")</f>
        <v>FEL</v>
      </c>
      <c r="O23" s="115" t="str">
        <f>IFERROR(SEARCH(SearchField,ProgramKurser[KURSNAMN])+ROW()/100000,"")</f>
        <v/>
      </c>
      <c r="P23" s="116" t="str">
        <f>ProgramKurser[KURSNAMN]</f>
        <v>Affärsrätt I</v>
      </c>
    </row>
    <row r="24" spans="14:16" x14ac:dyDescent="0.3">
      <c r="N24" s="115" t="str">
        <f>IFERROR(_xlfn.RANK.EQ(O24,SearchTable[Search],1),"FEL")</f>
        <v>FEL</v>
      </c>
      <c r="O24" s="115" t="str">
        <f>IFERROR(SEARCH(SearchField,ProgramKurser[KURSNAMN])+ROW()/100000,"")</f>
        <v/>
      </c>
      <c r="P24" s="116" t="str">
        <f>ProgramKurser[KURSNAMN]</f>
        <v>Optimeringslära, grundkurs</v>
      </c>
    </row>
    <row r="25" spans="14:16" x14ac:dyDescent="0.3">
      <c r="N25" s="115" t="str">
        <f>IFERROR(_xlfn.RANK.EQ(O25,SearchTable[Search],1),"FEL")</f>
        <v>FEL</v>
      </c>
      <c r="O25" s="115" t="str">
        <f>IFERROR(SEARCH(SearchField,ProgramKurser[KURSNAMN])+ROW()/100000,"")</f>
        <v/>
      </c>
      <c r="P25" s="116" t="str">
        <f>ProgramKurser[KURSNAMN]</f>
        <v>Affärsrätt I</v>
      </c>
    </row>
    <row r="26" spans="14:16" x14ac:dyDescent="0.3">
      <c r="N26" s="115" t="str">
        <f>IFERROR(_xlfn.RANK.EQ(O26,SearchTable[Search],1),"FEL")</f>
        <v>FEL</v>
      </c>
      <c r="O26" s="115" t="str">
        <f>IFERROR(SEARCH(SearchField,ProgramKurser[KURSNAMN])+ROW()/100000,"")</f>
        <v/>
      </c>
      <c r="P26" s="116" t="str">
        <f>ProgramKurser[KURSNAMN]</f>
        <v>Matematisk grundkurs</v>
      </c>
    </row>
    <row r="27" spans="14:16" x14ac:dyDescent="0.3">
      <c r="N27" s="115" t="str">
        <f>IFERROR(_xlfn.RANK.EQ(O27,SearchTable[Search],1),"FEL")</f>
        <v>FEL</v>
      </c>
      <c r="O27" s="115" t="str">
        <f>IFERROR(SEARCH(SearchField,ProgramKurser[KURSNAMN])+ROW()/100000,"")</f>
        <v/>
      </c>
      <c r="P27" s="116" t="str">
        <f>ProgramKurser[KURSNAMN]</f>
        <v>Aerodynamik</v>
      </c>
    </row>
    <row r="28" spans="14:16" x14ac:dyDescent="0.3">
      <c r="N28" s="115" t="str">
        <f>IFERROR(_xlfn.RANK.EQ(O28,SearchTable[Search],1),"FEL")</f>
        <v>FEL</v>
      </c>
      <c r="O28" s="115" t="str">
        <f>IFERROR(SEARCH(SearchField,ProgramKurser[KURSNAMN])+ROW()/100000,"")</f>
        <v/>
      </c>
      <c r="P28" s="116" t="str">
        <f>ProgramKurser[KURSNAMN]</f>
        <v>Programmering, grundkurs</v>
      </c>
    </row>
    <row r="29" spans="14:16" x14ac:dyDescent="0.3">
      <c r="N29" s="115" t="str">
        <f>IFERROR(_xlfn.RANK.EQ(O29,SearchTable[Search],1),"FEL")</f>
        <v>FEL</v>
      </c>
      <c r="O29" s="115" t="str">
        <f>IFERROR(SEARCH(SearchField,ProgramKurser[KURSNAMN])+ROW()/100000,"")</f>
        <v/>
      </c>
      <c r="P29" s="116" t="str">
        <f>ProgramKurser[KURSNAMN]</f>
        <v>Introduktionskurs i Matlab</v>
      </c>
    </row>
    <row r="30" spans="14:16" x14ac:dyDescent="0.3">
      <c r="N30" s="115" t="str">
        <f>IFERROR(_xlfn.RANK.EQ(O30,SearchTable[Search],1),"FEL")</f>
        <v>FEL</v>
      </c>
      <c r="O30" s="115" t="str">
        <f>IFERROR(SEARCH(SearchField,ProgramKurser[KURSNAMN])+ROW()/100000,"")</f>
        <v/>
      </c>
      <c r="P30" s="116" t="str">
        <f>ProgramKurser[KURSNAMN]</f>
        <v>Industriell organisation, grundkurs</v>
      </c>
    </row>
    <row r="31" spans="14:16" x14ac:dyDescent="0.3">
      <c r="N31" s="115" t="str">
        <f>IFERROR(_xlfn.RANK.EQ(O31,SearchTable[Search],1),"FEL")</f>
        <v>FEL</v>
      </c>
      <c r="O31" s="115" t="str">
        <f>IFERROR(SEARCH(SearchField,ProgramKurser[KURSNAMN])+ROW()/100000,"")</f>
        <v/>
      </c>
      <c r="P31" s="116" t="str">
        <f>ProgramKurser[KURSNAMN]</f>
        <v>Affärssystem: process och implementering</v>
      </c>
    </row>
    <row r="32" spans="14:16" x14ac:dyDescent="0.3">
      <c r="N32" s="115" t="str">
        <f>IFERROR(_xlfn.RANK.EQ(O32,SearchTable[Search],1),"FEL")</f>
        <v>FEL</v>
      </c>
      <c r="O32" s="115" t="str">
        <f>IFERROR(SEARCH(SearchField,ProgramKurser[KURSNAMN])+ROW()/100000,"")</f>
        <v/>
      </c>
      <c r="P32" s="116" t="str">
        <f>ProgramKurser[KURSNAMN]</f>
        <v>Analog konstruktion</v>
      </c>
    </row>
    <row r="33" spans="14:16" x14ac:dyDescent="0.3">
      <c r="N33" s="115" t="str">
        <f>IFERROR(_xlfn.RANK.EQ(O33,SearchTable[Search],1),"FEL")</f>
        <v>FEL</v>
      </c>
      <c r="O33" s="115" t="str">
        <f>IFERROR(SEARCH(SearchField,ProgramKurser[KURSNAMN])+ROW()/100000,"")</f>
        <v/>
      </c>
      <c r="P33" s="116" t="str">
        <f>ProgramKurser[KURSNAMN]</f>
        <v>Mekanik I</v>
      </c>
    </row>
    <row r="34" spans="14:16" x14ac:dyDescent="0.3">
      <c r="N34" s="115" t="str">
        <f>IFERROR(_xlfn.RANK.EQ(O34,SearchTable[Search],1),"FEL")</f>
        <v>FEL</v>
      </c>
      <c r="O34" s="115" t="str">
        <f>IFERROR(SEARCH(SearchField,ProgramKurser[KURSNAMN])+ROW()/100000,"")</f>
        <v/>
      </c>
      <c r="P34" s="116" t="str">
        <f>ProgramKurser[KURSNAMN]</f>
        <v>Linjära system</v>
      </c>
    </row>
    <row r="35" spans="14:16" x14ac:dyDescent="0.3">
      <c r="N35" s="115" t="str">
        <f>IFERROR(_xlfn.RANK.EQ(O35,SearchTable[Search],1),"FEL")</f>
        <v>FEL</v>
      </c>
      <c r="O35" s="115" t="str">
        <f>IFERROR(SEARCH(SearchField,ProgramKurser[KURSNAMN])+ROW()/100000,"")</f>
        <v/>
      </c>
      <c r="P35" s="116" t="str">
        <f>ProgramKurser[KURSNAMN]</f>
        <v>Optimeringslära, fortsättningskurs</v>
      </c>
    </row>
    <row r="36" spans="14:16" x14ac:dyDescent="0.3">
      <c r="N36" s="115" t="str">
        <f>IFERROR(_xlfn.RANK.EQ(O36,SearchTable[Search],1),"FEL")</f>
        <v>FEL</v>
      </c>
      <c r="O36" s="115" t="str">
        <f>IFERROR(SEARCH(SearchField,ProgramKurser[KURSNAMN])+ROW()/100000,"")</f>
        <v/>
      </c>
      <c r="P36" s="116" t="str">
        <f>ProgramKurser[KURSNAMN]</f>
        <v>Fysik</v>
      </c>
    </row>
    <row r="37" spans="14:16" x14ac:dyDescent="0.3">
      <c r="N37" s="115" t="str">
        <f>IFERROR(_xlfn.RANK.EQ(O37,SearchTable[Search],1),"FEL")</f>
        <v>FEL</v>
      </c>
      <c r="O37" s="115" t="str">
        <f>IFERROR(SEARCH(SearchField,ProgramKurser[KURSNAMN])+ROW()/100000,"")</f>
        <v/>
      </c>
      <c r="P37" s="116" t="str">
        <f>ProgramKurser[KURSNAMN]</f>
        <v>Matematisk statistik I, fortsättningskurs</v>
      </c>
    </row>
    <row r="38" spans="14:16" x14ac:dyDescent="0.3">
      <c r="N38" s="115" t="str">
        <f>IFERROR(_xlfn.RANK.EQ(O38,SearchTable[Search],1),"FEL")</f>
        <v>FEL</v>
      </c>
      <c r="O38" s="115" t="str">
        <f>IFERROR(SEARCH(SearchField,ProgramKurser[KURSNAMN])+ROW()/100000,"")</f>
        <v/>
      </c>
      <c r="P38" s="116" t="str">
        <f>ProgramKurser[KURSNAMN]</f>
        <v>Analoga och tidsdiskreta integrerade kretsar</v>
      </c>
    </row>
    <row r="39" spans="14:16" x14ac:dyDescent="0.3">
      <c r="N39" s="115" t="str">
        <f>IFERROR(_xlfn.RANK.EQ(O39,SearchTable[Search],1),"FEL")</f>
        <v>FEL</v>
      </c>
      <c r="O39" s="115" t="str">
        <f>IFERROR(SEARCH(SearchField,ProgramKurser[KURSNAMN])+ROW()/100000,"")</f>
        <v/>
      </c>
      <c r="P39" s="116" t="str">
        <f>ProgramKurser[KURSNAMN]</f>
        <v>Analys av bioelektriska signaler</v>
      </c>
    </row>
    <row r="40" spans="14:16" x14ac:dyDescent="0.3">
      <c r="N40" s="115" t="str">
        <f>IFERROR(_xlfn.RANK.EQ(O40,SearchTable[Search],1),"FEL")</f>
        <v>FEL</v>
      </c>
      <c r="O40" s="115" t="str">
        <f>IFERROR(SEARCH(SearchField,ProgramKurser[KURSNAMN])+ROW()/100000,"")</f>
        <v/>
      </c>
      <c r="P40" s="116" t="str">
        <f>ProgramKurser[KURSNAMN]</f>
        <v>Ekonomisk analys: Besluts- och finansiell metodik</v>
      </c>
    </row>
    <row r="41" spans="14:16" x14ac:dyDescent="0.3">
      <c r="N41" s="115" t="str">
        <f>IFERROR(_xlfn.RANK.EQ(O41,SearchTable[Search],1),"FEL")</f>
        <v>FEL</v>
      </c>
      <c r="O41" s="115" t="str">
        <f>IFERROR(SEARCH(SearchField,ProgramKurser[KURSNAMN])+ROW()/100000,"")</f>
        <v/>
      </c>
      <c r="P41" s="116" t="str">
        <f>ProgramKurser[KURSNAMN]</f>
        <v>Matematisk statistik, grundkurs</v>
      </c>
    </row>
    <row r="42" spans="14:16" x14ac:dyDescent="0.3">
      <c r="N42" s="115" t="str">
        <f>IFERROR(_xlfn.RANK.EQ(O42,SearchTable[Search],1),"FEL")</f>
        <v>FEL</v>
      </c>
      <c r="O42" s="115" t="str">
        <f>IFERROR(SEARCH(SearchField,ProgramKurser[KURSNAMN])+ROW()/100000,"")</f>
        <v/>
      </c>
      <c r="P42" s="116" t="str">
        <f>ProgramKurser[KURSNAMN]</f>
        <v>Ekonomisk analys: Ekonomisk teori</v>
      </c>
    </row>
    <row r="43" spans="14:16" x14ac:dyDescent="0.3">
      <c r="N43" s="115" t="str">
        <f>IFERROR(_xlfn.RANK.EQ(O43,SearchTable[Search],1),"FEL")</f>
        <v>FEL</v>
      </c>
      <c r="O43" s="115" t="str">
        <f>IFERROR(SEARCH(SearchField,ProgramKurser[KURSNAMN])+ROW()/100000,"")</f>
        <v/>
      </c>
      <c r="P43" s="116" t="str">
        <f>ProgramKurser[KURSNAMN]</f>
        <v>Grundläggande marknadsföring</v>
      </c>
    </row>
    <row r="44" spans="14:16" x14ac:dyDescent="0.3">
      <c r="N44" s="115" t="str">
        <f>IFERROR(_xlfn.RANK.EQ(O44,SearchTable[Search],1),"FEL")</f>
        <v>FEL</v>
      </c>
      <c r="O44" s="115" t="str">
        <f>IFERROR(SEARCH(SearchField,ProgramKurser[KURSNAMN])+ROW()/100000,"")</f>
        <v/>
      </c>
      <c r="P44" s="116" t="str">
        <f>ProgramKurser[KURSNAMN]</f>
        <v>Reglerteknik I</v>
      </c>
    </row>
    <row r="45" spans="14:16" x14ac:dyDescent="0.3">
      <c r="N45" s="115" t="str">
        <f>IFERROR(_xlfn.RANK.EQ(O45,SearchTable[Search],1),"FEL")</f>
        <v>FEL</v>
      </c>
      <c r="O45" s="115" t="str">
        <f>IFERROR(SEARCH(SearchField,ProgramKurser[KURSNAMN])+ROW()/100000,"")</f>
        <v/>
      </c>
      <c r="P45" s="116" t="str">
        <f>ProgramKurser[KURSNAMN]</f>
        <v>Produktionsekonomi</v>
      </c>
    </row>
    <row r="46" spans="14:16" x14ac:dyDescent="0.3">
      <c r="N46" s="115" t="str">
        <f>IFERROR(_xlfn.RANK.EQ(O46,SearchTable[Search],1),"FEL")</f>
        <v>FEL</v>
      </c>
      <c r="O46" s="115" t="str">
        <f>IFERROR(SEARCH(SearchField,ProgramKurser[KURSNAMN])+ROW()/100000,"")</f>
        <v/>
      </c>
      <c r="P46" s="116" t="str">
        <f>ProgramKurser[KURSNAMN]</f>
        <v>Projektledning</v>
      </c>
    </row>
    <row r="47" spans="14:16" x14ac:dyDescent="0.3">
      <c r="N47" s="115" t="str">
        <f>IFERROR(_xlfn.RANK.EQ(O47,SearchTable[Search],1),"FEL")</f>
        <v>FEL</v>
      </c>
      <c r="O47" s="115" t="str">
        <f>IFERROR(SEARCH(SearchField,ProgramKurser[KURSNAMN])+ROW()/100000,"")</f>
        <v/>
      </c>
      <c r="P47" s="116" t="str">
        <f>ProgramKurser[KURSNAMN]</f>
        <v>Analys och utveckling av produktionsverksamhet</v>
      </c>
    </row>
    <row r="48" spans="14:16" x14ac:dyDescent="0.3">
      <c r="N48" s="115" t="str">
        <f>IFERROR(_xlfn.RANK.EQ(O48,SearchTable[Search],1),"FEL")</f>
        <v>FEL</v>
      </c>
      <c r="O48" s="115" t="str">
        <f>IFERROR(SEARCH(SearchField,ProgramKurser[KURSNAMN])+ROW()/100000,"")</f>
        <v/>
      </c>
      <c r="P48" s="116" t="str">
        <f>ProgramKurser[KURSNAMN]</f>
        <v>Analys, överkurs</v>
      </c>
    </row>
    <row r="49" spans="14:16" x14ac:dyDescent="0.3">
      <c r="N49" s="115" t="str">
        <f>IFERROR(_xlfn.RANK.EQ(O49,SearchTable[Search],1),"FEL")</f>
        <v>FEL</v>
      </c>
      <c r="O49" s="115" t="str">
        <f>IFERROR(SEARCH(SearchField,ProgramKurser[KURSNAMN])+ROW()/100000,"")</f>
        <v/>
      </c>
      <c r="P49" s="116" t="str">
        <f>ProgramKurser[KURSNAMN]</f>
        <v>Anatomi och fysiologi</v>
      </c>
    </row>
    <row r="50" spans="14:16" x14ac:dyDescent="0.3">
      <c r="N50" s="115" t="str">
        <f>IFERROR(_xlfn.RANK.EQ(O50,SearchTable[Search],1),"FEL")</f>
        <v>FEL</v>
      </c>
      <c r="O50" s="115" t="str">
        <f>IFERROR(SEARCH(SearchField,ProgramKurser[KURSNAMN])+ROW()/100000,"")</f>
        <v/>
      </c>
      <c r="P50" s="116" t="str">
        <f>ProgramKurser[KURSNAMN]</f>
        <v>Diskret matematik</v>
      </c>
    </row>
    <row r="51" spans="14:16" x14ac:dyDescent="0.3">
      <c r="N51" s="115" t="str">
        <f>IFERROR(_xlfn.RANK.EQ(O51,SearchTable[Search],1),"FEL")</f>
        <v>FEL</v>
      </c>
      <c r="O51" s="115" t="str">
        <f>IFERROR(SEARCH(SearchField,ProgramKurser[KURSNAMN])+ROW()/100000,"")</f>
        <v/>
      </c>
      <c r="P51" s="116" t="str">
        <f>ProgramKurser[KURSNAMN]</f>
        <v>Programmering i Java, datastrukturer och algoritmer</v>
      </c>
    </row>
    <row r="52" spans="14:16" x14ac:dyDescent="0.3">
      <c r="N52" s="115" t="str">
        <f>IFERROR(_xlfn.RANK.EQ(O52,SearchTable[Search],1),"FEL")</f>
        <v>FEL</v>
      </c>
      <c r="O52" s="115" t="str">
        <f>IFERROR(SEARCH(SearchField,ProgramKurser[KURSNAMN])+ROW()/100000,"")</f>
        <v/>
      </c>
      <c r="P52" s="116" t="str">
        <f>ProgramKurser[KURSNAMN]</f>
        <v>Integrerad företagsplanering</v>
      </c>
    </row>
    <row r="53" spans="14:16" x14ac:dyDescent="0.3">
      <c r="N53" s="115" t="str">
        <f>IFERROR(_xlfn.RANK.EQ(O53,SearchTable[Search],1),"FEL")</f>
        <v>FEL</v>
      </c>
      <c r="O53" s="115" t="str">
        <f>IFERROR(SEARCH(SearchField,ProgramKurser[KURSNAMN])+ROW()/100000,"")</f>
        <v/>
      </c>
      <c r="P53" s="116" t="str">
        <f>ProgramKurser[KURSNAMN]</f>
        <v>Datastrukturer och algoritmer</v>
      </c>
    </row>
    <row r="54" spans="14:16" x14ac:dyDescent="0.3">
      <c r="N54" s="115" t="str">
        <f>IFERROR(_xlfn.RANK.EQ(O54,SearchTable[Search],1),"FEL")</f>
        <v>FEL</v>
      </c>
      <c r="O54" s="115" t="str">
        <f>IFERROR(SEARCH(SearchField,ProgramKurser[KURSNAMN])+ROW()/100000,"")</f>
        <v/>
      </c>
      <c r="P54" s="116" t="str">
        <f>ProgramKurser[KURSNAMN]</f>
        <v>Anatomi och fysiologi</v>
      </c>
    </row>
    <row r="55" spans="14:16" x14ac:dyDescent="0.3">
      <c r="N55" s="115" t="str">
        <f>IFERROR(_xlfn.RANK.EQ(O55,SearchTable[Search],1),"FEL")</f>
        <v>FEL</v>
      </c>
      <c r="O55" s="115" t="str">
        <f>IFERROR(SEARCH(SearchField,ProgramKurser[KURSNAMN])+ROW()/100000,"")</f>
        <v/>
      </c>
      <c r="P55" s="116" t="str">
        <f>ProgramKurser[KURSNAMN]</f>
        <v>Användbarhet i ett ekonomiskt perspektiv</v>
      </c>
    </row>
    <row r="56" spans="14:16" x14ac:dyDescent="0.3">
      <c r="N56" s="115" t="str">
        <f>IFERROR(_xlfn.RANK.EQ(O56,SearchTable[Search],1),"FEL")</f>
        <v>FEL</v>
      </c>
      <c r="O56" s="115" t="str">
        <f>IFERROR(SEARCH(SearchField,ProgramKurser[KURSNAMN])+ROW()/100000,"")</f>
        <v/>
      </c>
      <c r="P56" s="116" t="str">
        <f>ProgramKurser[KURSNAMN]</f>
        <v>Artificiell intelligens</v>
      </c>
    </row>
    <row r="57" spans="14:16" x14ac:dyDescent="0.3">
      <c r="N57" s="115" t="str">
        <f>IFERROR(_xlfn.RANK.EQ(O57,SearchTable[Search],1),"FEL")</f>
        <v>FEL</v>
      </c>
      <c r="O57" s="115" t="str">
        <f>IFERROR(SEARCH(SearchField,ProgramKurser[KURSNAMN])+ROW()/100000,"")</f>
        <v/>
      </c>
      <c r="P57" s="116" t="str">
        <f>ProgramKurser[KURSNAMN]</f>
        <v>Artificiell intelligens och LISP</v>
      </c>
    </row>
    <row r="58" spans="14:16" x14ac:dyDescent="0.3">
      <c r="N58" s="115" t="str">
        <f>IFERROR(_xlfn.RANK.EQ(O58,SearchTable[Search],1),"FEL")</f>
        <v>FEL</v>
      </c>
      <c r="O58" s="115" t="str">
        <f>IFERROR(SEARCH(SearchField,ProgramKurser[KURSNAMN])+ROW()/100000,"")</f>
        <v/>
      </c>
      <c r="P58" s="116" t="str">
        <f>ProgramKurser[KURSNAMN]</f>
        <v>Avancerad planeringsteknik</v>
      </c>
    </row>
    <row r="59" spans="14:16" x14ac:dyDescent="0.3">
      <c r="N59" s="115" t="str">
        <f>IFERROR(_xlfn.RANK.EQ(O59,SearchTable[Search],1),"FEL")</f>
        <v>FEL</v>
      </c>
      <c r="O59" s="115" t="str">
        <f>IFERROR(SEARCH(SearchField,ProgramKurser[KURSNAMN])+ROW()/100000,"")</f>
        <v/>
      </c>
      <c r="P59" s="116" t="str">
        <f>ProgramKurser[KURSNAMN]</f>
        <v>Avancerad programmering i C++</v>
      </c>
    </row>
    <row r="60" spans="14:16" x14ac:dyDescent="0.3">
      <c r="N60" s="115" t="str">
        <f>IFERROR(_xlfn.RANK.EQ(O60,SearchTable[Search],1),"FEL")</f>
        <v>FEL</v>
      </c>
      <c r="O60" s="115" t="str">
        <f>IFERROR(SEARCH(SearchField,ProgramKurser[KURSNAMN])+ROW()/100000,"")</f>
        <v/>
      </c>
      <c r="P60" s="116" t="str">
        <f>ProgramKurser[KURSNAMN]</f>
        <v>Avancerad programmering i C++</v>
      </c>
    </row>
    <row r="61" spans="14:16" x14ac:dyDescent="0.3">
      <c r="N61" s="115" t="str">
        <f>IFERROR(_xlfn.RANK.EQ(O61,SearchTable[Search],1),"FEL")</f>
        <v>FEL</v>
      </c>
      <c r="O61" s="115" t="str">
        <f>IFERROR(SEARCH(SearchField,ProgramKurser[KURSNAMN])+ROW()/100000,"")</f>
        <v/>
      </c>
      <c r="P61" s="116" t="str">
        <f>ProgramKurser[KURSNAMN]</f>
        <v>Datorarkitektur</v>
      </c>
    </row>
    <row r="62" spans="14:16" x14ac:dyDescent="0.3">
      <c r="N62" s="115" t="str">
        <f>IFERROR(_xlfn.RANK.EQ(O62,SearchTable[Search],1),"FEL")</f>
        <v>FEL</v>
      </c>
      <c r="O62" s="115" t="str">
        <f>IFERROR(SEARCH(SearchField,ProgramKurser[KURSNAMN])+ROW()/100000,"")</f>
        <v/>
      </c>
      <c r="P62" s="116" t="str">
        <f>ProgramKurser[KURSNAMN]</f>
        <v>Digitalteknik</v>
      </c>
    </row>
    <row r="63" spans="14:16" x14ac:dyDescent="0.3">
      <c r="N63" s="115" t="str">
        <f>IFERROR(_xlfn.RANK.EQ(O63,SearchTable[Search],1),"FEL")</f>
        <v>FEL</v>
      </c>
      <c r="O63" s="115" t="str">
        <f>IFERROR(SEARCH(SearchField,ProgramKurser[KURSNAMN])+ROW()/100000,"")</f>
        <v/>
      </c>
      <c r="P63" s="116" t="str">
        <f>ProgramKurser[KURSNAMN]</f>
        <v>Avancerad projektverksamhet</v>
      </c>
    </row>
    <row r="64" spans="14:16" x14ac:dyDescent="0.3">
      <c r="N64" s="115" t="str">
        <f>IFERROR(_xlfn.RANK.EQ(O64,SearchTable[Search],1),"FEL")</f>
        <v>FEL</v>
      </c>
      <c r="O64" s="115" t="str">
        <f>IFERROR(SEARCH(SearchField,ProgramKurser[KURSNAMN])+ROW()/100000,"")</f>
        <v/>
      </c>
      <c r="P64" s="116" t="str">
        <f>ProgramKurser[KURSNAMN]</f>
        <v>Avancerad projektverksamhet</v>
      </c>
    </row>
    <row r="65" spans="14:16" x14ac:dyDescent="0.3">
      <c r="N65" s="115" t="str">
        <f>IFERROR(_xlfn.RANK.EQ(O65,SearchTable[Search],1),"FEL")</f>
        <v>FEL</v>
      </c>
      <c r="O65" s="115" t="str">
        <f>IFERROR(SEARCH(SearchField,ProgramKurser[KURSNAMN])+ROW()/100000,"")</f>
        <v/>
      </c>
      <c r="P65" s="116" t="str">
        <f>ProgramKurser[KURSNAMN]</f>
        <v>Avancerad webbprogrammering</v>
      </c>
    </row>
    <row r="66" spans="14:16" x14ac:dyDescent="0.3">
      <c r="N66" s="115" t="str">
        <f>IFERROR(_xlfn.RANK.EQ(O66,SearchTable[Search],1),"FEL")</f>
        <v>FEL</v>
      </c>
      <c r="O66" s="115" t="str">
        <f>IFERROR(SEARCH(SearchField,ProgramKurser[KURSNAMN])+ROW()/100000,"")</f>
        <v/>
      </c>
      <c r="P66" s="116" t="str">
        <f>ProgramKurser[KURSNAMN]</f>
        <v>Beräkningsmatematik</v>
      </c>
    </row>
    <row r="67" spans="14:16" x14ac:dyDescent="0.3">
      <c r="N67" s="115" t="str">
        <f>IFERROR(_xlfn.RANK.EQ(O67,SearchTable[Search],1),"FEL")</f>
        <v>FEL</v>
      </c>
      <c r="O67" s="115" t="str">
        <f>IFERROR(SEARCH(SearchField,ProgramKurser[KURSNAMN])+ROW()/100000,"")</f>
        <v/>
      </c>
      <c r="P67" s="116" t="str">
        <f>ProgramKurser[KURSNAMN]</f>
        <v>Beräkningsmetoder i strömningslära</v>
      </c>
    </row>
    <row r="68" spans="14:16" x14ac:dyDescent="0.3">
      <c r="N68" s="115" t="str">
        <f>IFERROR(_xlfn.RANK.EQ(O68,SearchTable[Search],1),"FEL")</f>
        <v>FEL</v>
      </c>
      <c r="O68" s="115" t="str">
        <f>IFERROR(SEARCH(SearchField,ProgramKurser[KURSNAMN])+ROW()/100000,"")</f>
        <v/>
      </c>
      <c r="P68" s="116" t="str">
        <f>ProgramKurser[KURSNAMN]</f>
        <v>Beräkningsmetoder i strömningslära fk</v>
      </c>
    </row>
    <row r="69" spans="14:16" x14ac:dyDescent="0.3">
      <c r="N69" s="115" t="str">
        <f>IFERROR(_xlfn.RANK.EQ(O69,SearchTable[Search],1),"FEL")</f>
        <v>FEL</v>
      </c>
      <c r="O69" s="115" t="str">
        <f>IFERROR(SEARCH(SearchField,ProgramKurser[KURSNAMN])+ROW()/100000,"")</f>
        <v/>
      </c>
      <c r="P69" s="116" t="str">
        <f>ProgramKurser[KURSNAMN]</f>
        <v>Bild- och ljudkodning</v>
      </c>
    </row>
    <row r="70" spans="14:16" x14ac:dyDescent="0.3">
      <c r="N70" s="115" t="str">
        <f>IFERROR(_xlfn.RANK.EQ(O70,SearchTable[Search],1),"FEL")</f>
        <v>FEL</v>
      </c>
      <c r="O70" s="115" t="str">
        <f>IFERROR(SEARCH(SearchField,ProgramKurser[KURSNAMN])+ROW()/100000,"")</f>
        <v/>
      </c>
      <c r="P70" s="116" t="str">
        <f>ProgramKurser[KURSNAMN]</f>
        <v>Bildgenererande teknik inom medicinen</v>
      </c>
    </row>
    <row r="71" spans="14:16" x14ac:dyDescent="0.3">
      <c r="N71" s="115" t="str">
        <f>IFERROR(_xlfn.RANK.EQ(O71,SearchTable[Search],1),"FEL")</f>
        <v>FEL</v>
      </c>
      <c r="O71" s="115" t="str">
        <f>IFERROR(SEARCH(SearchField,ProgramKurser[KURSNAMN])+ROW()/100000,"")</f>
        <v/>
      </c>
      <c r="P71" s="116" t="str">
        <f>ProgramKurser[KURSNAMN]</f>
        <v>Bildsensorer</v>
      </c>
    </row>
    <row r="72" spans="14:16" x14ac:dyDescent="0.3">
      <c r="N72" s="115" t="str">
        <f>IFERROR(_xlfn.RANK.EQ(O72,SearchTable[Search],1),"FEL")</f>
        <v>FEL</v>
      </c>
      <c r="O72" s="115" t="str">
        <f>IFERROR(SEARCH(SearchField,ProgramKurser[KURSNAMN])+ROW()/100000,"")</f>
        <v/>
      </c>
      <c r="P72" s="116" t="str">
        <f>ProgramKurser[KURSNAMN]</f>
        <v>Biofuels for Transportation</v>
      </c>
    </row>
    <row r="73" spans="14:16" x14ac:dyDescent="0.3">
      <c r="N73" s="115" t="str">
        <f>IFERROR(_xlfn.RANK.EQ(O73,SearchTable[Search],1),"FEL")</f>
        <v>FEL</v>
      </c>
      <c r="O73" s="115" t="str">
        <f>IFERROR(SEARCH(SearchField,ProgramKurser[KURSNAMN])+ROW()/100000,"")</f>
        <v/>
      </c>
      <c r="P73" s="116" t="str">
        <f>ProgramKurser[KURSNAMN]</f>
        <v>Bioinformatik</v>
      </c>
    </row>
    <row r="74" spans="14:16" x14ac:dyDescent="0.3">
      <c r="N74" s="115" t="str">
        <f>IFERROR(_xlfn.RANK.EQ(O74,SearchTable[Search],1),"FEL")</f>
        <v>FEL</v>
      </c>
      <c r="O74" s="115" t="str">
        <f>IFERROR(SEARCH(SearchField,ProgramKurser[KURSNAMN])+ROW()/100000,"")</f>
        <v/>
      </c>
      <c r="P74" s="116" t="str">
        <f>ProgramKurser[KURSNAMN]</f>
        <v>Bioinformatik - översikt och praktiska tillämpningar</v>
      </c>
    </row>
    <row r="75" spans="14:16" x14ac:dyDescent="0.3">
      <c r="N75" s="115" t="str">
        <f>IFERROR(_xlfn.RANK.EQ(O75,SearchTable[Search],1),"FEL")</f>
        <v>FEL</v>
      </c>
      <c r="O75" s="115" t="str">
        <f>IFERROR(SEARCH(SearchField,ProgramKurser[KURSNAMN])+ROW()/100000,"")</f>
        <v/>
      </c>
      <c r="P75" s="116" t="str">
        <f>ProgramKurser[KURSNAMN]</f>
        <v>Biomedicinska material</v>
      </c>
    </row>
    <row r="76" spans="14:16" x14ac:dyDescent="0.3">
      <c r="N76" s="115" t="str">
        <f>IFERROR(_xlfn.RANK.EQ(O76,SearchTable[Search],1),"FEL")</f>
        <v>FEL</v>
      </c>
      <c r="O76" s="115" t="str">
        <f>IFERROR(SEARCH(SearchField,ProgramKurser[KURSNAMN])+ROW()/100000,"")</f>
        <v/>
      </c>
      <c r="P76" s="116" t="str">
        <f>ProgramKurser[KURSNAMN]</f>
        <v>Biomekanik</v>
      </c>
    </row>
    <row r="77" spans="14:16" x14ac:dyDescent="0.3">
      <c r="N77" s="115" t="str">
        <f>IFERROR(_xlfn.RANK.EQ(O77,SearchTable[Search],1),"FEL")</f>
        <v>FEL</v>
      </c>
      <c r="O77" s="115" t="str">
        <f>IFERROR(SEARCH(SearchField,ProgramKurser[KURSNAMN])+ROW()/100000,"")</f>
        <v/>
      </c>
      <c r="P77" s="116" t="str">
        <f>ProgramKurser[KURSNAMN]</f>
        <v>Biomekanik</v>
      </c>
    </row>
    <row r="78" spans="14:16" x14ac:dyDescent="0.3">
      <c r="N78" s="115" t="str">
        <f>IFERROR(_xlfn.RANK.EQ(O78,SearchTable[Search],1),"FEL")</f>
        <v>FEL</v>
      </c>
      <c r="O78" s="115" t="str">
        <f>IFERROR(SEARCH(SearchField,ProgramKurser[KURSNAMN])+ROW()/100000,"")</f>
        <v/>
      </c>
      <c r="P78" s="116" t="str">
        <f>ProgramKurser[KURSNAMN]</f>
        <v>Biosensorteknik</v>
      </c>
    </row>
    <row r="79" spans="14:16" x14ac:dyDescent="0.3">
      <c r="N79" s="115" t="str">
        <f>IFERROR(_xlfn.RANK.EQ(O79,SearchTable[Search],1),"FEL")</f>
        <v>FEL</v>
      </c>
      <c r="O79" s="115" t="str">
        <f>IFERROR(SEARCH(SearchField,ProgramKurser[KURSNAMN])+ROW()/100000,"")</f>
        <v/>
      </c>
      <c r="P79" s="116" t="str">
        <f>ProgramKurser[KURSNAMN]</f>
        <v>Biostatistik</v>
      </c>
    </row>
    <row r="80" spans="14:16" x14ac:dyDescent="0.3">
      <c r="N80" s="115" t="str">
        <f>IFERROR(_xlfn.RANK.EQ(O80,SearchTable[Search],1),"FEL")</f>
        <v>FEL</v>
      </c>
      <c r="O80" s="115" t="str">
        <f>IFERROR(SEARCH(SearchField,ProgramKurser[KURSNAMN])+ROW()/100000,"")</f>
        <v/>
      </c>
      <c r="P80" s="116" t="str">
        <f>ProgramKurser[KURSNAMN]</f>
        <v>Databasteknik för kandidatprojekt</v>
      </c>
    </row>
    <row r="81" spans="14:16" x14ac:dyDescent="0.3">
      <c r="N81" s="115" t="str">
        <f>IFERROR(_xlfn.RANK.EQ(O81,SearchTable[Search],1),"FEL")</f>
        <v>FEL</v>
      </c>
      <c r="O81" s="115" t="str">
        <f>IFERROR(SEARCH(SearchField,ProgramKurser[KURSNAMN])+ROW()/100000,"")</f>
        <v/>
      </c>
      <c r="P81" s="116" t="str">
        <f>ProgramKurser[KURSNAMN]</f>
        <v>Bioteknisk biokemi</v>
      </c>
    </row>
    <row r="82" spans="14:16" x14ac:dyDescent="0.3">
      <c r="N82" s="115" t="str">
        <f>IFERROR(_xlfn.RANK.EQ(O82,SearchTable[Search],1),"FEL")</f>
        <v>FEL</v>
      </c>
      <c r="O82" s="115" t="str">
        <f>IFERROR(SEARCH(SearchField,ProgramKurser[KURSNAMN])+ROW()/100000,"")</f>
        <v/>
      </c>
      <c r="P82" s="116" t="str">
        <f>ProgramKurser[KURSNAMN]</f>
        <v>Bioteknisk metodik</v>
      </c>
    </row>
    <row r="83" spans="14:16" x14ac:dyDescent="0.3">
      <c r="N83" s="115" t="str">
        <f>IFERROR(_xlfn.RANK.EQ(O83,SearchTable[Search],1),"FEL")</f>
        <v>FEL</v>
      </c>
      <c r="O83" s="115" t="str">
        <f>IFERROR(SEARCH(SearchField,ProgramKurser[KURSNAMN])+ROW()/100000,"")</f>
        <v/>
      </c>
      <c r="P83" s="116" t="str">
        <f>ProgramKurser[KURSNAMN]</f>
        <v>Building Energy Systems</v>
      </c>
    </row>
    <row r="84" spans="14:16" x14ac:dyDescent="0.3">
      <c r="N84" s="115" t="str">
        <f>IFERROR(_xlfn.RANK.EQ(O84,SearchTable[Search],1),"FEL")</f>
        <v>FEL</v>
      </c>
      <c r="O84" s="115" t="str">
        <f>IFERROR(SEARCH(SearchField,ProgramKurser[KURSNAMN])+ROW()/100000,"")</f>
        <v/>
      </c>
      <c r="P84" s="116" t="str">
        <f>ProgramKurser[KURSNAMN]</f>
        <v>CAD och maskinelement</v>
      </c>
    </row>
    <row r="85" spans="14:16" x14ac:dyDescent="0.3">
      <c r="N85" s="115" t="str">
        <f>IFERROR(_xlfn.RANK.EQ(O85,SearchTable[Search],1),"FEL")</f>
        <v>FEL</v>
      </c>
      <c r="O85" s="115" t="str">
        <f>IFERROR(SEARCH(SearchField,ProgramKurser[KURSNAMN])+ROW()/100000,"")</f>
        <v/>
      </c>
      <c r="P85" s="116" t="str">
        <f>ProgramKurser[KURSNAMN]</f>
        <v>Cellbiologi</v>
      </c>
    </row>
    <row r="86" spans="14:16" x14ac:dyDescent="0.3">
      <c r="N86" s="115" t="str">
        <f>IFERROR(_xlfn.RANK.EQ(O86,SearchTable[Search],1),"FEL")</f>
        <v>FEL</v>
      </c>
      <c r="O86" s="115" t="str">
        <f>IFERROR(SEARCH(SearchField,ProgramKurser[KURSNAMN])+ROW()/100000,"")</f>
        <v/>
      </c>
      <c r="P86" s="116" t="str">
        <f>ProgramKurser[KURSNAMN]</f>
        <v>Cellbiologi och mikrobiella processer</v>
      </c>
    </row>
    <row r="87" spans="14:16" x14ac:dyDescent="0.3">
      <c r="N87" s="115" t="str">
        <f>IFERROR(_xlfn.RANK.EQ(O87,SearchTable[Search],1),"FEL")</f>
        <v>FEL</v>
      </c>
      <c r="O87" s="115" t="str">
        <f>IFERROR(SEARCH(SearchField,ProgramKurser[KURSNAMN])+ROW()/100000,"")</f>
        <v/>
      </c>
      <c r="P87" s="116" t="str">
        <f>ProgramKurser[KURSNAMN]</f>
        <v>Cellbiologisk metodik</v>
      </c>
    </row>
    <row r="88" spans="14:16" x14ac:dyDescent="0.3">
      <c r="N88" s="115" t="str">
        <f>IFERROR(_xlfn.RANK.EQ(O88,SearchTable[Search],1),"FEL")</f>
        <v>FEL</v>
      </c>
      <c r="O88" s="115" t="str">
        <f>IFERROR(SEARCH(SearchField,ProgramKurser[KURSNAMN])+ROW()/100000,"")</f>
        <v/>
      </c>
      <c r="P88" s="116" t="str">
        <f>ProgramKurser[KURSNAMN]</f>
        <v>Cellbiologisk metodik</v>
      </c>
    </row>
    <row r="89" spans="14:16" x14ac:dyDescent="0.3">
      <c r="N89" s="115" t="str">
        <f>IFERROR(_xlfn.RANK.EQ(O89,SearchTable[Search],1),"FEL")</f>
        <v>FEL</v>
      </c>
      <c r="O89" s="115" t="str">
        <f>IFERROR(SEARCH(SearchField,ProgramKurser[KURSNAMN])+ROW()/100000,"")</f>
        <v/>
      </c>
      <c r="P89" s="116" t="str">
        <f>ProgramKurser[KURSNAMN]</f>
        <v>Celltillväxt och celldifferentiering</v>
      </c>
    </row>
    <row r="90" spans="14:16" x14ac:dyDescent="0.3">
      <c r="N90" s="115" t="str">
        <f>IFERROR(_xlfn.RANK.EQ(O90,SearchTable[Search],1),"FEL")</f>
        <v>FEL</v>
      </c>
      <c r="O90" s="115" t="str">
        <f>IFERROR(SEARCH(SearchField,ProgramKurser[KURSNAMN])+ROW()/100000,"")</f>
        <v/>
      </c>
      <c r="P90" s="116" t="str">
        <f>ProgramKurser[KURSNAMN]</f>
        <v>Celltillväxt och celldifferentiering</v>
      </c>
    </row>
    <row r="91" spans="14:16" x14ac:dyDescent="0.3">
      <c r="N91" s="115" t="str">
        <f>IFERROR(_xlfn.RANK.EQ(O91,SearchTable[Search],1),"FEL")</f>
        <v>FEL</v>
      </c>
      <c r="O91" s="115" t="str">
        <f>IFERROR(SEARCH(SearchField,ProgramKurser[KURSNAMN])+ROW()/100000,"")</f>
        <v/>
      </c>
      <c r="P91" s="116" t="str">
        <f>ProgramKurser[KURSNAMN]</f>
        <v>Databasteknik</v>
      </c>
    </row>
    <row r="92" spans="14:16" x14ac:dyDescent="0.3">
      <c r="N92" s="115" t="str">
        <f>IFERROR(_xlfn.RANK.EQ(O92,SearchTable[Search],1),"FEL")</f>
        <v>FEL</v>
      </c>
      <c r="O92" s="115" t="str">
        <f>IFERROR(SEARCH(SearchField,ProgramKurser[KURSNAMN])+ROW()/100000,"")</f>
        <v/>
      </c>
      <c r="P92" s="116" t="str">
        <f>ProgramKurser[KURSNAMN]</f>
        <v>Datajuridisk översiktskurs</v>
      </c>
    </row>
    <row r="93" spans="14:16" x14ac:dyDescent="0.3">
      <c r="N93" s="115" t="str">
        <f>IFERROR(_xlfn.RANK.EQ(O93,SearchTable[Search],1),"FEL")</f>
        <v>FEL</v>
      </c>
      <c r="O93" s="115" t="str">
        <f>IFERROR(SEARCH(SearchField,ProgramKurser[KURSNAMN])+ROW()/100000,"")</f>
        <v/>
      </c>
      <c r="P93" s="116" t="str">
        <f>ProgramKurser[KURSNAMN]</f>
        <v>Datakompression</v>
      </c>
    </row>
    <row r="94" spans="14:16" x14ac:dyDescent="0.3">
      <c r="N94" s="115" t="str">
        <f>IFERROR(_xlfn.RANK.EQ(O94,SearchTable[Search],1),"FEL")</f>
        <v>FEL</v>
      </c>
      <c r="O94" s="115" t="str">
        <f>IFERROR(SEARCH(SearchField,ProgramKurser[KURSNAMN])+ROW()/100000,"")</f>
        <v/>
      </c>
      <c r="P94" s="116" t="str">
        <f>ProgramKurser[KURSNAMN]</f>
        <v>Datasäkerhet</v>
      </c>
    </row>
    <row r="95" spans="14:16" x14ac:dyDescent="0.3">
      <c r="N95" s="115" t="str">
        <f>IFERROR(_xlfn.RANK.EQ(O95,SearchTable[Search],1),"FEL")</f>
        <v>FEL</v>
      </c>
      <c r="O95" s="115" t="str">
        <f>IFERROR(SEARCH(SearchField,ProgramKurser[KURSNAMN])+ROW()/100000,"")</f>
        <v/>
      </c>
      <c r="P95" s="116" t="str">
        <f>ProgramKurser[KURSNAMN]</f>
        <v>Datorarkitektur</v>
      </c>
    </row>
    <row r="96" spans="14:16" x14ac:dyDescent="0.3">
      <c r="N96" s="115" t="str">
        <f>IFERROR(_xlfn.RANK.EQ(O96,SearchTable[Search],1),"FEL")</f>
        <v>FEL</v>
      </c>
      <c r="O96" s="115" t="str">
        <f>IFERROR(SEARCH(SearchField,ProgramKurser[KURSNAMN])+ROW()/100000,"")</f>
        <v/>
      </c>
      <c r="P96" s="116" t="str">
        <f>ProgramKurser[KURSNAMN]</f>
        <v>Datorgrafik</v>
      </c>
    </row>
    <row r="97" spans="14:16" x14ac:dyDescent="0.3">
      <c r="N97" s="115" t="str">
        <f>IFERROR(_xlfn.RANK.EQ(O97,SearchTable[Search],1),"FEL")</f>
        <v>FEL</v>
      </c>
      <c r="O97" s="115" t="str">
        <f>IFERROR(SEARCH(SearchField,ProgramKurser[KURSNAMN])+ROW()/100000,"")</f>
        <v/>
      </c>
      <c r="P97" s="116" t="str">
        <f>ProgramKurser[KURSNAMN]</f>
        <v>Datoriserad produktionsutrustning</v>
      </c>
    </row>
    <row r="98" spans="14:16" x14ac:dyDescent="0.3">
      <c r="N98" s="115" t="str">
        <f>IFERROR(_xlfn.RANK.EQ(O98,SearchTable[Search],1),"FEL")</f>
        <v>FEL</v>
      </c>
      <c r="O98" s="115" t="str">
        <f>IFERROR(SEARCH(SearchField,ProgramKurser[KURSNAMN])+ROW()/100000,"")</f>
        <v/>
      </c>
      <c r="P98" s="116" t="str">
        <f>ProgramKurser[KURSNAMN]</f>
        <v>Datornät och distribuerade system</v>
      </c>
    </row>
    <row r="99" spans="14:16" x14ac:dyDescent="0.3">
      <c r="N99" s="115" t="str">
        <f>IFERROR(_xlfn.RANK.EQ(O99,SearchTable[Search],1),"FEL")</f>
        <v>FEL</v>
      </c>
      <c r="O99" s="115" t="str">
        <f>IFERROR(SEARCH(SearchField,ProgramKurser[KURSNAMN])+ROW()/100000,"")</f>
        <v/>
      </c>
      <c r="P99" s="116" t="str">
        <f>ProgramKurser[KURSNAMN]</f>
        <v>Datorseende teori</v>
      </c>
    </row>
    <row r="100" spans="14:16" x14ac:dyDescent="0.3">
      <c r="N100" s="115" t="str">
        <f>IFERROR(_xlfn.RANK.EQ(O100,SearchTable[Search],1),"FEL")</f>
        <v>FEL</v>
      </c>
      <c r="O100" s="115" t="str">
        <f>IFERROR(SEARCH(SearchField,ProgramKurser[KURSNAMN])+ROW()/100000,"")</f>
        <v/>
      </c>
      <c r="P100" s="116" t="str">
        <f>ProgramKurser[KURSNAMN]</f>
        <v>Datorstödd produktframställning</v>
      </c>
    </row>
    <row r="101" spans="14:16" x14ac:dyDescent="0.3">
      <c r="N101" s="115" t="str">
        <f>IFERROR(_xlfn.RANK.EQ(O101,SearchTable[Search],1),"FEL")</f>
        <v>FEL</v>
      </c>
      <c r="O101" s="115" t="str">
        <f>IFERROR(SEARCH(SearchField,ProgramKurser[KURSNAMN])+ROW()/100000,"")</f>
        <v/>
      </c>
      <c r="P101" s="116" t="str">
        <f>ProgramKurser[KURSNAMN]</f>
        <v>Datorteknik</v>
      </c>
    </row>
    <row r="102" spans="14:16" x14ac:dyDescent="0.3">
      <c r="N102" s="115" t="str">
        <f>IFERROR(_xlfn.RANK.EQ(O102,SearchTable[Search],1),"FEL")</f>
        <v>FEL</v>
      </c>
      <c r="O102" s="115" t="str">
        <f>IFERROR(SEARCH(SearchField,ProgramKurser[KURSNAMN])+ROW()/100000,"")</f>
        <v/>
      </c>
      <c r="P102" s="116" t="str">
        <f>ProgramKurser[KURSNAMN]</f>
        <v>Kandidatprojekt datateknik</v>
      </c>
    </row>
    <row r="103" spans="14:16" x14ac:dyDescent="0.3">
      <c r="N103" s="115" t="str">
        <f>IFERROR(_xlfn.RANK.EQ(O103,SearchTable[Search],1),"FEL")</f>
        <v>FEL</v>
      </c>
      <c r="O103" s="115" t="str">
        <f>IFERROR(SEARCH(SearchField,ProgramKurser[KURSNAMN])+ROW()/100000,"")</f>
        <v/>
      </c>
      <c r="P103" s="116" t="str">
        <f>ProgramKurser[KURSNAMN]</f>
        <v>Datorteknik</v>
      </c>
    </row>
    <row r="104" spans="14:16" x14ac:dyDescent="0.3">
      <c r="N104" s="115" t="str">
        <f>IFERROR(_xlfn.RANK.EQ(O104,SearchTable[Search],1),"FEL")</f>
        <v>FEL</v>
      </c>
      <c r="O104" s="115" t="str">
        <f>IFERROR(SEARCH(SearchField,ProgramKurser[KURSNAMN])+ROW()/100000,"")</f>
        <v/>
      </c>
      <c r="P104" s="116" t="str">
        <f>ProgramKurser[KURSNAMN]</f>
        <v>Datorteknik och realtidssystem</v>
      </c>
    </row>
    <row r="105" spans="14:16" x14ac:dyDescent="0.3">
      <c r="N105" s="115" t="str">
        <f>IFERROR(_xlfn.RANK.EQ(O105,SearchTable[Search],1),"FEL")</f>
        <v>FEL</v>
      </c>
      <c r="O105" s="115" t="str">
        <f>IFERROR(SEARCH(SearchField,ProgramKurser[KURSNAMN])+ROW()/100000,"")</f>
        <v/>
      </c>
      <c r="P105" s="116" t="str">
        <f>ProgramKurser[KURSNAMN]</f>
        <v>Datorteknik Y</v>
      </c>
    </row>
    <row r="106" spans="14:16" x14ac:dyDescent="0.3">
      <c r="N106" s="115" t="str">
        <f>IFERROR(_xlfn.RANK.EQ(O106,SearchTable[Search],1),"FEL")</f>
        <v>FEL</v>
      </c>
      <c r="O106" s="115" t="str">
        <f>IFERROR(SEARCH(SearchField,ProgramKurser[KURSNAMN])+ROW()/100000,"")</f>
        <v/>
      </c>
      <c r="P106" s="116" t="str">
        <f>ProgramKurser[KURSNAMN]</f>
        <v>Design och implementering av programmodul i Java</v>
      </c>
    </row>
    <row r="107" spans="14:16" x14ac:dyDescent="0.3">
      <c r="N107" s="115" t="str">
        <f>IFERROR(_xlfn.RANK.EQ(O107,SearchTable[Search],1),"FEL")</f>
        <v>FEL</v>
      </c>
      <c r="O107" s="115" t="str">
        <f>IFERROR(SEARCH(SearchField,ProgramKurser[KURSNAMN])+ROW()/100000,"")</f>
        <v/>
      </c>
      <c r="P107" s="116" t="str">
        <f>ProgramKurser[KURSNAMN]</f>
        <v>Design och programmering av datorspel</v>
      </c>
    </row>
    <row r="108" spans="14:16" x14ac:dyDescent="0.3">
      <c r="N108" s="115" t="str">
        <f>IFERROR(_xlfn.RANK.EQ(O108,SearchTable[Search],1),"FEL")</f>
        <v>FEL</v>
      </c>
      <c r="O108" s="115" t="str">
        <f>IFERROR(SEARCH(SearchField,ProgramKurser[KURSNAMN])+ROW()/100000,"")</f>
        <v/>
      </c>
      <c r="P108" s="116" t="str">
        <f>ProgramKurser[KURSNAMN]</f>
        <v>Designmönster</v>
      </c>
    </row>
    <row r="109" spans="14:16" x14ac:dyDescent="0.3">
      <c r="N109" s="115" t="str">
        <f>IFERROR(_xlfn.RANK.EQ(O109,SearchTable[Search],1),"FEL")</f>
        <v>FEL</v>
      </c>
      <c r="O109" s="115" t="str">
        <f>IFERROR(SEARCH(SearchField,ProgramKurser[KURSNAMN])+ROW()/100000,"")</f>
        <v/>
      </c>
      <c r="P109" s="116" t="str">
        <f>ProgramKurser[KURSNAMN]</f>
        <v>Designmönster</v>
      </c>
    </row>
    <row r="110" spans="14:16" x14ac:dyDescent="0.3">
      <c r="N110" s="115" t="str">
        <f>IFERROR(_xlfn.RANK.EQ(O110,SearchTable[Search],1),"FEL")</f>
        <v>FEL</v>
      </c>
      <c r="O110" s="115" t="str">
        <f>IFERROR(SEARCH(SearchField,ProgramKurser[KURSNAMN])+ROW()/100000,"")</f>
        <v/>
      </c>
      <c r="P110" s="116" t="str">
        <f>ProgramKurser[KURSNAMN]</f>
        <v>Diagnos och övervakning</v>
      </c>
    </row>
    <row r="111" spans="14:16" x14ac:dyDescent="0.3">
      <c r="N111" s="115" t="str">
        <f>IFERROR(_xlfn.RANK.EQ(O111,SearchTable[Search],1),"FEL")</f>
        <v>FEL</v>
      </c>
      <c r="O111" s="115" t="str">
        <f>IFERROR(SEARCH(SearchField,ProgramKurser[KURSNAMN])+ROW()/100000,"")</f>
        <v/>
      </c>
      <c r="P111" s="116" t="str">
        <f>ProgramKurser[KURSNAMN]</f>
        <v>Digital bildbehandling grundkurs</v>
      </c>
    </row>
    <row r="112" spans="14:16" x14ac:dyDescent="0.3">
      <c r="N112" s="115" t="str">
        <f>IFERROR(_xlfn.RANK.EQ(O112,SearchTable[Search],1),"FEL")</f>
        <v>FEL</v>
      </c>
      <c r="O112" s="115" t="str">
        <f>IFERROR(SEARCH(SearchField,ProgramKurser[KURSNAMN])+ROW()/100000,"")</f>
        <v/>
      </c>
      <c r="P112" s="116" t="str">
        <f>ProgramKurser[KURSNAMN]</f>
        <v>Digital kommunikation</v>
      </c>
    </row>
    <row r="113" spans="14:16" x14ac:dyDescent="0.3">
      <c r="N113" s="115" t="str">
        <f>IFERROR(_xlfn.RANK.EQ(O113,SearchTable[Search],1),"FEL")</f>
        <v>FEL</v>
      </c>
      <c r="O113" s="115" t="str">
        <f>IFERROR(SEARCH(SearchField,ProgramKurser[KURSNAMN])+ROW()/100000,"")</f>
        <v/>
      </c>
      <c r="P113" s="116" t="str">
        <f>ProgramKurser[KURSNAMN]</f>
        <v>Digital kommunikation fk</v>
      </c>
    </row>
    <row r="114" spans="14:16" x14ac:dyDescent="0.3">
      <c r="N114" s="115" t="str">
        <f>IFERROR(_xlfn.RANK.EQ(O114,SearchTable[Search],1),"FEL")</f>
        <v>FEL</v>
      </c>
      <c r="O114" s="115" t="str">
        <f>IFERROR(SEARCH(SearchField,ProgramKurser[KURSNAMN])+ROW()/100000,"")</f>
        <v/>
      </c>
      <c r="P114" s="116" t="str">
        <f>ProgramKurser[KURSNAMN]</f>
        <v>Digital konstruktion</v>
      </c>
    </row>
    <row r="115" spans="14:16" x14ac:dyDescent="0.3">
      <c r="N115" s="115" t="str">
        <f>IFERROR(_xlfn.RANK.EQ(O115,SearchTable[Search],1),"FEL")</f>
        <v>FEL</v>
      </c>
      <c r="O115" s="115" t="str">
        <f>IFERROR(SEARCH(SearchField,ProgramKurser[KURSNAMN])+ROW()/100000,"")</f>
        <v/>
      </c>
      <c r="P115" s="116" t="str">
        <f>ProgramKurser[KURSNAMN]</f>
        <v>Digital signalbehandling</v>
      </c>
    </row>
    <row r="116" spans="14:16" x14ac:dyDescent="0.3">
      <c r="N116" s="115" t="str">
        <f>IFERROR(_xlfn.RANK.EQ(O116,SearchTable[Search],1),"FEL")</f>
        <v>FEL</v>
      </c>
      <c r="O116" s="115" t="str">
        <f>IFERROR(SEARCH(SearchField,ProgramKurser[KURSNAMN])+ROW()/100000,"")</f>
        <v/>
      </c>
      <c r="P116" s="116" t="str">
        <f>ProgramKurser[KURSNAMN]</f>
        <v>Digitala filter</v>
      </c>
    </row>
    <row r="117" spans="14:16" x14ac:dyDescent="0.3">
      <c r="N117" s="115" t="str">
        <f>IFERROR(_xlfn.RANK.EQ(O117,SearchTable[Search],1),"FEL")</f>
        <v>FEL</v>
      </c>
      <c r="O117" s="115" t="str">
        <f>IFERROR(SEARCH(SearchField,ProgramKurser[KURSNAMN])+ROW()/100000,"")</f>
        <v/>
      </c>
      <c r="P117" s="116" t="str">
        <f>ProgramKurser[KURSNAMN]</f>
        <v>Digitala integrerade kretsar</v>
      </c>
    </row>
    <row r="118" spans="14:16" x14ac:dyDescent="0.3">
      <c r="N118" s="115" t="str">
        <f>IFERROR(_xlfn.RANK.EQ(O118,SearchTable[Search],1),"FEL")</f>
        <v>FEL</v>
      </c>
      <c r="O118" s="115" t="str">
        <f>IFERROR(SEARCH(SearchField,ProgramKurser[KURSNAMN])+ROW()/100000,"")</f>
        <v/>
      </c>
      <c r="P118" s="116" t="str">
        <f>ProgramKurser[KURSNAMN]</f>
        <v>Digitalteknik M</v>
      </c>
    </row>
    <row r="119" spans="14:16" x14ac:dyDescent="0.3">
      <c r="N119" s="115" t="str">
        <f>IFERROR(_xlfn.RANK.EQ(O119,SearchTable[Search],1),"FEL")</f>
        <v>FEL</v>
      </c>
      <c r="O119" s="115" t="str">
        <f>IFERROR(SEARCH(SearchField,ProgramKurser[KURSNAMN])+ROW()/100000,"")</f>
        <v/>
      </c>
      <c r="P119" s="116" t="str">
        <f>ProgramKurser[KURSNAMN]</f>
        <v>Effektdriven utveckling och humancentrerad design av interaktiva system</v>
      </c>
    </row>
    <row r="120" spans="14:16" x14ac:dyDescent="0.3">
      <c r="N120" s="115" t="str">
        <f>IFERROR(_xlfn.RANK.EQ(O120,SearchTable[Search],1),"FEL")</f>
        <v>FEL</v>
      </c>
      <c r="O120" s="115" t="str">
        <f>IFERROR(SEARCH(SearchField,ProgramKurser[KURSNAMN])+ROW()/100000,"")</f>
        <v/>
      </c>
      <c r="P120" s="116" t="str">
        <f>ProgramKurser[KURSNAMN]</f>
        <v>Ekonomisk analys: Ekonomisk teori</v>
      </c>
    </row>
    <row r="121" spans="14:16" x14ac:dyDescent="0.3">
      <c r="N121" s="115" t="str">
        <f>IFERROR(_xlfn.RANK.EQ(O121,SearchTable[Search],1),"FEL")</f>
        <v>FEL</v>
      </c>
      <c r="O121" s="115" t="str">
        <f>IFERROR(SEARCH(SearchField,ProgramKurser[KURSNAMN])+ROW()/100000,"")</f>
        <v/>
      </c>
      <c r="P121" s="116" t="str">
        <f>ProgramKurser[KURSNAMN]</f>
        <v>Ekonomisk styrning</v>
      </c>
    </row>
    <row r="122" spans="14:16" x14ac:dyDescent="0.3">
      <c r="N122" s="115" t="str">
        <f>IFERROR(_xlfn.RANK.EQ(O122,SearchTable[Search],1),"FEL")</f>
        <v>FEL</v>
      </c>
      <c r="O122" s="115" t="str">
        <f>IFERROR(SEARCH(SearchField,ProgramKurser[KURSNAMN])+ROW()/100000,"")</f>
        <v/>
      </c>
      <c r="P122" s="116" t="str">
        <f>ProgramKurser[KURSNAMN]</f>
        <v>Ekonomisk styrning</v>
      </c>
    </row>
    <row r="123" spans="14:16" x14ac:dyDescent="0.3">
      <c r="N123" s="115" t="str">
        <f>IFERROR(_xlfn.RANK.EQ(O123,SearchTable[Search],1),"FEL")</f>
        <v>FEL</v>
      </c>
      <c r="O123" s="115" t="str">
        <f>IFERROR(SEARCH(SearchField,ProgramKurser[KURSNAMN])+ROW()/100000,"")</f>
        <v/>
      </c>
      <c r="P123" s="116" t="str">
        <f>ProgramKurser[KURSNAMN]</f>
        <v>Ekonomiska perspektiv på IT-användning - för individ, organisation och samhälle</v>
      </c>
    </row>
    <row r="124" spans="14:16" x14ac:dyDescent="0.3">
      <c r="N124" s="115" t="str">
        <f>IFERROR(_xlfn.RANK.EQ(O124,SearchTable[Search],1),"FEL")</f>
        <v>FEL</v>
      </c>
      <c r="O124" s="115" t="str">
        <f>IFERROR(SEARCH(SearchField,ProgramKurser[KURSNAMN])+ROW()/100000,"")</f>
        <v/>
      </c>
      <c r="P124" s="116" t="str">
        <f>ProgramKurser[KURSNAMN]</f>
        <v>Elektronik kandidatprojekt</v>
      </c>
    </row>
    <row r="125" spans="14:16" x14ac:dyDescent="0.3">
      <c r="N125" s="115" t="str">
        <f>IFERROR(_xlfn.RANK.EQ(O125,SearchTable[Search],1),"FEL")</f>
        <v>FEL</v>
      </c>
      <c r="O125" s="115" t="str">
        <f>IFERROR(SEARCH(SearchField,ProgramKurser[KURSNAMN])+ROW()/100000,"")</f>
        <v/>
      </c>
      <c r="P125" s="116" t="str">
        <f>ProgramKurser[KURSNAMN]</f>
        <v>Elkraftteknik</v>
      </c>
    </row>
    <row r="126" spans="14:16" x14ac:dyDescent="0.3">
      <c r="N126" s="115" t="str">
        <f>IFERROR(_xlfn.RANK.EQ(O126,SearchTable[Search],1),"FEL")</f>
        <v>FEL</v>
      </c>
      <c r="O126" s="115" t="str">
        <f>IFERROR(SEARCH(SearchField,ProgramKurser[KURSNAMN])+ROW()/100000,"")</f>
        <v/>
      </c>
      <c r="P126" s="116" t="str">
        <f>ProgramKurser[KURSNAMN]</f>
        <v>Energiomvandling - tekniska perspektiv</v>
      </c>
    </row>
    <row r="127" spans="14:16" x14ac:dyDescent="0.3">
      <c r="N127" s="115" t="str">
        <f>IFERROR(_xlfn.RANK.EQ(O127,SearchTable[Search],1),"FEL")</f>
        <v>FEL</v>
      </c>
      <c r="O127" s="115" t="str">
        <f>IFERROR(SEARCH(SearchField,ProgramKurser[KURSNAMN])+ROW()/100000,"")</f>
        <v/>
      </c>
      <c r="P127" s="116" t="str">
        <f>ProgramKurser[KURSNAMN]</f>
        <v>Energiresurser</v>
      </c>
    </row>
    <row r="128" spans="14:16" x14ac:dyDescent="0.3">
      <c r="N128" s="115" t="str">
        <f>IFERROR(_xlfn.RANK.EQ(O128,SearchTable[Search],1),"FEL")</f>
        <v>FEL</v>
      </c>
      <c r="O128" s="115" t="str">
        <f>IFERROR(SEARCH(SearchField,ProgramKurser[KURSNAMN])+ROW()/100000,"")</f>
        <v/>
      </c>
      <c r="P128" s="116" t="str">
        <f>ProgramKurser[KURSNAMN]</f>
        <v>Energisystem - projektkurs</v>
      </c>
    </row>
    <row r="129" spans="14:16" x14ac:dyDescent="0.3">
      <c r="N129" s="115" t="str">
        <f>IFERROR(_xlfn.RANK.EQ(O129,SearchTable[Search],1),"FEL")</f>
        <v>FEL</v>
      </c>
      <c r="O129" s="115" t="str">
        <f>IFERROR(SEARCH(SearchField,ProgramKurser[KURSNAMN])+ROW()/100000,"")</f>
        <v/>
      </c>
      <c r="P129" s="116" t="str">
        <f>ProgramKurser[KURSNAMN]</f>
        <v>Energisystem - tillförsel och användning</v>
      </c>
    </row>
    <row r="130" spans="14:16" x14ac:dyDescent="0.3">
      <c r="N130" s="115" t="str">
        <f>IFERROR(_xlfn.RANK.EQ(O130,SearchTable[Search],1),"FEL")</f>
        <v>FEL</v>
      </c>
      <c r="O130" s="115" t="str">
        <f>IFERROR(SEARCH(SearchField,ProgramKurser[KURSNAMN])+ROW()/100000,"")</f>
        <v/>
      </c>
      <c r="P130" s="116" t="str">
        <f>ProgramKurser[KURSNAMN]</f>
        <v>Engelska</v>
      </c>
    </row>
    <row r="131" spans="14:16" x14ac:dyDescent="0.3">
      <c r="N131" s="115" t="str">
        <f>IFERROR(_xlfn.RANK.EQ(O131,SearchTable[Search],1),"FEL")</f>
        <v>FEL</v>
      </c>
      <c r="O131" s="115" t="str">
        <f>IFERROR(SEARCH(SearchField,ProgramKurser[KURSNAMN])+ROW()/100000,"")</f>
        <v/>
      </c>
      <c r="P131" s="116" t="str">
        <f>ProgramKurser[KURSNAMN]</f>
        <v>Affärsstrategier</v>
      </c>
    </row>
    <row r="132" spans="14:16" x14ac:dyDescent="0.3">
      <c r="N132" s="115" t="str">
        <f>IFERROR(_xlfn.RANK.EQ(O132,SearchTable[Search],1),"FEL")</f>
        <v>FEL</v>
      </c>
      <c r="O132" s="115" t="str">
        <f>IFERROR(SEARCH(SearchField,ProgramKurser[KURSNAMN])+ROW()/100000,"")</f>
        <v/>
      </c>
      <c r="P132" s="116" t="str">
        <f>ProgramKurser[KURSNAMN]</f>
        <v>Entreprenörskap och start av nya verksamheter</v>
      </c>
    </row>
    <row r="133" spans="14:16" x14ac:dyDescent="0.3">
      <c r="N133" s="115" t="str">
        <f>IFERROR(_xlfn.RANK.EQ(O133,SearchTable[Search],1),"FEL")</f>
        <v>FEL</v>
      </c>
      <c r="O133" s="115" t="str">
        <f>IFERROR(SEARCH(SearchField,ProgramKurser[KURSNAMN])+ROW()/100000,"")</f>
        <v/>
      </c>
      <c r="P133" s="116" t="str">
        <f>ProgramKurser[KURSNAMN]</f>
        <v>Entreprenörskap och start av nya verksamheter</v>
      </c>
    </row>
    <row r="134" spans="14:16" x14ac:dyDescent="0.3">
      <c r="N134" s="115" t="str">
        <f>IFERROR(_xlfn.RANK.EQ(O134,SearchTable[Search],1),"FEL")</f>
        <v>FEL</v>
      </c>
      <c r="O134" s="115" t="str">
        <f>IFERROR(SEARCH(SearchField,ProgramKurser[KURSNAMN])+ROW()/100000,"")</f>
        <v/>
      </c>
      <c r="P134" s="116" t="str">
        <f>ProgramKurser[KURSNAMN]</f>
        <v>Entreprenörskap och start av nya verksamheter</v>
      </c>
    </row>
    <row r="135" spans="14:16" x14ac:dyDescent="0.3">
      <c r="N135" s="115" t="str">
        <f>IFERROR(_xlfn.RANK.EQ(O135,SearchTable[Search],1),"FEL")</f>
        <v>FEL</v>
      </c>
      <c r="O135" s="115" t="str">
        <f>IFERROR(SEARCH(SearchField,ProgramKurser[KURSNAMN])+ROW()/100000,"")</f>
        <v/>
      </c>
      <c r="P135" s="116" t="str">
        <f>ProgramKurser[KURSNAMN]</f>
        <v>Felrättande koder</v>
      </c>
    </row>
    <row r="136" spans="14:16" x14ac:dyDescent="0.3">
      <c r="N136" s="115" t="str">
        <f>IFERROR(_xlfn.RANK.EQ(O136,SearchTable[Search],1),"FEL")</f>
        <v>FEL</v>
      </c>
      <c r="O136" s="115" t="str">
        <f>IFERROR(SEARCH(SearchField,ProgramKurser[KURSNAMN])+ROW()/100000,"")</f>
        <v/>
      </c>
      <c r="P136" s="116" t="str">
        <f>ProgramKurser[KURSNAMN]</f>
        <v>Finansiell optimering</v>
      </c>
    </row>
    <row r="137" spans="14:16" x14ac:dyDescent="0.3">
      <c r="N137" s="115" t="str">
        <f>IFERROR(_xlfn.RANK.EQ(O137,SearchTable[Search],1),"FEL")</f>
        <v>FEL</v>
      </c>
      <c r="O137" s="115" t="str">
        <f>IFERROR(SEARCH(SearchField,ProgramKurser[KURSNAMN])+ROW()/100000,"")</f>
        <v/>
      </c>
      <c r="P137" s="116" t="str">
        <f>ProgramKurser[KURSNAMN]</f>
        <v>Finansiell riskhantering</v>
      </c>
    </row>
    <row r="138" spans="14:16" x14ac:dyDescent="0.3">
      <c r="N138" s="115" t="str">
        <f>IFERROR(_xlfn.RANK.EQ(O138,SearchTable[Search],1),"FEL")</f>
        <v>FEL</v>
      </c>
      <c r="O138" s="115" t="str">
        <f>IFERROR(SEARCH(SearchField,ProgramKurser[KURSNAMN])+ROW()/100000,"")</f>
        <v/>
      </c>
      <c r="P138" s="116" t="str">
        <f>ProgramKurser[KURSNAMN]</f>
        <v>Finansiell värderingsmetodik</v>
      </c>
    </row>
    <row r="139" spans="14:16" x14ac:dyDescent="0.3">
      <c r="N139" s="115" t="str">
        <f>IFERROR(_xlfn.RANK.EQ(O139,SearchTable[Search],1),"FEL")</f>
        <v>FEL</v>
      </c>
      <c r="O139" s="115" t="str">
        <f>IFERROR(SEARCH(SearchField,ProgramKurser[KURSNAMN])+ROW()/100000,"")</f>
        <v/>
      </c>
      <c r="P139" s="116" t="str">
        <f>ProgramKurser[KURSNAMN]</f>
        <v>Finansiella marknader och instrument</v>
      </c>
    </row>
    <row r="140" spans="14:16" x14ac:dyDescent="0.3">
      <c r="N140" s="115" t="str">
        <f>IFERROR(_xlfn.RANK.EQ(O140,SearchTable[Search],1),"FEL")</f>
        <v>FEL</v>
      </c>
      <c r="O140" s="115" t="str">
        <f>IFERROR(SEARCH(SearchField,ProgramKurser[KURSNAMN])+ROW()/100000,"")</f>
        <v/>
      </c>
      <c r="P140" s="116" t="str">
        <f>ProgramKurser[KURSNAMN]</f>
        <v>Finita Elementmetoden FEM, fortsättningskurs</v>
      </c>
    </row>
    <row r="141" spans="14:16" x14ac:dyDescent="0.3">
      <c r="N141" s="115" t="str">
        <f>IFERROR(_xlfn.RANK.EQ(O141,SearchTable[Search],1),"FEL")</f>
        <v>FEL</v>
      </c>
      <c r="O141" s="115" t="str">
        <f>IFERROR(SEARCH(SearchField,ProgramKurser[KURSNAMN])+ROW()/100000,"")</f>
        <v/>
      </c>
      <c r="P141" s="116" t="str">
        <f>ProgramKurser[KURSNAMN]</f>
        <v>Flerkroppsmekanik och robotik</v>
      </c>
    </row>
    <row r="142" spans="14:16" x14ac:dyDescent="0.3">
      <c r="N142" s="115" t="str">
        <f>IFERROR(_xlfn.RANK.EQ(O142,SearchTable[Search],1),"FEL")</f>
        <v>FEL</v>
      </c>
      <c r="O142" s="115" t="str">
        <f>IFERROR(SEARCH(SearchField,ProgramKurser[KURSNAMN])+ROW()/100000,"")</f>
        <v/>
      </c>
      <c r="P142" s="116" t="str">
        <f>ProgramKurser[KURSNAMN]</f>
        <v>Formella språk och automatateori</v>
      </c>
    </row>
    <row r="143" spans="14:16" x14ac:dyDescent="0.3">
      <c r="N143" s="115" t="str">
        <f>IFERROR(_xlfn.RANK.EQ(O143,SearchTable[Search],1),"FEL")</f>
        <v>FEL</v>
      </c>
      <c r="O143" s="115" t="str">
        <f>IFERROR(SEARCH(SearchField,ProgramKurser[KURSNAMN])+ROW()/100000,"")</f>
        <v/>
      </c>
      <c r="P143" s="116" t="str">
        <f>ProgramKurser[KURSNAMN]</f>
        <v>Formella språk och automatateori</v>
      </c>
    </row>
    <row r="144" spans="14:16" x14ac:dyDescent="0.3">
      <c r="N144" s="115" t="str">
        <f>IFERROR(_xlfn.RANK.EQ(O144,SearchTable[Search],1),"FEL")</f>
        <v>FEL</v>
      </c>
      <c r="O144" s="115" t="str">
        <f>IFERROR(SEARCH(SearchField,ProgramKurser[KURSNAMN])+ROW()/100000,"")</f>
        <v/>
      </c>
      <c r="P144" s="116" t="str">
        <f>ProgramKurser[KURSNAMN]</f>
        <v>Corporate Finance</v>
      </c>
    </row>
    <row r="145" spans="14:16" x14ac:dyDescent="0.3">
      <c r="N145" s="115" t="str">
        <f>IFERROR(_xlfn.RANK.EQ(O145,SearchTable[Search],1),"FEL")</f>
        <v>FEL</v>
      </c>
      <c r="O145" s="115" t="str">
        <f>IFERROR(SEARCH(SearchField,ProgramKurser[KURSNAMN])+ROW()/100000,"")</f>
        <v/>
      </c>
      <c r="P145" s="116" t="str">
        <f>ProgramKurser[KURSNAMN]</f>
        <v>Formgivning</v>
      </c>
    </row>
    <row r="146" spans="14:16" x14ac:dyDescent="0.3">
      <c r="N146" s="115" t="str">
        <f>IFERROR(_xlfn.RANK.EQ(O146,SearchTable[Search],1),"FEL")</f>
        <v>FEL</v>
      </c>
      <c r="O146" s="115" t="str">
        <f>IFERROR(SEARCH(SearchField,ProgramKurser[KURSNAMN])+ROW()/100000,"")</f>
        <v/>
      </c>
      <c r="P146" s="116" t="str">
        <f>ProgramKurser[KURSNAMN]</f>
        <v>Fysik</v>
      </c>
    </row>
    <row r="147" spans="14:16" x14ac:dyDescent="0.3">
      <c r="N147" s="115" t="str">
        <f>IFERROR(_xlfn.RANK.EQ(O147,SearchTable[Search],1),"FEL")</f>
        <v>FEL</v>
      </c>
      <c r="O147" s="115" t="str">
        <f>IFERROR(SEARCH(SearchField,ProgramKurser[KURSNAMN])+ROW()/100000,"")</f>
        <v/>
      </c>
      <c r="P147" s="116" t="str">
        <f>ProgramKurser[KURSNAMN]</f>
        <v>Fysik</v>
      </c>
    </row>
    <row r="148" spans="14:16" x14ac:dyDescent="0.3">
      <c r="N148" s="115" t="str">
        <f>IFERROR(_xlfn.RANK.EQ(O148,SearchTable[Search],1),"FEL")</f>
        <v>FEL</v>
      </c>
      <c r="O148" s="115" t="str">
        <f>IFERROR(SEARCH(SearchField,ProgramKurser[KURSNAMN])+ROW()/100000,"")</f>
        <v/>
      </c>
      <c r="P148" s="116" t="str">
        <f>ProgramKurser[KURSNAMN]</f>
        <v>Fysiologiska principer och etik</v>
      </c>
    </row>
    <row r="149" spans="14:16" x14ac:dyDescent="0.3">
      <c r="N149" s="115" t="str">
        <f>IFERROR(_xlfn.RANK.EQ(O149,SearchTable[Search],1),"FEL")</f>
        <v>FEL</v>
      </c>
      <c r="O149" s="115" t="str">
        <f>IFERROR(SEARCH(SearchField,ProgramKurser[KURSNAMN])+ROW()/100000,"")</f>
        <v/>
      </c>
      <c r="P149" s="116" t="str">
        <f>ProgramKurser[KURSNAMN]</f>
        <v>Fysiologiska tryck och flöden</v>
      </c>
    </row>
    <row r="150" spans="14:16" x14ac:dyDescent="0.3">
      <c r="N150" s="115" t="str">
        <f>IFERROR(_xlfn.RANK.EQ(O150,SearchTable[Search],1),"FEL")</f>
        <v>FEL</v>
      </c>
      <c r="O150" s="115" t="str">
        <f>IFERROR(SEARCH(SearchField,ProgramKurser[KURSNAMN])+ROW()/100000,"")</f>
        <v/>
      </c>
      <c r="P150" s="116" t="str">
        <f>ProgramKurser[KURSNAMN]</f>
        <v>Företagsvärdering</v>
      </c>
    </row>
    <row r="151" spans="14:16" x14ac:dyDescent="0.3">
      <c r="N151" s="115" t="str">
        <f>IFERROR(_xlfn.RANK.EQ(O151,SearchTable[Search],1),"FEL")</f>
        <v>FEL</v>
      </c>
      <c r="O151" s="115" t="str">
        <f>IFERROR(SEARCH(SearchField,ProgramKurser[KURSNAMN])+ROW()/100000,"")</f>
        <v/>
      </c>
      <c r="P151" s="116" t="str">
        <f>ProgramKurser[KURSNAMN]</f>
        <v>Företagsvärdering</v>
      </c>
    </row>
    <row r="152" spans="14:16" x14ac:dyDescent="0.3">
      <c r="N152" s="115" t="str">
        <f>IFERROR(_xlfn.RANK.EQ(O152,SearchTable[Search],1),"FEL")</f>
        <v>FEL</v>
      </c>
      <c r="O152" s="115" t="str">
        <f>IFERROR(SEARCH(SearchField,ProgramKurser[KURSNAMN])+ROW()/100000,"")</f>
        <v/>
      </c>
      <c r="P152" s="116" t="str">
        <f>ProgramKurser[KURSNAMN]</f>
        <v>Företagsvärdering</v>
      </c>
    </row>
    <row r="153" spans="14:16" x14ac:dyDescent="0.3">
      <c r="N153" s="115" t="str">
        <f>IFERROR(_xlfn.RANK.EQ(O153,SearchTable[Search],1),"FEL")</f>
        <v>FEL</v>
      </c>
      <c r="O153" s="115" t="str">
        <f>IFERROR(SEARCH(SearchField,ProgramKurser[KURSNAMN])+ROW()/100000,"")</f>
        <v/>
      </c>
      <c r="P153" s="116" t="str">
        <f>ProgramKurser[KURSNAMN]</f>
        <v>Försöksplanering och biostatistik</v>
      </c>
    </row>
    <row r="154" spans="14:16" x14ac:dyDescent="0.3">
      <c r="N154" s="115" t="str">
        <f>IFERROR(_xlfn.RANK.EQ(O154,SearchTable[Search],1),"FEL")</f>
        <v>FEL</v>
      </c>
      <c r="O154" s="115" t="str">
        <f>IFERROR(SEARCH(SearchField,ProgramKurser[KURSNAMN])+ROW()/100000,"")</f>
        <v/>
      </c>
      <c r="P154" s="116" t="str">
        <f>ProgramKurser[KURSNAMN]</f>
        <v>Genetik och evolution</v>
      </c>
    </row>
  </sheetData>
  <pageMargins left="0.7" right="0.7" top="0.75" bottom="0.75" header="0.3" footer="0.3"/>
  <tableParts count="7">
    <tablePart r:id="rId1"/>
    <tablePart r:id="rId2"/>
    <tablePart r:id="rId3"/>
    <tablePart r:id="rId4"/>
    <tablePart r:id="rId5"/>
    <tablePart r:id="rId6"/>
    <tablePart r:id="rId7"/>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0">
    <tabColor rgb="FF002060"/>
  </sheetPr>
  <dimension ref="A1:G83"/>
  <sheetViews>
    <sheetView topLeftCell="B1" workbookViewId="0">
      <selection activeCell="H21" sqref="H21"/>
    </sheetView>
  </sheetViews>
  <sheetFormatPr defaultRowHeight="15" x14ac:dyDescent="0.3"/>
  <cols>
    <col min="2" max="2" width="40.875" bestFit="1" customWidth="1"/>
    <col min="3" max="3" width="34.875" customWidth="1"/>
    <col min="4" max="4" width="28.25" bestFit="1" customWidth="1"/>
    <col min="5" max="5" width="3.75" bestFit="1" customWidth="1"/>
    <col min="6" max="6" width="4.875" bestFit="1" customWidth="1"/>
    <col min="7" max="7" width="6.5" bestFit="1" customWidth="1"/>
    <col min="8" max="8" width="40.875" bestFit="1" customWidth="1"/>
    <col min="9" max="9" width="32.375" bestFit="1" customWidth="1"/>
    <col min="10" max="10" width="28.25" bestFit="1" customWidth="1"/>
    <col min="11" max="11" width="3.75" bestFit="1" customWidth="1"/>
    <col min="12" max="12" width="4.875" bestFit="1" customWidth="1"/>
    <col min="13" max="13" width="6.5" bestFit="1" customWidth="1"/>
    <col min="14" max="14" width="40.875" bestFit="1" customWidth="1"/>
    <col min="15" max="15" width="32.375" bestFit="1" customWidth="1"/>
    <col min="16" max="16" width="28.25" bestFit="1" customWidth="1"/>
    <col min="17" max="17" width="3.75" bestFit="1" customWidth="1"/>
    <col min="18" max="18" width="4.875" bestFit="1" customWidth="1"/>
    <col min="19" max="19" width="6.5" bestFit="1" customWidth="1"/>
    <col min="20" max="20" width="40.875" bestFit="1" customWidth="1"/>
    <col min="21" max="21" width="32.375" bestFit="1" customWidth="1"/>
    <col min="22" max="22" width="28.25" bestFit="1" customWidth="1"/>
    <col min="23" max="23" width="3.75" customWidth="1"/>
    <col min="24" max="24" width="4.875" customWidth="1"/>
    <col min="25" max="25" width="6.5" customWidth="1"/>
    <col min="26" max="26" width="40.875" bestFit="1" customWidth="1"/>
    <col min="27" max="27" width="32.375" customWidth="1"/>
    <col min="28" max="28" width="28.25" bestFit="1" customWidth="1"/>
    <col min="29" max="29" width="3.75" bestFit="1" customWidth="1"/>
    <col min="30" max="30" width="4.875" bestFit="1" customWidth="1"/>
    <col min="31" max="31" width="6.5" bestFit="1" customWidth="1"/>
  </cols>
  <sheetData>
    <row r="1" spans="1:7" ht="30" x14ac:dyDescent="0.3">
      <c r="A1" s="163"/>
      <c r="B1" s="130" t="s">
        <v>315</v>
      </c>
      <c r="C1" s="163"/>
      <c r="D1" s="131" t="s">
        <v>316</v>
      </c>
    </row>
    <row r="2" spans="1:7" x14ac:dyDescent="0.3">
      <c r="A2" s="132"/>
      <c r="B2" s="133" t="s">
        <v>317</v>
      </c>
      <c r="C2" s="134"/>
      <c r="D2" s="135" t="s">
        <v>316</v>
      </c>
    </row>
    <row r="3" spans="1:7" x14ac:dyDescent="0.3">
      <c r="A3" s="163"/>
      <c r="B3" s="163"/>
      <c r="C3" s="163"/>
      <c r="D3" s="163"/>
      <c r="E3" s="163"/>
      <c r="F3" s="163"/>
      <c r="G3" s="163"/>
    </row>
    <row r="4" spans="1:7" x14ac:dyDescent="0.3">
      <c r="A4" s="163"/>
      <c r="B4" s="320" t="s">
        <v>336</v>
      </c>
      <c r="C4" s="320"/>
      <c r="D4" s="163"/>
      <c r="E4" s="163"/>
      <c r="F4" s="163"/>
      <c r="G4" s="163"/>
    </row>
    <row r="5" spans="1:7" x14ac:dyDescent="0.3">
      <c r="A5" s="163"/>
      <c r="B5" s="320" t="s">
        <v>1991</v>
      </c>
      <c r="C5" s="320"/>
      <c r="D5" s="163"/>
      <c r="E5" s="163"/>
      <c r="F5" s="163"/>
      <c r="G5" s="163"/>
    </row>
    <row r="6" spans="1:7" x14ac:dyDescent="0.3">
      <c r="A6" s="163"/>
      <c r="B6" s="320" t="s">
        <v>1999</v>
      </c>
      <c r="C6" s="320"/>
      <c r="D6" s="163"/>
      <c r="E6" s="163"/>
      <c r="F6" s="163"/>
      <c r="G6" s="163"/>
    </row>
    <row r="7" spans="1:7" x14ac:dyDescent="0.3">
      <c r="A7" s="163"/>
      <c r="B7" s="320" t="s">
        <v>318</v>
      </c>
      <c r="C7" s="320"/>
      <c r="D7" s="163"/>
      <c r="E7" s="163"/>
      <c r="F7" s="163"/>
      <c r="G7" s="163"/>
    </row>
    <row r="8" spans="1:7" x14ac:dyDescent="0.3">
      <c r="A8" s="163"/>
      <c r="B8" s="321"/>
      <c r="C8" s="321"/>
      <c r="D8" s="321"/>
      <c r="E8" s="321"/>
      <c r="F8" s="321"/>
      <c r="G8" s="321"/>
    </row>
    <row r="9" spans="1:7" x14ac:dyDescent="0.3">
      <c r="A9" s="162"/>
      <c r="B9" s="322"/>
      <c r="C9" s="322"/>
      <c r="D9" s="322"/>
      <c r="E9" s="322"/>
      <c r="F9" s="322"/>
      <c r="G9" s="322"/>
    </row>
    <row r="10" spans="1:7" x14ac:dyDescent="0.3">
      <c r="A10" s="163"/>
      <c r="B10" s="163"/>
      <c r="C10" s="163"/>
      <c r="D10" s="136"/>
      <c r="E10" s="136"/>
      <c r="F10" s="136"/>
      <c r="G10" s="136"/>
    </row>
    <row r="11" spans="1:7" x14ac:dyDescent="0.3">
      <c r="A11" s="163"/>
      <c r="B11" s="137" t="s">
        <v>319</v>
      </c>
      <c r="C11" s="137" t="s">
        <v>107</v>
      </c>
      <c r="D11" s="138" t="s">
        <v>108</v>
      </c>
      <c r="E11" s="138" t="s">
        <v>320</v>
      </c>
      <c r="F11" s="138" t="s">
        <v>109</v>
      </c>
      <c r="G11" s="138" t="s">
        <v>321</v>
      </c>
    </row>
    <row r="12" spans="1:7" x14ac:dyDescent="0.3">
      <c r="A12" s="163"/>
      <c r="B12" s="321"/>
      <c r="C12" s="321"/>
      <c r="D12" s="321"/>
      <c r="E12" s="321"/>
      <c r="F12" s="321"/>
      <c r="G12" s="321"/>
    </row>
    <row r="13" spans="1:7" x14ac:dyDescent="0.3">
      <c r="A13" s="163"/>
      <c r="B13" s="323" t="s">
        <v>1614</v>
      </c>
      <c r="C13" s="323"/>
      <c r="D13" s="323"/>
      <c r="E13" s="323"/>
      <c r="F13" s="323"/>
      <c r="G13" s="323"/>
    </row>
    <row r="14" spans="1:7" x14ac:dyDescent="0.3">
      <c r="A14" s="163"/>
      <c r="B14" s="140" t="s">
        <v>128</v>
      </c>
      <c r="C14" s="139" t="s">
        <v>129</v>
      </c>
      <c r="D14" s="141" t="s">
        <v>105</v>
      </c>
      <c r="E14" s="141" t="s">
        <v>201</v>
      </c>
      <c r="F14" s="141"/>
      <c r="G14" s="141" t="s">
        <v>205</v>
      </c>
    </row>
    <row r="15" spans="1:7" x14ac:dyDescent="0.3">
      <c r="A15" s="163"/>
      <c r="B15" s="321"/>
      <c r="C15" s="321"/>
      <c r="D15" s="321"/>
      <c r="E15" s="321"/>
      <c r="F15" s="321"/>
      <c r="G15" s="321"/>
    </row>
    <row r="16" spans="1:7" x14ac:dyDescent="0.3">
      <c r="A16" s="163"/>
      <c r="B16" s="323" t="s">
        <v>1615</v>
      </c>
      <c r="C16" s="323"/>
      <c r="D16" s="323"/>
      <c r="E16" s="323"/>
      <c r="F16" s="323"/>
      <c r="G16" s="323"/>
    </row>
    <row r="17" spans="1:7" x14ac:dyDescent="0.3">
      <c r="A17" s="163"/>
      <c r="B17" s="140" t="s">
        <v>1618</v>
      </c>
      <c r="C17" s="139" t="s">
        <v>131</v>
      </c>
      <c r="D17" s="141" t="s">
        <v>105</v>
      </c>
      <c r="E17" s="141" t="s">
        <v>201</v>
      </c>
      <c r="F17" s="141">
        <v>1</v>
      </c>
      <c r="G17" s="141" t="s">
        <v>1573</v>
      </c>
    </row>
    <row r="18" spans="1:7" x14ac:dyDescent="0.3">
      <c r="A18" s="163"/>
      <c r="B18" s="140" t="s">
        <v>128</v>
      </c>
      <c r="C18" s="139" t="s">
        <v>129</v>
      </c>
      <c r="D18" s="141" t="s">
        <v>105</v>
      </c>
      <c r="E18" s="141" t="s">
        <v>201</v>
      </c>
      <c r="F18" s="141">
        <v>4</v>
      </c>
      <c r="G18" s="141" t="s">
        <v>205</v>
      </c>
    </row>
    <row r="19" spans="1:7" x14ac:dyDescent="0.3">
      <c r="A19" s="163"/>
      <c r="B19" s="140" t="s">
        <v>2003</v>
      </c>
      <c r="C19" s="139" t="s">
        <v>213</v>
      </c>
      <c r="D19" s="141" t="s">
        <v>105</v>
      </c>
      <c r="E19" s="141" t="s">
        <v>201</v>
      </c>
      <c r="F19" s="141">
        <v>3</v>
      </c>
      <c r="G19" s="141">
        <v>4</v>
      </c>
    </row>
    <row r="20" spans="1:7" x14ac:dyDescent="0.3">
      <c r="A20" s="163"/>
      <c r="B20" s="140" t="s">
        <v>1619</v>
      </c>
      <c r="C20" s="139" t="s">
        <v>1620</v>
      </c>
      <c r="D20" s="141" t="s">
        <v>105</v>
      </c>
      <c r="E20" s="141" t="s">
        <v>201</v>
      </c>
      <c r="F20" s="141">
        <v>4</v>
      </c>
      <c r="G20" s="141" t="s">
        <v>205</v>
      </c>
    </row>
    <row r="21" spans="1:7" x14ac:dyDescent="0.3">
      <c r="A21" s="163"/>
      <c r="B21" s="321"/>
      <c r="C21" s="321"/>
      <c r="D21" s="321"/>
      <c r="E21" s="321"/>
      <c r="F21" s="321"/>
      <c r="G21" s="321"/>
    </row>
    <row r="22" spans="1:7" x14ac:dyDescent="0.3">
      <c r="A22" s="163"/>
      <c r="B22" s="323" t="s">
        <v>1621</v>
      </c>
      <c r="C22" s="323"/>
      <c r="D22" s="323"/>
      <c r="E22" s="323"/>
      <c r="F22" s="323"/>
      <c r="G22" s="323"/>
    </row>
    <row r="23" spans="1:7" x14ac:dyDescent="0.3">
      <c r="A23" s="163"/>
      <c r="B23" s="140" t="s">
        <v>1618</v>
      </c>
      <c r="C23" s="139" t="s">
        <v>131</v>
      </c>
      <c r="D23" s="141" t="s">
        <v>105</v>
      </c>
      <c r="E23" s="141" t="s">
        <v>201</v>
      </c>
      <c r="F23" s="141">
        <v>4</v>
      </c>
      <c r="G23" s="141" t="s">
        <v>1573</v>
      </c>
    </row>
    <row r="24" spans="1:7" x14ac:dyDescent="0.3">
      <c r="A24" s="163"/>
      <c r="B24" s="140" t="s">
        <v>134</v>
      </c>
      <c r="C24" s="139" t="s">
        <v>135</v>
      </c>
      <c r="D24" s="141" t="s">
        <v>105</v>
      </c>
      <c r="E24" s="141" t="s">
        <v>201</v>
      </c>
      <c r="F24" s="141">
        <v>2</v>
      </c>
      <c r="G24" s="141">
        <v>6</v>
      </c>
    </row>
    <row r="25" spans="1:7" x14ac:dyDescent="0.3">
      <c r="A25" s="163"/>
      <c r="B25" s="140" t="s">
        <v>1619</v>
      </c>
      <c r="C25" s="139" t="s">
        <v>1620</v>
      </c>
      <c r="D25" s="141" t="s">
        <v>105</v>
      </c>
      <c r="E25" s="141" t="s">
        <v>201</v>
      </c>
      <c r="F25" s="141">
        <v>3</v>
      </c>
      <c r="G25" s="141" t="s">
        <v>205</v>
      </c>
    </row>
    <row r="26" spans="1:7" x14ac:dyDescent="0.3">
      <c r="A26" s="163"/>
      <c r="B26" s="321"/>
      <c r="C26" s="321"/>
      <c r="D26" s="321"/>
      <c r="E26" s="321"/>
      <c r="F26" s="321"/>
      <c r="G26" s="321"/>
    </row>
    <row r="27" spans="1:7" x14ac:dyDescent="0.3">
      <c r="A27" s="163"/>
      <c r="B27" s="323" t="s">
        <v>1622</v>
      </c>
      <c r="C27" s="323"/>
      <c r="D27" s="323"/>
      <c r="E27" s="323"/>
      <c r="F27" s="323"/>
      <c r="G27" s="323"/>
    </row>
    <row r="28" spans="1:7" x14ac:dyDescent="0.3">
      <c r="A28" s="163"/>
      <c r="B28" s="140" t="s">
        <v>281</v>
      </c>
      <c r="C28" s="139" t="s">
        <v>282</v>
      </c>
      <c r="D28" s="141" t="s">
        <v>105</v>
      </c>
      <c r="E28" s="141" t="s">
        <v>1556</v>
      </c>
      <c r="F28" s="141" t="s">
        <v>234</v>
      </c>
      <c r="G28" s="141" t="s">
        <v>1623</v>
      </c>
    </row>
    <row r="29" spans="1:7" x14ac:dyDescent="0.3">
      <c r="A29" s="163"/>
      <c r="B29" s="140" t="s">
        <v>136</v>
      </c>
      <c r="C29" s="139" t="s">
        <v>137</v>
      </c>
      <c r="D29" s="141" t="s">
        <v>105</v>
      </c>
      <c r="E29" s="141" t="s">
        <v>201</v>
      </c>
      <c r="F29" s="141">
        <v>1</v>
      </c>
      <c r="G29" s="141">
        <v>6</v>
      </c>
    </row>
    <row r="30" spans="1:7" x14ac:dyDescent="0.3">
      <c r="A30" s="163"/>
      <c r="B30" s="140" t="s">
        <v>1626</v>
      </c>
      <c r="C30" s="139" t="s">
        <v>1627</v>
      </c>
      <c r="D30" s="141" t="s">
        <v>105</v>
      </c>
      <c r="E30" s="141" t="s">
        <v>201</v>
      </c>
      <c r="F30" s="141">
        <v>2</v>
      </c>
      <c r="G30" s="141" t="s">
        <v>1573</v>
      </c>
    </row>
    <row r="31" spans="1:7" x14ac:dyDescent="0.3">
      <c r="A31" s="163"/>
      <c r="B31" s="140" t="s">
        <v>2004</v>
      </c>
      <c r="C31" s="139" t="s">
        <v>1629</v>
      </c>
      <c r="D31" s="141" t="s">
        <v>105</v>
      </c>
      <c r="E31" s="141" t="s">
        <v>201</v>
      </c>
      <c r="F31" s="141">
        <v>4</v>
      </c>
      <c r="G31" s="141" t="s">
        <v>1573</v>
      </c>
    </row>
    <row r="32" spans="1:7" x14ac:dyDescent="0.3">
      <c r="A32" s="163"/>
      <c r="B32" s="140" t="s">
        <v>616</v>
      </c>
      <c r="C32" s="139" t="s">
        <v>617</v>
      </c>
      <c r="D32" s="141" t="s">
        <v>105</v>
      </c>
      <c r="E32" s="141" t="s">
        <v>202</v>
      </c>
      <c r="F32" s="141">
        <v>3</v>
      </c>
      <c r="G32" s="141" t="s">
        <v>1623</v>
      </c>
    </row>
    <row r="33" spans="1:7" x14ac:dyDescent="0.3">
      <c r="A33" s="163"/>
      <c r="B33" s="321"/>
      <c r="C33" s="321"/>
      <c r="D33" s="321"/>
      <c r="E33" s="321"/>
      <c r="F33" s="321"/>
      <c r="G33" s="321"/>
    </row>
    <row r="34" spans="1:7" x14ac:dyDescent="0.3">
      <c r="A34" s="163"/>
      <c r="B34" s="323" t="s">
        <v>1634</v>
      </c>
      <c r="C34" s="323"/>
      <c r="D34" s="323"/>
      <c r="E34" s="323"/>
      <c r="F34" s="323"/>
      <c r="G34" s="323"/>
    </row>
    <row r="35" spans="1:7" x14ac:dyDescent="0.3">
      <c r="A35" s="163"/>
      <c r="B35" s="140" t="s">
        <v>281</v>
      </c>
      <c r="C35" s="139" t="s">
        <v>282</v>
      </c>
      <c r="D35" s="141" t="s">
        <v>105</v>
      </c>
      <c r="E35" s="141" t="s">
        <v>1556</v>
      </c>
      <c r="F35" s="141" t="s">
        <v>234</v>
      </c>
      <c r="G35" s="141" t="s">
        <v>1623</v>
      </c>
    </row>
    <row r="36" spans="1:7" x14ac:dyDescent="0.3">
      <c r="A36" s="163"/>
      <c r="B36" s="140" t="s">
        <v>142</v>
      </c>
      <c r="C36" s="139" t="s">
        <v>143</v>
      </c>
      <c r="D36" s="141" t="s">
        <v>105</v>
      </c>
      <c r="E36" s="141" t="s">
        <v>201</v>
      </c>
      <c r="F36" s="141">
        <v>1</v>
      </c>
      <c r="G36" s="141">
        <v>8</v>
      </c>
    </row>
    <row r="37" spans="1:7" x14ac:dyDescent="0.3">
      <c r="A37" s="163"/>
      <c r="B37" s="140" t="s">
        <v>1626</v>
      </c>
      <c r="C37" s="139" t="s">
        <v>1627</v>
      </c>
      <c r="D37" s="141" t="s">
        <v>105</v>
      </c>
      <c r="E37" s="141" t="s">
        <v>201</v>
      </c>
      <c r="F37" s="141">
        <v>2</v>
      </c>
      <c r="G37" s="141" t="s">
        <v>1573</v>
      </c>
    </row>
    <row r="38" spans="1:7" x14ac:dyDescent="0.3">
      <c r="A38" s="163"/>
      <c r="B38" s="140" t="s">
        <v>2004</v>
      </c>
      <c r="C38" s="139" t="s">
        <v>1629</v>
      </c>
      <c r="D38" s="141" t="s">
        <v>105</v>
      </c>
      <c r="E38" s="141" t="s">
        <v>201</v>
      </c>
      <c r="F38" s="141">
        <v>4</v>
      </c>
      <c r="G38" s="141" t="s">
        <v>1573</v>
      </c>
    </row>
    <row r="39" spans="1:7" x14ac:dyDescent="0.3">
      <c r="A39" s="163"/>
      <c r="B39" s="140" t="s">
        <v>616</v>
      </c>
      <c r="C39" s="139" t="s">
        <v>617</v>
      </c>
      <c r="D39" s="141" t="s">
        <v>105</v>
      </c>
      <c r="E39" s="141" t="s">
        <v>202</v>
      </c>
      <c r="F39" s="141">
        <v>3</v>
      </c>
      <c r="G39" s="141" t="s">
        <v>1623</v>
      </c>
    </row>
    <row r="40" spans="1:7" x14ac:dyDescent="0.3">
      <c r="A40" s="163"/>
      <c r="B40" s="321"/>
      <c r="C40" s="321"/>
      <c r="D40" s="321"/>
      <c r="E40" s="321"/>
      <c r="F40" s="321"/>
      <c r="G40" s="321"/>
    </row>
    <row r="41" spans="1:7" x14ac:dyDescent="0.3">
      <c r="A41" s="163"/>
      <c r="B41" s="323" t="s">
        <v>1609</v>
      </c>
      <c r="C41" s="323"/>
      <c r="D41" s="323"/>
      <c r="E41" s="323"/>
      <c r="F41" s="323"/>
      <c r="G41" s="323"/>
    </row>
    <row r="42" spans="1:7" x14ac:dyDescent="0.3">
      <c r="A42" s="163"/>
      <c r="B42" s="140" t="s">
        <v>776</v>
      </c>
      <c r="C42" s="139" t="s">
        <v>777</v>
      </c>
      <c r="D42" s="141" t="s">
        <v>105</v>
      </c>
      <c r="E42" s="141" t="s">
        <v>201</v>
      </c>
      <c r="F42" s="141">
        <v>1</v>
      </c>
      <c r="G42" s="141">
        <v>4</v>
      </c>
    </row>
    <row r="43" spans="1:7" x14ac:dyDescent="0.3">
      <c r="A43" s="163"/>
      <c r="B43" s="140" t="s">
        <v>2019</v>
      </c>
      <c r="C43" s="139" t="s">
        <v>1764</v>
      </c>
      <c r="D43" s="141" t="s">
        <v>105</v>
      </c>
      <c r="E43" s="141" t="s">
        <v>201</v>
      </c>
      <c r="F43" s="141">
        <v>3</v>
      </c>
      <c r="G43" s="141">
        <v>6</v>
      </c>
    </row>
    <row r="44" spans="1:7" x14ac:dyDescent="0.3">
      <c r="A44" s="163"/>
      <c r="B44" s="140" t="s">
        <v>1638</v>
      </c>
      <c r="C44" s="139" t="s">
        <v>1639</v>
      </c>
      <c r="D44" s="141" t="s">
        <v>105</v>
      </c>
      <c r="E44" s="141" t="s">
        <v>201</v>
      </c>
      <c r="F44" s="141">
        <v>2</v>
      </c>
      <c r="G44" s="141" t="s">
        <v>1573</v>
      </c>
    </row>
    <row r="45" spans="1:7" x14ac:dyDescent="0.3">
      <c r="A45" s="163"/>
      <c r="B45" s="321"/>
      <c r="C45" s="321"/>
      <c r="D45" s="321"/>
      <c r="E45" s="321"/>
      <c r="F45" s="321"/>
      <c r="G45" s="321"/>
    </row>
    <row r="46" spans="1:7" x14ac:dyDescent="0.3">
      <c r="A46" s="163"/>
      <c r="B46" s="323" t="s">
        <v>1610</v>
      </c>
      <c r="C46" s="323"/>
      <c r="D46" s="323"/>
      <c r="E46" s="323"/>
      <c r="F46" s="323"/>
      <c r="G46" s="323"/>
    </row>
    <row r="47" spans="1:7" x14ac:dyDescent="0.3">
      <c r="A47" s="163"/>
      <c r="B47" s="140" t="s">
        <v>1304</v>
      </c>
      <c r="C47" s="139" t="s">
        <v>1305</v>
      </c>
      <c r="D47" s="141" t="s">
        <v>106</v>
      </c>
      <c r="E47" s="141" t="s">
        <v>201</v>
      </c>
      <c r="F47" s="141">
        <v>2</v>
      </c>
      <c r="G47" s="141">
        <v>6</v>
      </c>
    </row>
    <row r="48" spans="1:7" x14ac:dyDescent="0.3">
      <c r="A48" s="163"/>
      <c r="B48" s="140" t="s">
        <v>2006</v>
      </c>
      <c r="C48" s="139" t="s">
        <v>81</v>
      </c>
      <c r="D48" s="141" t="s">
        <v>105</v>
      </c>
      <c r="E48" s="141" t="s">
        <v>201</v>
      </c>
      <c r="F48" s="141">
        <v>1</v>
      </c>
      <c r="G48" s="141">
        <v>6</v>
      </c>
    </row>
    <row r="49" spans="1:7" x14ac:dyDescent="0.3">
      <c r="A49" s="163"/>
      <c r="B49" s="140" t="s">
        <v>1638</v>
      </c>
      <c r="C49" s="139" t="s">
        <v>1639</v>
      </c>
      <c r="D49" s="141" t="s">
        <v>105</v>
      </c>
      <c r="E49" s="141" t="s">
        <v>201</v>
      </c>
      <c r="F49" s="141">
        <v>3</v>
      </c>
      <c r="G49" s="141" t="s">
        <v>1573</v>
      </c>
    </row>
    <row r="50" spans="1:7" x14ac:dyDescent="0.3">
      <c r="A50" s="163"/>
      <c r="B50" s="321"/>
      <c r="C50" s="321"/>
      <c r="D50" s="321"/>
      <c r="E50" s="321"/>
      <c r="F50" s="321"/>
      <c r="G50" s="321"/>
    </row>
    <row r="51" spans="1:7" x14ac:dyDescent="0.3">
      <c r="A51" s="163"/>
      <c r="B51" s="323" t="s">
        <v>1611</v>
      </c>
      <c r="C51" s="323"/>
      <c r="D51" s="323"/>
      <c r="E51" s="323"/>
      <c r="F51" s="323"/>
      <c r="G51" s="323"/>
    </row>
    <row r="52" spans="1:7" x14ac:dyDescent="0.3">
      <c r="A52" s="163"/>
      <c r="B52" s="140" t="s">
        <v>639</v>
      </c>
      <c r="C52" s="139" t="s">
        <v>640</v>
      </c>
      <c r="D52" s="141" t="s">
        <v>106</v>
      </c>
      <c r="E52" s="141" t="s">
        <v>201</v>
      </c>
      <c r="F52" s="141">
        <v>4</v>
      </c>
      <c r="G52" s="141">
        <v>6</v>
      </c>
    </row>
    <row r="53" spans="1:7" x14ac:dyDescent="0.3">
      <c r="A53" s="163"/>
      <c r="B53" s="140" t="s">
        <v>2009</v>
      </c>
      <c r="C53" s="139" t="s">
        <v>2010</v>
      </c>
      <c r="D53" s="141" t="s">
        <v>106</v>
      </c>
      <c r="E53" s="141" t="s">
        <v>201</v>
      </c>
      <c r="F53" s="141">
        <v>1</v>
      </c>
      <c r="G53" s="141" t="s">
        <v>1573</v>
      </c>
    </row>
    <row r="54" spans="1:7" x14ac:dyDescent="0.3">
      <c r="A54" s="163"/>
      <c r="B54" s="140" t="s">
        <v>2013</v>
      </c>
      <c r="C54" s="139" t="s">
        <v>2008</v>
      </c>
      <c r="D54" s="141" t="s">
        <v>106</v>
      </c>
      <c r="E54" s="141" t="s">
        <v>201</v>
      </c>
      <c r="F54" s="141">
        <v>3</v>
      </c>
      <c r="G54" s="141">
        <v>6</v>
      </c>
    </row>
    <row r="55" spans="1:7" x14ac:dyDescent="0.3">
      <c r="A55" s="163"/>
      <c r="B55" s="140" t="s">
        <v>1637</v>
      </c>
      <c r="C55" s="139" t="s">
        <v>145</v>
      </c>
      <c r="D55" s="141" t="s">
        <v>105</v>
      </c>
      <c r="E55" s="141" t="s">
        <v>201</v>
      </c>
      <c r="F55" s="141">
        <v>2</v>
      </c>
      <c r="G55" s="141">
        <v>2</v>
      </c>
    </row>
    <row r="56" spans="1:7" x14ac:dyDescent="0.3">
      <c r="A56" s="163"/>
      <c r="B56" s="321"/>
      <c r="C56" s="321"/>
      <c r="D56" s="321"/>
      <c r="E56" s="321"/>
      <c r="F56" s="321"/>
      <c r="G56" s="321"/>
    </row>
    <row r="57" spans="1:7" x14ac:dyDescent="0.3">
      <c r="A57" s="163"/>
      <c r="B57" s="323" t="s">
        <v>1612</v>
      </c>
      <c r="C57" s="323"/>
      <c r="D57" s="323"/>
      <c r="E57" s="323"/>
      <c r="F57" s="323"/>
      <c r="G57" s="323"/>
    </row>
    <row r="58" spans="1:7" x14ac:dyDescent="0.3">
      <c r="A58" s="163"/>
      <c r="B58" s="140" t="s">
        <v>1646</v>
      </c>
      <c r="C58" s="139" t="s">
        <v>1647</v>
      </c>
      <c r="D58" s="141" t="s">
        <v>105</v>
      </c>
      <c r="E58" s="141" t="s">
        <v>201</v>
      </c>
      <c r="F58" s="141">
        <v>4</v>
      </c>
      <c r="G58" s="141">
        <v>4</v>
      </c>
    </row>
    <row r="59" spans="1:7" x14ac:dyDescent="0.3">
      <c r="A59" s="163"/>
      <c r="B59" s="140" t="s">
        <v>297</v>
      </c>
      <c r="C59" s="139" t="s">
        <v>206</v>
      </c>
      <c r="D59" s="141" t="s">
        <v>105</v>
      </c>
      <c r="E59" s="141" t="s">
        <v>201</v>
      </c>
      <c r="F59" s="141">
        <v>1</v>
      </c>
      <c r="G59" s="141">
        <v>4</v>
      </c>
    </row>
    <row r="60" spans="1:7" x14ac:dyDescent="0.3">
      <c r="A60" s="163"/>
      <c r="B60" s="140" t="s">
        <v>2009</v>
      </c>
      <c r="C60" s="139" t="s">
        <v>2010</v>
      </c>
      <c r="D60" s="141" t="s">
        <v>106</v>
      </c>
      <c r="E60" s="141" t="s">
        <v>201</v>
      </c>
      <c r="F60" s="141">
        <v>3</v>
      </c>
      <c r="G60" s="141" t="s">
        <v>1573</v>
      </c>
    </row>
    <row r="61" spans="1:7" x14ac:dyDescent="0.3">
      <c r="A61" s="163"/>
      <c r="B61" s="140" t="s">
        <v>287</v>
      </c>
      <c r="C61" s="139" t="s">
        <v>288</v>
      </c>
      <c r="D61" s="141" t="s">
        <v>106</v>
      </c>
      <c r="E61" s="141" t="s">
        <v>202</v>
      </c>
      <c r="F61" s="141"/>
      <c r="G61" s="141">
        <v>6</v>
      </c>
    </row>
    <row r="62" spans="1:7" x14ac:dyDescent="0.3">
      <c r="A62" s="163"/>
      <c r="B62" s="321"/>
      <c r="C62" s="321"/>
      <c r="D62" s="321"/>
      <c r="E62" s="321"/>
      <c r="F62" s="321"/>
      <c r="G62" s="321"/>
    </row>
    <row r="63" spans="1:7" x14ac:dyDescent="0.3">
      <c r="A63" s="163"/>
      <c r="B63" s="323" t="s">
        <v>1650</v>
      </c>
      <c r="C63" s="323"/>
      <c r="D63" s="323"/>
      <c r="E63" s="323"/>
      <c r="F63" s="323"/>
      <c r="G63" s="323"/>
    </row>
    <row r="64" spans="1:7" x14ac:dyDescent="0.3">
      <c r="A64" s="163"/>
      <c r="B64" s="140" t="s">
        <v>1651</v>
      </c>
      <c r="C64" s="139" t="s">
        <v>1652</v>
      </c>
      <c r="D64" s="141" t="s">
        <v>106</v>
      </c>
      <c r="E64" s="141" t="s">
        <v>201</v>
      </c>
      <c r="F64" s="141">
        <v>4</v>
      </c>
      <c r="G64" s="141">
        <v>4</v>
      </c>
    </row>
    <row r="65" spans="1:7" x14ac:dyDescent="0.3">
      <c r="A65" s="163"/>
      <c r="B65" s="140" t="s">
        <v>1655</v>
      </c>
      <c r="C65" s="139" t="s">
        <v>1656</v>
      </c>
      <c r="D65" s="141" t="s">
        <v>106</v>
      </c>
      <c r="E65" s="141" t="s">
        <v>201</v>
      </c>
      <c r="F65" s="141">
        <v>2</v>
      </c>
      <c r="G65" s="141" t="s">
        <v>1573</v>
      </c>
    </row>
    <row r="66" spans="1:7" x14ac:dyDescent="0.3">
      <c r="A66" s="163"/>
      <c r="B66" s="140" t="s">
        <v>2011</v>
      </c>
      <c r="C66" s="139" t="s">
        <v>2012</v>
      </c>
      <c r="D66" s="141" t="s">
        <v>106</v>
      </c>
      <c r="E66" s="141" t="s">
        <v>201</v>
      </c>
      <c r="F66" s="141">
        <v>1</v>
      </c>
      <c r="G66" s="141">
        <v>6</v>
      </c>
    </row>
    <row r="67" spans="1:7" x14ac:dyDescent="0.3">
      <c r="A67" s="163"/>
      <c r="B67" s="321"/>
      <c r="C67" s="321"/>
      <c r="D67" s="321"/>
      <c r="E67" s="321"/>
      <c r="F67" s="321"/>
      <c r="G67" s="321"/>
    </row>
    <row r="68" spans="1:7" x14ac:dyDescent="0.3">
      <c r="A68" s="163"/>
      <c r="B68" s="323" t="s">
        <v>1657</v>
      </c>
      <c r="C68" s="323"/>
      <c r="D68" s="323"/>
      <c r="E68" s="323"/>
      <c r="F68" s="323"/>
      <c r="G68" s="323"/>
    </row>
    <row r="69" spans="1:7" x14ac:dyDescent="0.3">
      <c r="A69" s="163"/>
      <c r="B69" s="140" t="s">
        <v>1655</v>
      </c>
      <c r="C69" s="139" t="s">
        <v>1656</v>
      </c>
      <c r="D69" s="141" t="s">
        <v>106</v>
      </c>
      <c r="E69" s="141" t="s">
        <v>201</v>
      </c>
      <c r="F69" s="141">
        <v>2</v>
      </c>
      <c r="G69" s="141" t="s">
        <v>1573</v>
      </c>
    </row>
    <row r="70" spans="1:7" x14ac:dyDescent="0.3">
      <c r="A70" s="163"/>
      <c r="B70" s="140" t="s">
        <v>2014</v>
      </c>
      <c r="C70" s="139" t="s">
        <v>1659</v>
      </c>
      <c r="D70" s="141" t="s">
        <v>106</v>
      </c>
      <c r="E70" s="141" t="s">
        <v>201</v>
      </c>
      <c r="F70" s="141">
        <v>1</v>
      </c>
      <c r="G70" s="141">
        <v>6</v>
      </c>
    </row>
    <row r="71" spans="1:7" x14ac:dyDescent="0.3">
      <c r="A71" s="163"/>
      <c r="B71" s="140" t="s">
        <v>208</v>
      </c>
      <c r="C71" s="139" t="s">
        <v>209</v>
      </c>
      <c r="D71" s="141" t="s">
        <v>106</v>
      </c>
      <c r="E71" s="141" t="s">
        <v>201</v>
      </c>
      <c r="F71" s="141">
        <v>3</v>
      </c>
      <c r="G71" s="141">
        <v>6</v>
      </c>
    </row>
    <row r="72" spans="1:7" x14ac:dyDescent="0.3">
      <c r="A72" s="163"/>
      <c r="B72" s="321"/>
      <c r="C72" s="321"/>
      <c r="D72" s="321"/>
      <c r="E72" s="321"/>
      <c r="F72" s="321"/>
      <c r="G72" s="321"/>
    </row>
    <row r="73" spans="1:7" x14ac:dyDescent="0.3">
      <c r="A73" s="163"/>
      <c r="B73" s="323" t="s">
        <v>1553</v>
      </c>
      <c r="C73" s="323"/>
      <c r="D73" s="323"/>
      <c r="E73" s="323"/>
      <c r="F73" s="323"/>
      <c r="G73" s="323"/>
    </row>
    <row r="74" spans="1:7" x14ac:dyDescent="0.3">
      <c r="A74" s="163"/>
      <c r="B74" s="140" t="s">
        <v>2015</v>
      </c>
      <c r="C74" s="139" t="s">
        <v>2016</v>
      </c>
      <c r="D74" s="141" t="s">
        <v>106</v>
      </c>
      <c r="E74" s="141" t="s">
        <v>201</v>
      </c>
      <c r="F74" s="141">
        <v>3</v>
      </c>
      <c r="G74" s="141" t="s">
        <v>1680</v>
      </c>
    </row>
    <row r="75" spans="1:7" x14ac:dyDescent="0.3">
      <c r="A75" s="163"/>
      <c r="B75" s="140" t="s">
        <v>2017</v>
      </c>
      <c r="C75" s="139" t="s">
        <v>2018</v>
      </c>
      <c r="D75" s="141" t="s">
        <v>106</v>
      </c>
      <c r="E75" s="141" t="s">
        <v>201</v>
      </c>
      <c r="F75" s="141">
        <v>2</v>
      </c>
      <c r="G75" s="141" t="s">
        <v>1573</v>
      </c>
    </row>
    <row r="76" spans="1:7" x14ac:dyDescent="0.3">
      <c r="A76" s="163"/>
      <c r="B76" s="321"/>
      <c r="C76" s="321"/>
      <c r="D76" s="321"/>
      <c r="E76" s="321"/>
      <c r="F76" s="321"/>
      <c r="G76" s="321"/>
    </row>
    <row r="77" spans="1:7" x14ac:dyDescent="0.3">
      <c r="A77" s="163"/>
      <c r="B77" s="323" t="s">
        <v>1663</v>
      </c>
      <c r="C77" s="323"/>
      <c r="D77" s="323"/>
      <c r="E77" s="323"/>
      <c r="F77" s="323"/>
      <c r="G77" s="323"/>
    </row>
    <row r="78" spans="1:7" x14ac:dyDescent="0.3">
      <c r="A78" s="163"/>
      <c r="B78" s="140" t="s">
        <v>2015</v>
      </c>
      <c r="C78" s="139" t="s">
        <v>2016</v>
      </c>
      <c r="D78" s="141" t="s">
        <v>106</v>
      </c>
      <c r="E78" s="141" t="s">
        <v>201</v>
      </c>
      <c r="F78" s="141">
        <v>3</v>
      </c>
      <c r="G78" s="141" t="s">
        <v>1680</v>
      </c>
    </row>
    <row r="79" spans="1:7" x14ac:dyDescent="0.3">
      <c r="A79" s="163"/>
      <c r="B79" s="140" t="s">
        <v>1781</v>
      </c>
      <c r="C79" s="139" t="s">
        <v>47</v>
      </c>
      <c r="D79" s="141" t="s">
        <v>106</v>
      </c>
      <c r="E79" s="141" t="s">
        <v>201</v>
      </c>
      <c r="F79" s="141">
        <v>1</v>
      </c>
      <c r="G79" s="141">
        <v>6</v>
      </c>
    </row>
    <row r="80" spans="1:7" x14ac:dyDescent="0.3">
      <c r="A80" s="163"/>
      <c r="B80" s="140" t="s">
        <v>2017</v>
      </c>
      <c r="C80" s="139" t="s">
        <v>2018</v>
      </c>
      <c r="D80" s="141" t="s">
        <v>106</v>
      </c>
      <c r="E80" s="141" t="s">
        <v>201</v>
      </c>
      <c r="F80" s="141">
        <v>2</v>
      </c>
      <c r="G80" s="141" t="s">
        <v>1573</v>
      </c>
    </row>
    <row r="81" spans="1:7" x14ac:dyDescent="0.3">
      <c r="A81" s="163"/>
      <c r="B81" s="163"/>
      <c r="C81" s="163"/>
      <c r="D81" s="163"/>
      <c r="E81" s="163"/>
      <c r="F81" s="163"/>
      <c r="G81" s="163"/>
    </row>
    <row r="82" spans="1:7" x14ac:dyDescent="0.3">
      <c r="A82" s="162"/>
      <c r="B82" s="322"/>
      <c r="C82" s="322"/>
      <c r="D82" s="322"/>
      <c r="E82" s="322"/>
      <c r="F82" s="322"/>
      <c r="G82" s="322"/>
    </row>
    <row r="83" spans="1:7" x14ac:dyDescent="0.3">
      <c r="A83" s="163"/>
      <c r="B83" s="163"/>
      <c r="C83" s="163"/>
      <c r="D83" s="163"/>
      <c r="E83" s="163"/>
      <c r="F83" s="163"/>
      <c r="G83" s="163"/>
    </row>
  </sheetData>
  <mergeCells count="33">
    <mergeCell ref="B57:G57"/>
    <mergeCell ref="B63:G63"/>
    <mergeCell ref="B82:G82"/>
    <mergeCell ref="B76:G76"/>
    <mergeCell ref="B77:G77"/>
    <mergeCell ref="B67:G67"/>
    <mergeCell ref="B73:G73"/>
    <mergeCell ref="B68:G68"/>
    <mergeCell ref="B62:G62"/>
    <mergeCell ref="B72:G72"/>
    <mergeCell ref="B26:G26"/>
    <mergeCell ref="B22:G22"/>
    <mergeCell ref="B27:G27"/>
    <mergeCell ref="B33:G33"/>
    <mergeCell ref="B56:G56"/>
    <mergeCell ref="B46:G46"/>
    <mergeCell ref="B51:G51"/>
    <mergeCell ref="B50:G50"/>
    <mergeCell ref="B34:G34"/>
    <mergeCell ref="B40:G40"/>
    <mergeCell ref="B45:G45"/>
    <mergeCell ref="B41:G41"/>
    <mergeCell ref="B4:C4"/>
    <mergeCell ref="B5:C5"/>
    <mergeCell ref="B6:C6"/>
    <mergeCell ref="B7:C7"/>
    <mergeCell ref="B21:G21"/>
    <mergeCell ref="B9:G9"/>
    <mergeCell ref="B13:G13"/>
    <mergeCell ref="B8:G8"/>
    <mergeCell ref="B12:G12"/>
    <mergeCell ref="B15:G15"/>
    <mergeCell ref="B16:G16"/>
  </mergeCells>
  <hyperlinks>
    <hyperlink ref="D1" r:id="rId1" display="http://www.liu.se/"/>
    <hyperlink ref="B2" r:id="rId2" display="http://www.lith.liu.se/"/>
    <hyperlink ref="D2" r:id="rId3" display="http://www.liu.se/"/>
    <hyperlink ref="B14" r:id="rId4" tooltip="Detalj" display="http://kdb-5.liu.se/liu/lith/studiehandboken/svkursplan.lasso?&amp;k_budget_year=2014&amp;k_kurskod=TATM79"/>
    <hyperlink ref="B17" r:id="rId5" tooltip="Detalj" display="http://kdb-5.liu.se/liu/lith/studiehandboken/svkursplan.lasso?&amp;k_budget_year=2014&amp;k_kurskod=TATA24"/>
    <hyperlink ref="B18" r:id="rId6" tooltip="Detalj" display="http://kdb-5.liu.se/liu/lith/studiehandboken/svkursplan.lasso?&amp;k_budget_year=2014&amp;k_kurskod=TATM79"/>
    <hyperlink ref="B19" r:id="rId7" tooltip="Detalj" display="http://kdb-5.liu.se/liu/lith/studiehandboken/svkursplan.lasso?&amp;k_budget_year=2014&amp;k_kurskod=TBME11"/>
    <hyperlink ref="B20" r:id="rId8" tooltip="Detalj" display="http://kdb-5.liu.se/liu/lith/studiehandboken/svkursplan.lasso?&amp;k_budget_year=2014&amp;k_kurskod=TFYY51"/>
    <hyperlink ref="B23" r:id="rId9" tooltip="Detalj" display="http://kdb-5.liu.se/liu/lith/studiehandboken/svkursplan.lasso?&amp;k_budget_year=2014&amp;k_kurskod=TATA24"/>
    <hyperlink ref="B24" r:id="rId10" tooltip="Detalj" display="http://kdb-5.liu.se/liu/lith/studiehandboken/svkursplan.lasso?&amp;k_budget_year=2014&amp;k_kurskod=TATA41"/>
    <hyperlink ref="B25" r:id="rId11" tooltip="Detalj" display="http://kdb-5.liu.se/liu/lith/studiehandboken/svkursplan.lasso?&amp;k_budget_year=2014&amp;k_kurskod=TFYY51"/>
    <hyperlink ref="B28" r:id="rId12" tooltip="Detalj" display="http://kdb-5.liu.se/liu/lith/studiehandboken/svkursplan.lasso?&amp;k_budget_year=2014&amp;k_kurskod=TGTU35"/>
    <hyperlink ref="B29" r:id="rId13" tooltip="Detalj" display="http://kdb-5.liu.se/liu/lith/studiehandboken/svkursplan.lasso?&amp;k_budget_year=2014&amp;k_kurskod=TATA42"/>
    <hyperlink ref="B30" r:id="rId14" tooltip="Detalj" display="http://kdb-5.liu.se/liu/lith/studiehandboken/svkursplan.lasso?&amp;k_budget_year=2014&amp;k_kurskod=TDDC74"/>
    <hyperlink ref="B31" r:id="rId15" tooltip="Detalj" display="http://kdb-5.liu.se/liu/lith/studiehandboken/svkursplan.lasso?&amp;k_budget_year=2014&amp;k_kurskod=TFYA59"/>
    <hyperlink ref="B32" r:id="rId16" tooltip="Detalj" display="http://kdb-5.liu.se/liu/lith/studiehandboken/svkursplan.lasso?&amp;k_budget_year=2014&amp;k_kurskod=TBMT32"/>
    <hyperlink ref="B35" r:id="rId17" tooltip="Detalj" display="http://kdb-5.liu.se/liu/lith/studiehandboken/svkursplan.lasso?&amp;k_budget_year=2014&amp;k_kurskod=TGTU35"/>
    <hyperlink ref="B36" r:id="rId18" tooltip="Detalj" display="http://kdb-5.liu.se/liu/lith/studiehandboken/svkursplan.lasso?&amp;k_budget_year=2014&amp;k_kurskod=TATA43"/>
    <hyperlink ref="B37" r:id="rId19" tooltip="Detalj" display="http://kdb-5.liu.se/liu/lith/studiehandboken/svkursplan.lasso?&amp;k_budget_year=2014&amp;k_kurskod=TDDC74"/>
    <hyperlink ref="B38" r:id="rId20" tooltip="Detalj" display="http://kdb-5.liu.se/liu/lith/studiehandboken/svkursplan.lasso?&amp;k_budget_year=2014&amp;k_kurskod=TFYA59"/>
    <hyperlink ref="B39" r:id="rId21" tooltip="Detalj" display="http://kdb-5.liu.se/liu/lith/studiehandboken/svkursplan.lasso?&amp;k_budget_year=2014&amp;k_kurskod=TBMT32"/>
    <hyperlink ref="B42" r:id="rId22" tooltip="Detalj" display="http://kdb-5.liu.se/liu/lith/studiehandboken/svkursplan.lasso?&amp;k_budget_year=2014&amp;k_kurskod=TATA44"/>
    <hyperlink ref="B43" r:id="rId23" tooltip="Detalj" display="http://kdb-5.liu.se/liu/lith/studiehandboken/svkursplan.lasso?&amp;k_budget_year=2014&amp;k_kurskod=TFYA76"/>
    <hyperlink ref="B44" r:id="rId24" tooltip="Detalj" display="http://kdb-5.liu.se/liu/lith/studiehandboken/svkursplan.lasso?&amp;k_budget_year=2014&amp;k_kurskod=TSTE05"/>
    <hyperlink ref="B47" r:id="rId25" tooltip="Detalj" display="http://kdb-5.liu.se/liu/lith/studiehandboken/svkursplan.lasso?&amp;k_budget_year=2014&amp;k_kurskod=TBME03"/>
    <hyperlink ref="B48" r:id="rId26" tooltip="Detalj" display="http://kdb-5.liu.se/liu/lith/studiehandboken/svkursplan.lasso?&amp;k_budget_year=2014&amp;k_kurskod=TBMT18"/>
    <hyperlink ref="B49" r:id="rId27" tooltip="Detalj" display="http://kdb-5.liu.se/liu/lith/studiehandboken/svkursplan.lasso?&amp;k_budget_year=2014&amp;k_kurskod=TSTE05"/>
    <hyperlink ref="B52" r:id="rId28" tooltip="Detalj" display="http://kdb-5.liu.se/liu/lith/studiehandboken/svkursplan.lasso?&amp;k_budget_year=2014&amp;k_kurskod=TFYA62"/>
    <hyperlink ref="B53" r:id="rId29" tooltip="Detalj" display="http://kdb-5.liu.se/liu/lith/studiehandboken/svkursplan.lasso?&amp;k_budget_year=2014&amp;k_kurskod=TFYA63"/>
    <hyperlink ref="B54" r:id="rId30" tooltip="Detalj" display="http://kdb-5.liu.se/liu/lith/studiehandboken/svkursplan.lasso?&amp;k_budget_year=2014&amp;k_kurskod=TFYA70"/>
    <hyperlink ref="B55" r:id="rId31" tooltip="Detalj" display="http://kdb-5.liu.se/liu/lith/studiehandboken/svkursplan.lasso?&amp;k_budget_year=2014&amp;k_kurskod=TSRT04"/>
    <hyperlink ref="B58" r:id="rId32" tooltip="Detalj" display="http://kdb-5.liu.se/liu/lith/studiehandboken/svkursplan.lasso?&amp;k_budget_year=2014&amp;k_kurskod=TAMS14"/>
    <hyperlink ref="B59" r:id="rId33" tooltip="Detalj" display="http://kdb-5.liu.se/liu/lith/studiehandboken/svkursplan.lasso?&amp;k_budget_year=2014&amp;k_kurskod=TATA57"/>
    <hyperlink ref="B60" r:id="rId34" tooltip="Detalj" display="http://kdb-5.liu.se/liu/lith/studiehandboken/svkursplan.lasso?&amp;k_budget_year=2014&amp;k_kurskod=TFYA63"/>
    <hyperlink ref="B61" r:id="rId35" tooltip="Detalj" display="http://kdb-5.liu.se/liu/lith/studiehandboken/svkursplan.lasso?&amp;k_budget_year=2014&amp;k_kurskod=TPTE06"/>
    <hyperlink ref="B64" r:id="rId36" tooltip="Detalj" display="http://kdb-5.liu.se/liu/lith/studiehandboken/svkursplan.lasso?&amp;k_budget_year=2014&amp;k_kurskod=TAMS24"/>
    <hyperlink ref="B65" r:id="rId37" tooltip="Detalj" display="http://kdb-5.liu.se/liu/lith/studiehandboken/svkursplan.lasso?&amp;k_budget_year=2014&amp;k_kurskod=TDDC76"/>
    <hyperlink ref="B66" r:id="rId38" tooltip="Detalj" display="http://kdb-5.liu.se/liu/lith/studiehandboken/svkursplan.lasso?&amp;k_budget_year=2014&amp;k_kurskod=TSBB31"/>
    <hyperlink ref="B69" r:id="rId39" tooltip="Detalj" display="http://kdb-5.liu.se/liu/lith/studiehandboken/svkursplan.lasso?&amp;k_budget_year=2014&amp;k_kurskod=TDDC76"/>
    <hyperlink ref="B70" r:id="rId40" tooltip="Detalj" display="http://kdb-5.liu.se/liu/lith/studiehandboken/svkursplan.lasso?&amp;k_budget_year=2014&amp;k_kurskod=TFYA67"/>
    <hyperlink ref="B71" r:id="rId41" tooltip="Detalj" display="http://kdb-5.liu.se/liu/lith/studiehandboken/svkursplan.lasso?&amp;k_budget_year=2014&amp;k_kurskod=TSDT18"/>
    <hyperlink ref="B74" r:id="rId42" tooltip="Detalj" display="http://kdb-5.liu.se/liu/lith/studiehandboken/svkursplan.lasso?&amp;k_budget_year=2014&amp;k_kurskod=TBMT41"/>
    <hyperlink ref="B75" r:id="rId43" tooltip="Detalj" display="http://kdb-5.liu.se/liu/lith/studiehandboken/svkursplan.lasso?&amp;k_budget_year=2014&amp;k_kurskod=TVFA02"/>
    <hyperlink ref="B78" r:id="rId44" tooltip="Detalj" display="http://kdb-5.liu.se/liu/lith/studiehandboken/svkursplan.lasso?&amp;k_budget_year=2014&amp;k_kurskod=TBMT41"/>
    <hyperlink ref="B79" r:id="rId45" tooltip="Detalj" display="http://kdb-5.liu.se/liu/lith/studiehandboken/svkursplan.lasso?&amp;k_budget_year=2014&amp;k_kurskod=TSRT03"/>
    <hyperlink ref="B80" r:id="rId46" tooltip="Detalj" display="http://kdb-5.liu.se/liu/lith/studiehandboken/svkursplan.lasso?&amp;k_budget_year=2014&amp;k_kurskod=TVFA02"/>
  </hyperlink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mso-contentType ?>
<FormTemplates xmlns="http://schemas.microsoft.com/sharepoint/v3/contenttype/forms">
  <Display>DocumentLibraryForm</Display>
  <Edit>AssetEditForm</Edit>
  <New>DocumentLibraryForm</New>
</FormTemplates>
</file>

<file path=customXml/itemProps1.xml><?xml version="1.0" encoding="utf-8"?>
<ds:datastoreItem xmlns:ds="http://schemas.openxmlformats.org/officeDocument/2006/customXml" ds:itemID="{8F329870-9647-4925-B360-398BCCCEDFA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Kalkylblad</vt:lpstr>
      </vt:variant>
      <vt:variant>
        <vt:i4>10</vt:i4>
      </vt:variant>
      <vt:variant>
        <vt:lpstr>Namngivna områden</vt:lpstr>
      </vt:variant>
      <vt:variant>
        <vt:i4>475</vt:i4>
      </vt:variant>
    </vt:vector>
  </HeadingPairs>
  <TitlesOfParts>
    <vt:vector size="485" baseType="lpstr">
      <vt:lpstr>Om arbetsboken</vt:lpstr>
      <vt:lpstr>Sammanställning</vt:lpstr>
      <vt:lpstr>Ditt informationsblad</vt:lpstr>
      <vt:lpstr>Programkurser</vt:lpstr>
      <vt:lpstr>Examenskrav</vt:lpstr>
      <vt:lpstr>Program och examenskrav</vt:lpstr>
      <vt:lpstr>Automatiserad import</vt:lpstr>
      <vt:lpstr>Data</vt:lpstr>
      <vt:lpstr>Konstanter</vt:lpstr>
      <vt:lpstr>Data från webbimport</vt:lpstr>
      <vt:lpstr>Admission_Year</vt:lpstr>
      <vt:lpstr>AdmissionYear</vt:lpstr>
      <vt:lpstr>Avslutade_poäng</vt:lpstr>
      <vt:lpstr>Block</vt:lpstr>
      <vt:lpstr>EcoSpec</vt:lpstr>
      <vt:lpstr>'Data från webbimport'!Externadata_100</vt:lpstr>
      <vt:lpstr>'Data från webbimport'!Externadata_101</vt:lpstr>
      <vt:lpstr>'Data från webbimport'!Externadata_102</vt:lpstr>
      <vt:lpstr>'Data från webbimport'!Externadata_103</vt:lpstr>
      <vt:lpstr>'Data från webbimport'!Externadata_104</vt:lpstr>
      <vt:lpstr>'Data från webbimport'!Externadata_105</vt:lpstr>
      <vt:lpstr>'Data från webbimport'!Externadata_106</vt:lpstr>
      <vt:lpstr>'Data från webbimport'!Externadata_107</vt:lpstr>
      <vt:lpstr>'Data från webbimport'!Externadata_108</vt:lpstr>
      <vt:lpstr>'Data från webbimport'!Externadata_109</vt:lpstr>
      <vt:lpstr>'Data från webbimport'!Externadata_110</vt:lpstr>
      <vt:lpstr>'Data från webbimport'!Externadata_111</vt:lpstr>
      <vt:lpstr>'Data från webbimport'!Externadata_112</vt:lpstr>
      <vt:lpstr>'Data från webbimport'!Externadata_113</vt:lpstr>
      <vt:lpstr>'Data från webbimport'!Externadata_114</vt:lpstr>
      <vt:lpstr>'Data från webbimport'!Externadata_115</vt:lpstr>
      <vt:lpstr>'Data från webbimport'!Externadata_116</vt:lpstr>
      <vt:lpstr>'Data från webbimport'!Externadata_117</vt:lpstr>
      <vt:lpstr>'Data från webbimport'!Externadata_118</vt:lpstr>
      <vt:lpstr>'Data från webbimport'!Externadata_119</vt:lpstr>
      <vt:lpstr>'Data från webbimport'!Externadata_120</vt:lpstr>
      <vt:lpstr>'Data från webbimport'!Externadata_121</vt:lpstr>
      <vt:lpstr>'Data från webbimport'!Externadata_122</vt:lpstr>
      <vt:lpstr>'Data från webbimport'!Externadata_123</vt:lpstr>
      <vt:lpstr>'Data från webbimport'!Externadata_124</vt:lpstr>
      <vt:lpstr>'Data från webbimport'!Externadata_125</vt:lpstr>
      <vt:lpstr>'Data från webbimport'!Externadata_126</vt:lpstr>
      <vt:lpstr>'Data från webbimport'!Externadata_127</vt:lpstr>
      <vt:lpstr>'Data från webbimport'!Externadata_128</vt:lpstr>
      <vt:lpstr>'Data från webbimport'!Externadata_129</vt:lpstr>
      <vt:lpstr>'Data från webbimport'!Externadata_130</vt:lpstr>
      <vt:lpstr>'Data från webbimport'!Externadata_131</vt:lpstr>
      <vt:lpstr>'Data från webbimport'!Externadata_132</vt:lpstr>
      <vt:lpstr>'Data från webbimport'!Externadata_133</vt:lpstr>
      <vt:lpstr>'Data från webbimport'!Externadata_134</vt:lpstr>
      <vt:lpstr>'Data från webbimport'!Externadata_135</vt:lpstr>
      <vt:lpstr>'Data från webbimport'!Externadata_136</vt:lpstr>
      <vt:lpstr>'Data från webbimport'!Externadata_137</vt:lpstr>
      <vt:lpstr>'Data från webbimport'!Externadata_138</vt:lpstr>
      <vt:lpstr>'Data från webbimport'!Externadata_139</vt:lpstr>
      <vt:lpstr>'Data från webbimport'!Externadata_140</vt:lpstr>
      <vt:lpstr>'Data från webbimport'!Externadata_141</vt:lpstr>
      <vt:lpstr>'Data från webbimport'!Externadata_142</vt:lpstr>
      <vt:lpstr>'Data från webbimport'!Externadata_143</vt:lpstr>
      <vt:lpstr>'Data från webbimport'!Externadata_144</vt:lpstr>
      <vt:lpstr>'Data från webbimport'!Externadata_145</vt:lpstr>
      <vt:lpstr>'Data från webbimport'!Externadata_146</vt:lpstr>
      <vt:lpstr>'Data från webbimport'!Externadata_147</vt:lpstr>
      <vt:lpstr>'Data från webbimport'!Externadata_148</vt:lpstr>
      <vt:lpstr>'Data från webbimport'!Externadata_149</vt:lpstr>
      <vt:lpstr>'Data från webbimport'!Externadata_150</vt:lpstr>
      <vt:lpstr>'Data från webbimport'!Externadata_151</vt:lpstr>
      <vt:lpstr>'Data från webbimport'!Externadata_152</vt:lpstr>
      <vt:lpstr>'Data från webbimport'!Externadata_153</vt:lpstr>
      <vt:lpstr>'Data från webbimport'!Externadata_154</vt:lpstr>
      <vt:lpstr>'Data från webbimport'!Externadata_155</vt:lpstr>
      <vt:lpstr>'Data från webbimport'!Externadata_156</vt:lpstr>
      <vt:lpstr>'Data från webbimport'!Externadata_157</vt:lpstr>
      <vt:lpstr>'Data från webbimport'!Externadata_158</vt:lpstr>
      <vt:lpstr>'Data från webbimport'!Externadata_159</vt:lpstr>
      <vt:lpstr>'Data från webbimport'!Externadata_160</vt:lpstr>
      <vt:lpstr>'Data från webbimport'!Externadata_161</vt:lpstr>
      <vt:lpstr>'Data från webbimport'!Externadata_162</vt:lpstr>
      <vt:lpstr>'Data från webbimport'!Externadata_163</vt:lpstr>
      <vt:lpstr>'Data från webbimport'!Externadata_164</vt:lpstr>
      <vt:lpstr>'Data från webbimport'!Externadata_165</vt:lpstr>
      <vt:lpstr>'Data från webbimport'!Externadata_166</vt:lpstr>
      <vt:lpstr>'Data från webbimport'!Externadata_167</vt:lpstr>
      <vt:lpstr>'Data från webbimport'!Externadata_168</vt:lpstr>
      <vt:lpstr>'Data från webbimport'!Externadata_169</vt:lpstr>
      <vt:lpstr>'Data från webbimport'!Externadata_170</vt:lpstr>
      <vt:lpstr>'Data från webbimport'!Externadata_171</vt:lpstr>
      <vt:lpstr>'Data från webbimport'!Externadata_172</vt:lpstr>
      <vt:lpstr>'Data från webbimport'!Externadata_173</vt:lpstr>
      <vt:lpstr>'Data från webbimport'!Externadata_174</vt:lpstr>
      <vt:lpstr>'Data från webbimport'!Externadata_175</vt:lpstr>
      <vt:lpstr>'Data från webbimport'!Externadata_176</vt:lpstr>
      <vt:lpstr>'Data från webbimport'!Externadata_177</vt:lpstr>
      <vt:lpstr>'Data från webbimport'!Externadata_178</vt:lpstr>
      <vt:lpstr>'Data från webbimport'!Externadata_179</vt:lpstr>
      <vt:lpstr>'Data från webbimport'!Externadata_180</vt:lpstr>
      <vt:lpstr>'Data från webbimport'!Externadata_181</vt:lpstr>
      <vt:lpstr>'Data från webbimport'!Externadata_182</vt:lpstr>
      <vt:lpstr>'Data från webbimport'!Externadata_183</vt:lpstr>
      <vt:lpstr>'Data från webbimport'!Externadata_184</vt:lpstr>
      <vt:lpstr>'Data från webbimport'!Externadata_185</vt:lpstr>
      <vt:lpstr>'Data från webbimport'!Externadata_186</vt:lpstr>
      <vt:lpstr>'Data från webbimport'!Externadata_187</vt:lpstr>
      <vt:lpstr>'Data från webbimport'!Externadata_188</vt:lpstr>
      <vt:lpstr>'Data från webbimport'!Externadata_189</vt:lpstr>
      <vt:lpstr>'Data från webbimport'!Externadata_190</vt:lpstr>
      <vt:lpstr>'Data från webbimport'!Externadata_191</vt:lpstr>
      <vt:lpstr>'Data från webbimport'!Externadata_192</vt:lpstr>
      <vt:lpstr>'Data från webbimport'!Externadata_193</vt:lpstr>
      <vt:lpstr>'Data från webbimport'!Externadata_194</vt:lpstr>
      <vt:lpstr>'Data från webbimport'!Externadata_195</vt:lpstr>
      <vt:lpstr>'Data från webbimport'!Externadata_196</vt:lpstr>
      <vt:lpstr>'Data från webbimport'!Externadata_197</vt:lpstr>
      <vt:lpstr>'Data från webbimport'!Externadata_198</vt:lpstr>
      <vt:lpstr>'Data från webbimport'!Externadata_199</vt:lpstr>
      <vt:lpstr>'Data från webbimport'!Externadata_200</vt:lpstr>
      <vt:lpstr>'Data från webbimport'!Externadata_201</vt:lpstr>
      <vt:lpstr>'Data från webbimport'!Externadata_202</vt:lpstr>
      <vt:lpstr>'Data från webbimport'!Externadata_203</vt:lpstr>
      <vt:lpstr>'Data från webbimport'!Externadata_204</vt:lpstr>
      <vt:lpstr>'Data från webbimport'!Externadata_205</vt:lpstr>
      <vt:lpstr>'Data från webbimport'!Externadata_206</vt:lpstr>
      <vt:lpstr>'Data från webbimport'!Externadata_207</vt:lpstr>
      <vt:lpstr>'Data från webbimport'!Externadata_208</vt:lpstr>
      <vt:lpstr>'Data från webbimport'!Externadata_209</vt:lpstr>
      <vt:lpstr>'Data från webbimport'!Externadata_210</vt:lpstr>
      <vt:lpstr>'Data från webbimport'!Externadata_211</vt:lpstr>
      <vt:lpstr>'Data från webbimport'!Externadata_212</vt:lpstr>
      <vt:lpstr>'Data från webbimport'!Externadata_213</vt:lpstr>
      <vt:lpstr>'Data från webbimport'!Externadata_214</vt:lpstr>
      <vt:lpstr>'Data från webbimport'!Externadata_215</vt:lpstr>
      <vt:lpstr>'Data från webbimport'!Externadata_216</vt:lpstr>
      <vt:lpstr>'Data från webbimport'!Externadata_217</vt:lpstr>
      <vt:lpstr>'Data från webbimport'!Externadata_218</vt:lpstr>
      <vt:lpstr>'Data från webbimport'!Externadata_219</vt:lpstr>
      <vt:lpstr>'Data från webbimport'!Externadata_220</vt:lpstr>
      <vt:lpstr>'Data från webbimport'!Externadata_221</vt:lpstr>
      <vt:lpstr>'Data från webbimport'!Externadata_222</vt:lpstr>
      <vt:lpstr>'Data från webbimport'!Externadata_223</vt:lpstr>
      <vt:lpstr>'Data från webbimport'!Externadata_224</vt:lpstr>
      <vt:lpstr>'Data från webbimport'!Externadata_225</vt:lpstr>
      <vt:lpstr>'Data från webbimport'!Externadata_226</vt:lpstr>
      <vt:lpstr>'Data från webbimport'!Externadata_227</vt:lpstr>
      <vt:lpstr>'Data från webbimport'!Externadata_228</vt:lpstr>
      <vt:lpstr>'Data från webbimport'!Externadata_229</vt:lpstr>
      <vt:lpstr>'Data från webbimport'!Externadata_230</vt:lpstr>
      <vt:lpstr>'Data från webbimport'!Externadata_231</vt:lpstr>
      <vt:lpstr>'Data från webbimport'!Externadata_232</vt:lpstr>
      <vt:lpstr>'Data från webbimport'!Externadata_233</vt:lpstr>
      <vt:lpstr>'Data från webbimport'!Externadata_234</vt:lpstr>
      <vt:lpstr>'Data från webbimport'!Externadata_235</vt:lpstr>
      <vt:lpstr>'Data från webbimport'!Externadata_236</vt:lpstr>
      <vt:lpstr>'Data från webbimport'!Externadata_237</vt:lpstr>
      <vt:lpstr>'Data från webbimport'!Externadata_238</vt:lpstr>
      <vt:lpstr>'Data från webbimport'!Externadata_239</vt:lpstr>
      <vt:lpstr>'Data från webbimport'!Externadata_240</vt:lpstr>
      <vt:lpstr>'Data från webbimport'!Externadata_241</vt:lpstr>
      <vt:lpstr>'Data från webbimport'!Externadata_242</vt:lpstr>
      <vt:lpstr>'Data från webbimport'!Externadata_243</vt:lpstr>
      <vt:lpstr>'Data från webbimport'!Externadata_244</vt:lpstr>
      <vt:lpstr>'Data från webbimport'!Externadata_245</vt:lpstr>
      <vt:lpstr>'Data från webbimport'!Externadata_246</vt:lpstr>
      <vt:lpstr>'Data från webbimport'!Externadata_247</vt:lpstr>
      <vt:lpstr>'Data från webbimport'!Externadata_248</vt:lpstr>
      <vt:lpstr>'Data från webbimport'!Externadata_249</vt:lpstr>
      <vt:lpstr>'Data från webbimport'!Externadata_250</vt:lpstr>
      <vt:lpstr>'Data från webbimport'!Externadata_251</vt:lpstr>
      <vt:lpstr>'Data från webbimport'!Externadata_252</vt:lpstr>
      <vt:lpstr>'Data från webbimport'!Externadata_253</vt:lpstr>
      <vt:lpstr>'Data från webbimport'!Externadata_254</vt:lpstr>
      <vt:lpstr>'Data från webbimport'!Externadata_255</vt:lpstr>
      <vt:lpstr>'Data från webbimport'!Externadata_256</vt:lpstr>
      <vt:lpstr>'Data från webbimport'!Externadata_257</vt:lpstr>
      <vt:lpstr>'Data från webbimport'!Externadata_258</vt:lpstr>
      <vt:lpstr>'Data från webbimport'!Externadata_259</vt:lpstr>
      <vt:lpstr>'Data från webbimport'!Externadata_260</vt:lpstr>
      <vt:lpstr>'Data från webbimport'!Externadata_261</vt:lpstr>
      <vt:lpstr>'Data från webbimport'!Externadata_262</vt:lpstr>
      <vt:lpstr>'Data från webbimport'!Externadata_263</vt:lpstr>
      <vt:lpstr>'Data från webbimport'!Externadata_264</vt:lpstr>
      <vt:lpstr>'Data från webbimport'!Externadata_265</vt:lpstr>
      <vt:lpstr>'Data från webbimport'!Externadata_266</vt:lpstr>
      <vt:lpstr>'Data från webbimport'!Externadata_267</vt:lpstr>
      <vt:lpstr>'Data från webbimport'!Externadata_268</vt:lpstr>
      <vt:lpstr>'Data från webbimport'!Externadata_269</vt:lpstr>
      <vt:lpstr>'Data från webbimport'!Externadata_270</vt:lpstr>
      <vt:lpstr>'Data från webbimport'!Externadata_271</vt:lpstr>
      <vt:lpstr>'Data från webbimport'!Externadata_272</vt:lpstr>
      <vt:lpstr>'Data från webbimport'!Externadata_273</vt:lpstr>
      <vt:lpstr>'Data från webbimport'!Externadata_274</vt:lpstr>
      <vt:lpstr>'Data från webbimport'!Externadata_275</vt:lpstr>
      <vt:lpstr>'Data från webbimport'!Externadata_276</vt:lpstr>
      <vt:lpstr>'Data från webbimport'!Externadata_277</vt:lpstr>
      <vt:lpstr>'Data från webbimport'!Externadata_278</vt:lpstr>
      <vt:lpstr>'Data från webbimport'!Externadata_279</vt:lpstr>
      <vt:lpstr>'Data från webbimport'!Externadata_28</vt:lpstr>
      <vt:lpstr>'Data från webbimport'!Externadata_280</vt:lpstr>
      <vt:lpstr>'Data från webbimport'!Externadata_281</vt:lpstr>
      <vt:lpstr>'Data från webbimport'!Externadata_282</vt:lpstr>
      <vt:lpstr>'Data från webbimport'!Externadata_283</vt:lpstr>
      <vt:lpstr>'Data från webbimport'!Externadata_284</vt:lpstr>
      <vt:lpstr>'Data från webbimport'!Externadata_285</vt:lpstr>
      <vt:lpstr>'Data från webbimport'!Externadata_286</vt:lpstr>
      <vt:lpstr>'Data från webbimport'!Externadata_287</vt:lpstr>
      <vt:lpstr>'Data från webbimport'!Externadata_288</vt:lpstr>
      <vt:lpstr>'Data från webbimport'!Externadata_289</vt:lpstr>
      <vt:lpstr>'Data från webbimport'!Externadata_29</vt:lpstr>
      <vt:lpstr>'Data från webbimport'!Externadata_290</vt:lpstr>
      <vt:lpstr>'Data från webbimport'!Externadata_291</vt:lpstr>
      <vt:lpstr>'Data från webbimport'!Externadata_292</vt:lpstr>
      <vt:lpstr>'Data från webbimport'!Externadata_293</vt:lpstr>
      <vt:lpstr>'Data från webbimport'!Externadata_294</vt:lpstr>
      <vt:lpstr>'Data från webbimport'!Externadata_295</vt:lpstr>
      <vt:lpstr>'Data från webbimport'!Externadata_296</vt:lpstr>
      <vt:lpstr>'Data från webbimport'!Externadata_297</vt:lpstr>
      <vt:lpstr>'Data från webbimport'!Externadata_298</vt:lpstr>
      <vt:lpstr>'Data från webbimport'!Externadata_299</vt:lpstr>
      <vt:lpstr>'Data från webbimport'!Externadata_30</vt:lpstr>
      <vt:lpstr>'Data från webbimport'!Externadata_300</vt:lpstr>
      <vt:lpstr>'Data från webbimport'!Externadata_301</vt:lpstr>
      <vt:lpstr>'Data från webbimport'!Externadata_302</vt:lpstr>
      <vt:lpstr>'Data från webbimport'!Externadata_303</vt:lpstr>
      <vt:lpstr>'Data från webbimport'!Externadata_304</vt:lpstr>
      <vt:lpstr>'Data från webbimport'!Externadata_305</vt:lpstr>
      <vt:lpstr>'Data från webbimport'!Externadata_306</vt:lpstr>
      <vt:lpstr>'Data från webbimport'!Externadata_307</vt:lpstr>
      <vt:lpstr>'Data från webbimport'!Externadata_308</vt:lpstr>
      <vt:lpstr>'Data från webbimport'!Externadata_309</vt:lpstr>
      <vt:lpstr>'Data från webbimport'!Externadata_31</vt:lpstr>
      <vt:lpstr>'Data från webbimport'!Externadata_310</vt:lpstr>
      <vt:lpstr>'Data från webbimport'!Externadata_311</vt:lpstr>
      <vt:lpstr>'Data från webbimport'!Externadata_312</vt:lpstr>
      <vt:lpstr>'Data från webbimport'!Externadata_313</vt:lpstr>
      <vt:lpstr>'Data från webbimport'!Externadata_314</vt:lpstr>
      <vt:lpstr>'Data från webbimport'!Externadata_315</vt:lpstr>
      <vt:lpstr>'Data från webbimport'!Externadata_316</vt:lpstr>
      <vt:lpstr>'Data från webbimport'!Externadata_317</vt:lpstr>
      <vt:lpstr>'Data från webbimport'!Externadata_318</vt:lpstr>
      <vt:lpstr>'Data från webbimport'!Externadata_319</vt:lpstr>
      <vt:lpstr>'Data från webbimport'!Externadata_32</vt:lpstr>
      <vt:lpstr>'Data från webbimport'!Externadata_320</vt:lpstr>
      <vt:lpstr>'Data från webbimport'!Externadata_321</vt:lpstr>
      <vt:lpstr>'Data från webbimport'!Externadata_322</vt:lpstr>
      <vt:lpstr>'Data från webbimport'!Externadata_323</vt:lpstr>
      <vt:lpstr>'Data från webbimport'!Externadata_324</vt:lpstr>
      <vt:lpstr>'Data från webbimport'!Externadata_325</vt:lpstr>
      <vt:lpstr>'Data från webbimport'!Externadata_326</vt:lpstr>
      <vt:lpstr>'Data från webbimport'!Externadata_327</vt:lpstr>
      <vt:lpstr>'Data från webbimport'!Externadata_328</vt:lpstr>
      <vt:lpstr>'Data från webbimport'!Externadata_329</vt:lpstr>
      <vt:lpstr>'Data från webbimport'!Externadata_33</vt:lpstr>
      <vt:lpstr>'Data från webbimport'!Externadata_330</vt:lpstr>
      <vt:lpstr>'Data från webbimport'!Externadata_331</vt:lpstr>
      <vt:lpstr>'Data från webbimport'!Externadata_332</vt:lpstr>
      <vt:lpstr>'Data från webbimport'!Externadata_333</vt:lpstr>
      <vt:lpstr>'Data från webbimport'!Externadata_334</vt:lpstr>
      <vt:lpstr>'Data från webbimport'!Externadata_335</vt:lpstr>
      <vt:lpstr>'Data från webbimport'!Externadata_336</vt:lpstr>
      <vt:lpstr>'Data från webbimport'!Externadata_337</vt:lpstr>
      <vt:lpstr>'Data från webbimport'!Externadata_338</vt:lpstr>
      <vt:lpstr>'Data från webbimport'!Externadata_339</vt:lpstr>
      <vt:lpstr>'Data från webbimport'!Externadata_34</vt:lpstr>
      <vt:lpstr>'Data från webbimport'!Externadata_340</vt:lpstr>
      <vt:lpstr>'Data från webbimport'!Externadata_341</vt:lpstr>
      <vt:lpstr>'Data från webbimport'!Externadata_342</vt:lpstr>
      <vt:lpstr>'Data från webbimport'!Externadata_343</vt:lpstr>
      <vt:lpstr>'Data från webbimport'!Externadata_344</vt:lpstr>
      <vt:lpstr>'Data från webbimport'!Externadata_345</vt:lpstr>
      <vt:lpstr>'Data från webbimport'!Externadata_346</vt:lpstr>
      <vt:lpstr>'Data från webbimport'!Externadata_347</vt:lpstr>
      <vt:lpstr>'Data från webbimport'!Externadata_348</vt:lpstr>
      <vt:lpstr>'Data från webbimport'!Externadata_349</vt:lpstr>
      <vt:lpstr>'Data från webbimport'!Externadata_35</vt:lpstr>
      <vt:lpstr>'Data från webbimport'!Externadata_350</vt:lpstr>
      <vt:lpstr>'Data från webbimport'!Externadata_351</vt:lpstr>
      <vt:lpstr>'Data från webbimport'!Externadata_352</vt:lpstr>
      <vt:lpstr>'Data från webbimport'!Externadata_353</vt:lpstr>
      <vt:lpstr>'Data från webbimport'!Externadata_354</vt:lpstr>
      <vt:lpstr>'Data från webbimport'!Externadata_355</vt:lpstr>
      <vt:lpstr>'Data från webbimport'!Externadata_356</vt:lpstr>
      <vt:lpstr>'Data från webbimport'!Externadata_357</vt:lpstr>
      <vt:lpstr>'Data från webbimport'!Externadata_358</vt:lpstr>
      <vt:lpstr>'Data från webbimport'!Externadata_359</vt:lpstr>
      <vt:lpstr>'Data från webbimport'!Externadata_360</vt:lpstr>
      <vt:lpstr>'Data från webbimport'!Externadata_361</vt:lpstr>
      <vt:lpstr>'Data från webbimport'!Externadata_362</vt:lpstr>
      <vt:lpstr>'Data från webbimport'!Externadata_363</vt:lpstr>
      <vt:lpstr>'Data från webbimport'!Externadata_364</vt:lpstr>
      <vt:lpstr>'Data från webbimport'!Externadata_365</vt:lpstr>
      <vt:lpstr>'Data från webbimport'!Externadata_366</vt:lpstr>
      <vt:lpstr>'Data från webbimport'!Externadata_367</vt:lpstr>
      <vt:lpstr>'Data från webbimport'!Externadata_368</vt:lpstr>
      <vt:lpstr>'Data från webbimport'!Externadata_369</vt:lpstr>
      <vt:lpstr>'Data från webbimport'!Externadata_370</vt:lpstr>
      <vt:lpstr>'Data från webbimport'!Externadata_371</vt:lpstr>
      <vt:lpstr>'Data från webbimport'!Externadata_372</vt:lpstr>
      <vt:lpstr>'Data från webbimport'!Externadata_373</vt:lpstr>
      <vt:lpstr>'Data från webbimport'!Externadata_374</vt:lpstr>
      <vt:lpstr>'Data från webbimport'!Externadata_375</vt:lpstr>
      <vt:lpstr>'Data från webbimport'!Externadata_376</vt:lpstr>
      <vt:lpstr>'Data från webbimport'!Externadata_377</vt:lpstr>
      <vt:lpstr>'Data från webbimport'!Externadata_378</vt:lpstr>
      <vt:lpstr>'Data från webbimport'!Externadata_379</vt:lpstr>
      <vt:lpstr>'Data från webbimport'!Externadata_380</vt:lpstr>
      <vt:lpstr>'Data från webbimport'!Externadata_381</vt:lpstr>
      <vt:lpstr>'Data från webbimport'!Externadata_382</vt:lpstr>
      <vt:lpstr>'Data från webbimport'!Externadata_383</vt:lpstr>
      <vt:lpstr>'Data från webbimport'!Externadata_384</vt:lpstr>
      <vt:lpstr>'Data från webbimport'!Externadata_385</vt:lpstr>
      <vt:lpstr>'Data från webbimport'!Externadata_386</vt:lpstr>
      <vt:lpstr>'Data från webbimport'!Externadata_387</vt:lpstr>
      <vt:lpstr>'Data från webbimport'!Externadata_388</vt:lpstr>
      <vt:lpstr>'Data från webbimport'!Externadata_389</vt:lpstr>
      <vt:lpstr>'Data från webbimport'!Externadata_390</vt:lpstr>
      <vt:lpstr>'Data från webbimport'!Externadata_391</vt:lpstr>
      <vt:lpstr>'Data från webbimport'!Externadata_392</vt:lpstr>
      <vt:lpstr>'Data från webbimport'!Externadata_393</vt:lpstr>
      <vt:lpstr>'Data från webbimport'!Externadata_394</vt:lpstr>
      <vt:lpstr>'Data från webbimport'!Externadata_395</vt:lpstr>
      <vt:lpstr>'Data från webbimport'!Externadata_396</vt:lpstr>
      <vt:lpstr>'Data från webbimport'!Externadata_397</vt:lpstr>
      <vt:lpstr>'Data från webbimport'!Externadata_398</vt:lpstr>
      <vt:lpstr>'Data från webbimport'!Externadata_399</vt:lpstr>
      <vt:lpstr>'Data från webbimport'!Externadata_400</vt:lpstr>
      <vt:lpstr>'Data från webbimport'!Externadata_401</vt:lpstr>
      <vt:lpstr>'Data från webbimport'!Externadata_402</vt:lpstr>
      <vt:lpstr>'Data från webbimport'!Externadata_403</vt:lpstr>
      <vt:lpstr>'Data från webbimport'!Externadata_404</vt:lpstr>
      <vt:lpstr>'Data från webbimport'!Externadata_405</vt:lpstr>
      <vt:lpstr>'Data från webbimport'!Externadata_406</vt:lpstr>
      <vt:lpstr>'Data från webbimport'!Externadata_407</vt:lpstr>
      <vt:lpstr>'Data från webbimport'!Externadata_408</vt:lpstr>
      <vt:lpstr>'Data från webbimport'!Externadata_409</vt:lpstr>
      <vt:lpstr>'Data från webbimport'!Externadata_41</vt:lpstr>
      <vt:lpstr>'Data från webbimport'!Externadata_410</vt:lpstr>
      <vt:lpstr>'Data från webbimport'!Externadata_411</vt:lpstr>
      <vt:lpstr>'Data från webbimport'!Externadata_412</vt:lpstr>
      <vt:lpstr>'Data från webbimport'!Externadata_413</vt:lpstr>
      <vt:lpstr>'Data från webbimport'!Externadata_414</vt:lpstr>
      <vt:lpstr>'Data från webbimport'!Externadata_415</vt:lpstr>
      <vt:lpstr>'Data från webbimport'!Externadata_416</vt:lpstr>
      <vt:lpstr>'Data från webbimport'!Externadata_417</vt:lpstr>
      <vt:lpstr>'Data från webbimport'!Externadata_418</vt:lpstr>
      <vt:lpstr>'Data från webbimport'!Externadata_419</vt:lpstr>
      <vt:lpstr>'Data från webbimport'!Externadata_42</vt:lpstr>
      <vt:lpstr>'Data från webbimport'!Externadata_420</vt:lpstr>
      <vt:lpstr>'Data från webbimport'!Externadata_421</vt:lpstr>
      <vt:lpstr>'Data från webbimport'!Externadata_422</vt:lpstr>
      <vt:lpstr>'Data från webbimport'!Externadata_423</vt:lpstr>
      <vt:lpstr>'Data från webbimport'!Externadata_424</vt:lpstr>
      <vt:lpstr>'Data från webbimport'!Externadata_425</vt:lpstr>
      <vt:lpstr>'Data från webbimport'!Externadata_426</vt:lpstr>
      <vt:lpstr>'Data från webbimport'!Externadata_427</vt:lpstr>
      <vt:lpstr>'Data från webbimport'!Externadata_428</vt:lpstr>
      <vt:lpstr>'Data från webbimport'!Externadata_429</vt:lpstr>
      <vt:lpstr>'Data från webbimport'!Externadata_43</vt:lpstr>
      <vt:lpstr>'Data från webbimport'!Externadata_430</vt:lpstr>
      <vt:lpstr>'Data från webbimport'!Externadata_431</vt:lpstr>
      <vt:lpstr>'Data från webbimport'!Externadata_432</vt:lpstr>
      <vt:lpstr>'Data från webbimport'!Externadata_433</vt:lpstr>
      <vt:lpstr>'Data från webbimport'!Externadata_434</vt:lpstr>
      <vt:lpstr>'Data från webbimport'!Externadata_435</vt:lpstr>
      <vt:lpstr>'Data från webbimport'!Externadata_436</vt:lpstr>
      <vt:lpstr>'Data från webbimport'!Externadata_437</vt:lpstr>
      <vt:lpstr>'Data från webbimport'!Externadata_438</vt:lpstr>
      <vt:lpstr>'Data från webbimport'!Externadata_439</vt:lpstr>
      <vt:lpstr>'Data från webbimport'!Externadata_44</vt:lpstr>
      <vt:lpstr>'Data från webbimport'!Externadata_440</vt:lpstr>
      <vt:lpstr>'Data från webbimport'!Externadata_441</vt:lpstr>
      <vt:lpstr>'Data från webbimport'!Externadata_442</vt:lpstr>
      <vt:lpstr>'Data från webbimport'!Externadata_443</vt:lpstr>
      <vt:lpstr>'Data från webbimport'!Externadata_444</vt:lpstr>
      <vt:lpstr>'Data från webbimport'!Externadata_445</vt:lpstr>
      <vt:lpstr>'Data från webbimport'!Externadata_446</vt:lpstr>
      <vt:lpstr>'Data från webbimport'!Externadata_447</vt:lpstr>
      <vt:lpstr>'Data från webbimport'!Externadata_448</vt:lpstr>
      <vt:lpstr>'Data från webbimport'!Externadata_449</vt:lpstr>
      <vt:lpstr>'Data från webbimport'!Externadata_45</vt:lpstr>
      <vt:lpstr>'Data från webbimport'!Externadata_450</vt:lpstr>
      <vt:lpstr>'Data från webbimport'!Externadata_451</vt:lpstr>
      <vt:lpstr>'Data från webbimport'!Externadata_46</vt:lpstr>
      <vt:lpstr>'Data från webbimport'!Externadata_47</vt:lpstr>
      <vt:lpstr>'Data från webbimport'!Externadata_48</vt:lpstr>
      <vt:lpstr>'Data från webbimport'!Externadata_49</vt:lpstr>
      <vt:lpstr>'Data från webbimport'!Externadata_50</vt:lpstr>
      <vt:lpstr>'Data från webbimport'!Externadata_51</vt:lpstr>
      <vt:lpstr>'Data från webbimport'!Externadata_52</vt:lpstr>
      <vt:lpstr>'Data från webbimport'!Externadata_53</vt:lpstr>
      <vt:lpstr>'Data från webbimport'!Externadata_54</vt:lpstr>
      <vt:lpstr>'Data från webbimport'!Externadata_55</vt:lpstr>
      <vt:lpstr>'Data från webbimport'!Externadata_56</vt:lpstr>
      <vt:lpstr>'Data från webbimport'!Externadata_57</vt:lpstr>
      <vt:lpstr>'Data från webbimport'!Externadata_58</vt:lpstr>
      <vt:lpstr>'Data från webbimport'!Externadata_59</vt:lpstr>
      <vt:lpstr>'Data från webbimport'!Externadata_60</vt:lpstr>
      <vt:lpstr>'Data från webbimport'!Externadata_61</vt:lpstr>
      <vt:lpstr>'Data från webbimport'!Externadata_62</vt:lpstr>
      <vt:lpstr>'Data från webbimport'!Externadata_63</vt:lpstr>
      <vt:lpstr>'Data från webbimport'!Externadata_64</vt:lpstr>
      <vt:lpstr>'Data från webbimport'!Externadata_65</vt:lpstr>
      <vt:lpstr>'Data från webbimport'!Externadata_66</vt:lpstr>
      <vt:lpstr>'Data från webbimport'!Externadata_67</vt:lpstr>
      <vt:lpstr>'Data från webbimport'!Externadata_68</vt:lpstr>
      <vt:lpstr>'Data från webbimport'!Externadata_69</vt:lpstr>
      <vt:lpstr>'Data från webbimport'!Externadata_70</vt:lpstr>
      <vt:lpstr>'Data från webbimport'!Externadata_71</vt:lpstr>
      <vt:lpstr>'Data från webbimport'!Externadata_72</vt:lpstr>
      <vt:lpstr>'Data från webbimport'!Externadata_73</vt:lpstr>
      <vt:lpstr>'Data från webbimport'!Externadata_74</vt:lpstr>
      <vt:lpstr>'Data från webbimport'!Externadata_75</vt:lpstr>
      <vt:lpstr>'Data från webbimport'!Externadata_76</vt:lpstr>
      <vt:lpstr>'Data från webbimport'!Externadata_77</vt:lpstr>
      <vt:lpstr>'Data från webbimport'!Externadata_78</vt:lpstr>
      <vt:lpstr>'Data från webbimport'!Externadata_79</vt:lpstr>
      <vt:lpstr>'Data från webbimport'!Externadata_80</vt:lpstr>
      <vt:lpstr>'Data från webbimport'!Externadata_81</vt:lpstr>
      <vt:lpstr>'Data från webbimport'!Externadata_82</vt:lpstr>
      <vt:lpstr>'Data från webbimport'!Externadata_83</vt:lpstr>
      <vt:lpstr>'Data från webbimport'!Externadata_84</vt:lpstr>
      <vt:lpstr>'Data från webbimport'!Externadata_85</vt:lpstr>
      <vt:lpstr>'Data från webbimport'!Externadata_86</vt:lpstr>
      <vt:lpstr>'Data från webbimport'!Externadata_87</vt:lpstr>
      <vt:lpstr>'Data från webbimport'!Externadata_88</vt:lpstr>
      <vt:lpstr>'Data från webbimport'!Externadata_89</vt:lpstr>
      <vt:lpstr>'Data från webbimport'!Externadata_90</vt:lpstr>
      <vt:lpstr>'Data från webbimport'!Externadata_91</vt:lpstr>
      <vt:lpstr>'Data från webbimport'!Externadata_92</vt:lpstr>
      <vt:lpstr>'Data från webbimport'!Externadata_93</vt:lpstr>
      <vt:lpstr>'Data från webbimport'!Externadata_94</vt:lpstr>
      <vt:lpstr>'Data från webbimport'!Externadata_95</vt:lpstr>
      <vt:lpstr>'Data från webbimport'!Externadata_96</vt:lpstr>
      <vt:lpstr>'Data från webbimport'!Externadata_97</vt:lpstr>
      <vt:lpstr>'Data från webbimport'!Externadata_98</vt:lpstr>
      <vt:lpstr>'Data från webbimport'!Externadata_99</vt:lpstr>
      <vt:lpstr>Grades</vt:lpstr>
      <vt:lpstr>HPKVOT</vt:lpstr>
      <vt:lpstr>Import_Program</vt:lpstr>
      <vt:lpstr>Import_Spec</vt:lpstr>
      <vt:lpstr>Import_year</vt:lpstr>
      <vt:lpstr>Intjänade_kurspoäng</vt:lpstr>
      <vt:lpstr>KurskodForNyKurs</vt:lpstr>
      <vt:lpstr>Programkurser!KursnamnForNyKurs</vt:lpstr>
      <vt:lpstr>Kurspoang</vt:lpstr>
      <vt:lpstr>Kurspoäng</vt:lpstr>
      <vt:lpstr>Kurspoäng_som_krävs</vt:lpstr>
      <vt:lpstr>Levels</vt:lpstr>
      <vt:lpstr>name</vt:lpstr>
      <vt:lpstr>NewProgram</vt:lpstr>
      <vt:lpstr>NewProgramCredits</vt:lpstr>
      <vt:lpstr>NewProgramToAdd</vt:lpstr>
      <vt:lpstr>NewProgramYears</vt:lpstr>
      <vt:lpstr>newTechP</vt:lpstr>
      <vt:lpstr>NewTechSpec</vt:lpstr>
      <vt:lpstr>Niva</vt:lpstr>
      <vt:lpstr>Nivå</vt:lpstr>
      <vt:lpstr>Period</vt:lpstr>
      <vt:lpstr>Program</vt:lpstr>
      <vt:lpstr>ProgramForNewCourse</vt:lpstr>
      <vt:lpstr>SearchField</vt:lpstr>
      <vt:lpstr>SearchResult</vt:lpstr>
      <vt:lpstr>SearchResultBlock</vt:lpstr>
      <vt:lpstr>SearchResultCode</vt:lpstr>
      <vt:lpstr>SearchResultCredits</vt:lpstr>
      <vt:lpstr>SearchResultLevel</vt:lpstr>
      <vt:lpstr>SearchResultSemester</vt:lpstr>
      <vt:lpstr>SearchResultSemesterPart</vt:lpstr>
      <vt:lpstr>SearchResultTech</vt:lpstr>
      <vt:lpstr>SearchResultYear</vt:lpstr>
      <vt:lpstr>Semesters</vt:lpstr>
      <vt:lpstr>Sök_efter_examenskrav</vt:lpstr>
      <vt:lpstr>TechProgram</vt:lpstr>
      <vt:lpstr>TechSpec</vt:lpstr>
      <vt:lpstr>TekniskInriktning</vt:lpstr>
      <vt:lpstr>Termin</vt:lpstr>
      <vt:lpstr>URL</vt:lpstr>
      <vt:lpstr>'Program och examenskrav'!Utskriftsrubriker</vt:lpstr>
      <vt:lpstr>Programkurser!Utskriftsrubriker</vt:lpstr>
      <vt:lpstr>ValidLevels</vt:lpstr>
      <vt:lpstr>ValidPerioder</vt:lpstr>
      <vt:lpstr>ValidSemester</vt:lpstr>
      <vt:lpstr>ValidSemesterParts</vt:lpstr>
      <vt:lpstr>ValidSemesters</vt:lpstr>
      <vt:lpstr>Version</vt:lpstr>
      <vt:lpstr>Year</vt:lpstr>
      <vt:lpstr>Återstående_kurspoäng</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Credit tracker</dc:title>
  <dc:creator>Tobias Genborg</dc:creator>
  <cp:keywords/>
  <cp:lastModifiedBy>Tobias Genborg</cp:lastModifiedBy>
  <dcterms:created xsi:type="dcterms:W3CDTF">2014-05-26T18:51:10Z</dcterms:created>
  <dcterms:modified xsi:type="dcterms:W3CDTF">2014-07-24T15:43:23Z</dcterms:modified>
  <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TemplateID">
    <vt:lpwstr>TC028021029991</vt:lpwstr>
  </property>
</Properties>
</file>