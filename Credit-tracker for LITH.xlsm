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ctrlProps/ctrlProp5.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6.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ctrlProps/ctrlProp7.xml" ContentType="application/vnd.ms-excel.controlproperties+xml"/>
  <Override PartName="/xl/ctrlProps/ctrlProp8.xml" ContentType="application/vnd.ms-excel.controlproperties+xml"/>
  <Override PartName="/xl/pivotTables/pivotTable1.xml" ContentType="application/vnd.openxmlformats-officedocument.spreadsheetml.pivot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Tobias\Desktop\"/>
    </mc:Choice>
  </mc:AlternateContent>
  <bookViews>
    <workbookView xWindow="0" yWindow="0" windowWidth="16410" windowHeight="7425" tabRatio="742" firstSheet="2" activeTab="6"/>
  </bookViews>
  <sheets>
    <sheet name="Sammanställning" sheetId="1" r:id="rId1"/>
    <sheet name="Ditt informationsblad" sheetId="8" r:id="rId2"/>
    <sheet name="Programkurser" sheetId="6" r:id="rId3"/>
    <sheet name="Examenskrav" sheetId="16" r:id="rId4"/>
    <sheet name="Program och examenskrav" sheetId="10" r:id="rId5"/>
    <sheet name="Automatiserad import" sheetId="12" r:id="rId6"/>
    <sheet name="Om arbetsboken" sheetId="14" r:id="rId7"/>
    <sheet name="Data" sheetId="13" r:id="rId8"/>
    <sheet name="Konstanter" sheetId="11" r:id="rId9"/>
  </sheets>
  <functionGroups builtInGroupCount="18"/>
  <definedNames>
    <definedName name="_xlcn.WorksheetConnection_Högskolepoängsspårare.xlsmProgramKurser1" hidden="1">ProgramKurser[]</definedName>
    <definedName name="_xlcn.WorksheetConnection_Högskolepoängsspårare.xlsmProgramplan1" hidden="1">Programplan[]</definedName>
    <definedName name="action.lasso?__response_lot_response.lasso__op_eq_kp_budget_year_2014__op_eq_kp_programkod_Y__op_eq_kp_programprofil_Y__op_lt_kp_termin_7" localSheetId="5">'Automatiserad import'!#REF!</definedName>
    <definedName name="Avslutade_poäng">Sammanställning!$I$11</definedName>
    <definedName name="Block">Programkurser!$J$6</definedName>
    <definedName name="DynamicProgramRange">'Program och examenskrav'!$E$6:INDEX(AvailablePrograms[PROGRAMNAMN],COUNTIF(AvailablePrograms[PROGRAMNAMN],"?*"))</definedName>
    <definedName name="DynamicSpecRange">Data!$D$15:INDEX(Data!$D$15:$D$113,COUNTIF(Data!$D$15:$D$113,"?*"))</definedName>
    <definedName name="DynamicTextRange">Data!$D$12:INDEX(Data!$D$12:$D$113,COUNTIF(Data!$D$12:$D$113,"?*"))</definedName>
    <definedName name="EcoSpec">'Ditt informationsblad'!$C$8</definedName>
    <definedName name="Import_Program">'Automatiserad import'!$E$6</definedName>
    <definedName name="Import_Spec">'Automatiserad import'!$E$7:$H$7</definedName>
    <definedName name="Import_year">'Automatiserad import'!$E$8</definedName>
    <definedName name="ImportStart">'Automatiserad import'!$C$9</definedName>
    <definedName name="Intjänade_kurspoäng">Examenskrav[[#Totals],[TAGNA]]</definedName>
    <definedName name="KurskodForNyKurs">Programkurser!$C$6</definedName>
    <definedName name="KursnamnForNyKurs" localSheetId="2">Programkurser!$A$6</definedName>
    <definedName name="Kurspoang">Programkurser!$F$6</definedName>
    <definedName name="Kurspoäng">Programkurser!$F$6</definedName>
    <definedName name="Kurspoäng_som_krävs">Examenskrav[[#Totals],[SUMMA]]</definedName>
    <definedName name="name">'Program och examenskrav'!$A$5</definedName>
    <definedName name="NewProgram">'Program och examenskrav'!$A$5</definedName>
    <definedName name="NewProgramCredits">'Program och examenskrav'!$B$6</definedName>
    <definedName name="NewProgramToAdd">'Program och examenskrav'!$A$6</definedName>
    <definedName name="NewProgramYears">'Program och examenskrav'!$C$6</definedName>
    <definedName name="newTechP">'Program och examenskrav'!$H$21</definedName>
    <definedName name="NewTechSpec">'Program och examenskrav'!$A$25</definedName>
    <definedName name="Niva">Programkurser!$E$6</definedName>
    <definedName name="Nivå">Programkurser!$E$6</definedName>
    <definedName name="Period">Programkurser!$H$6</definedName>
    <definedName name="Program">'Ditt informationsblad'!$C$6</definedName>
    <definedName name="ProgramForNewCourse">Programkurser!$D$8</definedName>
    <definedName name="SearchField">'Ditt informationsblad'!$F$5</definedName>
    <definedName name="SearchResult">'Ditt informationsblad'!$F$7</definedName>
    <definedName name="SearchResultBlock">'Ditt informationsblad'!$N$7</definedName>
    <definedName name="SearchResultCode">'Ditt informationsblad'!$O$7</definedName>
    <definedName name="SearchResultCredits">'Ditt informationsblad'!$S$7</definedName>
    <definedName name="SearchResultLevel">'Ditt informationsblad'!$Q$7</definedName>
    <definedName name="SearchResultSemester">'Ditt informationsblad'!$T$7</definedName>
    <definedName name="SearchResultSemesterPart">'Ditt informationsblad'!$U$7</definedName>
    <definedName name="SearchResultTech">'Ditt informationsblad'!$P$7</definedName>
    <definedName name="SearchResultYear">'Ditt informationsblad'!$R$7</definedName>
    <definedName name="Sök_efter_examenskrav" localSheetId="1">#REF!</definedName>
    <definedName name="Sök_efter_examenskrav" localSheetId="4">#REF!</definedName>
    <definedName name="Sök_efter_examenskrav" localSheetId="2">#REF!</definedName>
    <definedName name="Sök_efter_examenskrav">Examenskrav[KURSPOÄNGSKRAV]</definedName>
    <definedName name="TechProgram">'Program och examenskrav'!$B$22</definedName>
    <definedName name="TechSpec">'Ditt informationsblad'!$C$7</definedName>
    <definedName name="TekniskInriktning">Programkurser!$D$6</definedName>
    <definedName name="Termin">Programkurser!$G$6</definedName>
    <definedName name="_xlnm.Print_Titles" localSheetId="1">'Ditt informationsblad'!#REF!</definedName>
    <definedName name="_xlnm.Print_Titles" localSheetId="4">'Program och examenskrav'!$18:$19</definedName>
    <definedName name="_xlnm.Print_Titles" localSheetId="2">Programkurser!$632:$632</definedName>
    <definedName name="_xlnm.Print_Titles" localSheetId="0">Sammanställning!#REF!</definedName>
    <definedName name="ValidLevels">Konstanter!$F$6:$F$7</definedName>
    <definedName name="ValidPerioder">Konstanter!$J$6:$J$8</definedName>
    <definedName name="ValidSemester">Konstanter!$H$6:$H$8</definedName>
    <definedName name="ValidSemesterParts">Konstanter!$J$6:$J$7</definedName>
    <definedName name="ValidSemesters">Konstanter!$H$6:$H$7</definedName>
    <definedName name="Year">Programkurser!$I$6</definedName>
    <definedName name="Återstående_kurspoäng">Examenskrav[[#Totals],[KVAR ATT TA]]</definedName>
  </definedNames>
  <calcPr calcId="152511" iterateDelta="1E-4"/>
  <pivotCaches>
    <pivotCache cacheId="0" r:id="rId10"/>
  </pivotCaches>
  <extLst>
    <ext xmlns:x15="http://schemas.microsoft.com/office/spreadsheetml/2010/11/main" uri="{FCE2AD5D-F65C-4FA6-A056-5C36A1767C68}">
      <x15:dataModel>
        <x15:modelTables>
          <x15:modelTable id="Programplan-da6b1a88-ccff-47a9-9a3d-f262ce90417b" name="Programplan" connection="WorksheetConnection_Högskolepoängsspårare.xlsm!Programplan"/>
          <x15:modelTable id="ProgramKurser-63389b59-6696-438a-9aed-29a9ba87c27f" name="ProgramKurser" connection="WorksheetConnection_Högskolepoängsspårare.xlsm!ProgramKurser"/>
        </x15:modelTables>
        <x15:modelRelationships>
          <x15:modelRelationship fromTable="Programplan" fromColumn="KURSNAMN" toTable="ProgramKurser" toColumn="KURSNAMN"/>
        </x15:modelRelationships>
      </x15:dataModel>
    </ext>
  </extLst>
</workbook>
</file>

<file path=xl/calcChain.xml><?xml version="1.0" encoding="utf-8"?>
<calcChain xmlns="http://schemas.openxmlformats.org/spreadsheetml/2006/main">
  <c r="D2" i="10" l="1"/>
  <c r="D2" i="6"/>
  <c r="L7" i="1"/>
  <c r="M2" i="14" l="1"/>
  <c r="K8" i="1" l="1"/>
  <c r="K9" i="1"/>
  <c r="E2" i="8"/>
  <c r="B10" i="1"/>
  <c r="D13" i="1"/>
  <c r="H2" i="16" l="1"/>
  <c r="D13" i="6"/>
  <c r="K2" i="1"/>
  <c r="E2" i="12"/>
  <c r="E8" i="1"/>
  <c r="G8" i="1" s="1"/>
  <c r="E7" i="1" l="1"/>
  <c r="G7" i="1" s="1"/>
  <c r="I11" i="1" l="1"/>
  <c r="M13" i="1" s="1"/>
  <c r="B9" i="1" l="1"/>
  <c r="Q32" i="1"/>
  <c r="Q24" i="1"/>
  <c r="Q25" i="1"/>
  <c r="Q26" i="1"/>
  <c r="Q27" i="1"/>
  <c r="Q28" i="1"/>
  <c r="Q29" i="1"/>
  <c r="Q30" i="1"/>
  <c r="Q31" i="1"/>
  <c r="Q23" i="1"/>
  <c r="Y32" i="1"/>
  <c r="L25" i="1"/>
  <c r="M28" i="1"/>
  <c r="R31" i="1"/>
  <c r="X23" i="1"/>
  <c r="L30" i="1"/>
  <c r="X32" i="1"/>
  <c r="X28" i="1"/>
  <c r="S27" i="1"/>
  <c r="U31" i="1"/>
  <c r="U30" i="1"/>
  <c r="S26" i="1"/>
  <c r="S32" i="1"/>
  <c r="T31" i="1"/>
  <c r="Y27" i="1"/>
  <c r="R25" i="1"/>
  <c r="M23" i="1"/>
  <c r="U25" i="1"/>
  <c r="R30" i="1"/>
  <c r="W27" i="1"/>
  <c r="Y30" i="1"/>
  <c r="X27" i="1"/>
  <c r="U24" i="1"/>
  <c r="W31" i="1"/>
  <c r="M29" i="1"/>
  <c r="X24" i="1"/>
  <c r="L31" i="1"/>
  <c r="R26" i="1"/>
  <c r="W23" i="1"/>
  <c r="U32" i="1"/>
  <c r="W25" i="1"/>
  <c r="W28" i="1"/>
  <c r="T23" i="1"/>
  <c r="Y23" i="1"/>
  <c r="Y29" i="1"/>
  <c r="R32" i="1"/>
  <c r="M27" i="1"/>
  <c r="M25" i="1"/>
  <c r="S28" i="1"/>
  <c r="X31" i="1"/>
  <c r="L26" i="1"/>
  <c r="R27" i="1"/>
  <c r="S30" i="1"/>
  <c r="U26" i="1"/>
  <c r="W24" i="1"/>
  <c r="Y28" i="1"/>
  <c r="Y24" i="1"/>
  <c r="L23" i="1"/>
  <c r="U27" i="1"/>
  <c r="Y31" i="1"/>
  <c r="T29" i="1"/>
  <c r="S25" i="1"/>
  <c r="M32" i="1"/>
  <c r="V28" i="1"/>
  <c r="S29" i="1"/>
  <c r="W26" i="1"/>
  <c r="T25" i="1"/>
  <c r="V23" i="1"/>
  <c r="M31" i="1"/>
  <c r="W29" i="1"/>
  <c r="V30" i="1"/>
  <c r="V26" i="1"/>
  <c r="V29" i="1"/>
  <c r="S24" i="1"/>
  <c r="U28" i="1"/>
  <c r="R28" i="1"/>
  <c r="V32" i="1"/>
  <c r="X26" i="1"/>
  <c r="M26" i="1"/>
  <c r="X25" i="1"/>
  <c r="Y25" i="1"/>
  <c r="T28" i="1"/>
  <c r="X30" i="1"/>
  <c r="L24" i="1"/>
  <c r="T32" i="1"/>
  <c r="V25" i="1"/>
  <c r="X29" i="1"/>
  <c r="S31" i="1"/>
  <c r="M30" i="1"/>
  <c r="R23" i="1"/>
  <c r="R29" i="1"/>
  <c r="W30" i="1"/>
  <c r="U23" i="1"/>
  <c r="T24" i="1"/>
  <c r="Y26" i="1"/>
  <c r="V24" i="1"/>
  <c r="S23" i="1"/>
  <c r="L32" i="1"/>
  <c r="R24" i="1"/>
  <c r="T27" i="1"/>
  <c r="V27" i="1"/>
  <c r="M24" i="1"/>
  <c r="L29" i="1"/>
  <c r="W32" i="1"/>
  <c r="V31" i="1"/>
  <c r="U29" i="1"/>
  <c r="T26" i="1"/>
  <c r="L28" i="1"/>
  <c r="L27" i="1"/>
  <c r="T30" i="1"/>
  <c r="N30" i="1" l="1"/>
  <c r="N28" i="1"/>
  <c r="N32" i="1"/>
  <c r="N24" i="1"/>
  <c r="N26" i="1"/>
  <c r="N23" i="1"/>
  <c r="E10" i="1"/>
  <c r="N25" i="1"/>
  <c r="N31" i="1"/>
  <c r="N29" i="1"/>
  <c r="N27" i="1"/>
  <c r="N34" i="1" a="1"/>
  <c r="N34" i="1" s="1"/>
  <c r="M35" i="1"/>
  <c r="F9" i="1"/>
  <c r="F10" i="1"/>
  <c r="G10" i="1" l="1"/>
  <c r="M9" i="1" s="1"/>
  <c r="L8" i="1"/>
  <c r="B17" i="13" l="1"/>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18" i="13"/>
  <c r="C19" i="13"/>
  <c r="C20" i="13"/>
  <c r="C21" i="13"/>
  <c r="C17" i="13"/>
  <c r="C16" i="13"/>
  <c r="B16" i="13"/>
  <c r="B11" i="13" l="1"/>
  <c r="M10" i="1"/>
  <c r="M7" i="1" l="1"/>
  <c r="O13" i="1" s="1"/>
  <c r="D18" i="13" a="1"/>
  <c r="D18" i="13" s="1"/>
  <c r="D20" i="13" a="1"/>
  <c r="D20" i="13" s="1"/>
  <c r="D22" i="13" a="1"/>
  <c r="D22" i="13" s="1"/>
  <c r="D24" i="13" a="1"/>
  <c r="D24" i="13" s="1"/>
  <c r="D26" i="13" a="1"/>
  <c r="D26" i="13" s="1"/>
  <c r="D28" i="13" a="1"/>
  <c r="D28" i="13" s="1"/>
  <c r="D30" i="13" a="1"/>
  <c r="D30" i="13" s="1"/>
  <c r="D32" i="13" a="1"/>
  <c r="D32" i="13" s="1"/>
  <c r="D34" i="13" a="1"/>
  <c r="D34" i="13" s="1"/>
  <c r="D36" i="13" a="1"/>
  <c r="D36" i="13" s="1"/>
  <c r="D38" i="13" a="1"/>
  <c r="D38" i="13" s="1"/>
  <c r="D40" i="13" a="1"/>
  <c r="D40" i="13" s="1"/>
  <c r="D42" i="13" a="1"/>
  <c r="D42" i="13" s="1"/>
  <c r="D44" i="13" a="1"/>
  <c r="D44" i="13" s="1"/>
  <c r="D46" i="13" a="1"/>
  <c r="D46" i="13" s="1"/>
  <c r="D48" i="13" a="1"/>
  <c r="D48" i="13" s="1"/>
  <c r="D50" i="13" a="1"/>
  <c r="D50" i="13" s="1"/>
  <c r="D52" i="13" a="1"/>
  <c r="D52" i="13" s="1"/>
  <c r="D54" i="13" a="1"/>
  <c r="D54" i="13" s="1"/>
  <c r="D56" i="13" a="1"/>
  <c r="D56" i="13" s="1"/>
  <c r="D58" i="13" a="1"/>
  <c r="D58" i="13" s="1"/>
  <c r="D60" i="13" a="1"/>
  <c r="D60" i="13" s="1"/>
  <c r="D62" i="13" a="1"/>
  <c r="D62" i="13" s="1"/>
  <c r="D64" i="13" a="1"/>
  <c r="D64" i="13" s="1"/>
  <c r="D66" i="13" a="1"/>
  <c r="D66" i="13" s="1"/>
  <c r="D68" i="13" a="1"/>
  <c r="D68" i="13" s="1"/>
  <c r="D70" i="13" a="1"/>
  <c r="D70" i="13" s="1"/>
  <c r="D72" i="13" a="1"/>
  <c r="D72" i="13" s="1"/>
  <c r="D74" i="13" a="1"/>
  <c r="D74" i="13" s="1"/>
  <c r="D76" i="13" a="1"/>
  <c r="D76" i="13" s="1"/>
  <c r="D78" i="13" a="1"/>
  <c r="D78" i="13" s="1"/>
  <c r="D80" i="13" a="1"/>
  <c r="D80" i="13" s="1"/>
  <c r="D82" i="13" a="1"/>
  <c r="D82" i="13" s="1"/>
  <c r="D84" i="13" a="1"/>
  <c r="D84" i="13" s="1"/>
  <c r="D86" i="13" a="1"/>
  <c r="D86" i="13" s="1"/>
  <c r="D88" i="13" a="1"/>
  <c r="D88" i="13" s="1"/>
  <c r="D90" i="13" a="1"/>
  <c r="D90" i="13" s="1"/>
  <c r="D92" i="13" a="1"/>
  <c r="D92" i="13" s="1"/>
  <c r="D94" i="13" a="1"/>
  <c r="D94" i="13" s="1"/>
  <c r="D96" i="13" a="1"/>
  <c r="D96" i="13" s="1"/>
  <c r="D98" i="13" a="1"/>
  <c r="D98" i="13" s="1"/>
  <c r="D100" i="13" a="1"/>
  <c r="D100" i="13" s="1"/>
  <c r="D102" i="13" a="1"/>
  <c r="D102" i="13" s="1"/>
  <c r="D103" i="13" a="1"/>
  <c r="D103" i="13" s="1"/>
  <c r="D104" i="13" a="1"/>
  <c r="D104" i="13" s="1"/>
  <c r="D105" i="13" a="1"/>
  <c r="D105" i="13" s="1"/>
  <c r="D106" i="13" a="1"/>
  <c r="D106" i="13" s="1"/>
  <c r="D107" i="13" a="1"/>
  <c r="D107" i="13" s="1"/>
  <c r="D108" i="13" a="1"/>
  <c r="D108" i="13" s="1"/>
  <c r="D109" i="13" a="1"/>
  <c r="D109" i="13" s="1"/>
  <c r="D110" i="13" a="1"/>
  <c r="D110" i="13" s="1"/>
  <c r="D111" i="13" a="1"/>
  <c r="D111" i="13" s="1"/>
  <c r="D112" i="13" a="1"/>
  <c r="D112" i="13" s="1"/>
  <c r="D113" i="13" a="1"/>
  <c r="D113" i="13" s="1"/>
  <c r="D114" i="13" a="1"/>
  <c r="D114" i="13" s="1"/>
  <c r="D115" i="13" a="1"/>
  <c r="D115" i="13" s="1"/>
  <c r="D116" i="13" a="1"/>
  <c r="D116" i="13" s="1"/>
  <c r="D117" i="13" a="1"/>
  <c r="D117" i="13" s="1"/>
  <c r="D118" i="13" a="1"/>
  <c r="D118" i="13" s="1"/>
  <c r="D119" i="13" a="1"/>
  <c r="D119" i="13" s="1"/>
  <c r="D120" i="13" a="1"/>
  <c r="D120" i="13" s="1"/>
  <c r="D121" i="13" a="1"/>
  <c r="D121" i="13" s="1"/>
  <c r="D122" i="13" a="1"/>
  <c r="D122" i="13" s="1"/>
  <c r="D123" i="13" a="1"/>
  <c r="D123" i="13" s="1"/>
  <c r="D124" i="13" a="1"/>
  <c r="D124" i="13" s="1"/>
  <c r="D125" i="13" a="1"/>
  <c r="D125" i="13" s="1"/>
  <c r="D126" i="13" a="1"/>
  <c r="D126" i="13" s="1"/>
  <c r="D127" i="13" a="1"/>
  <c r="D127" i="13" s="1"/>
  <c r="D128" i="13" a="1"/>
  <c r="D128" i="13" s="1"/>
  <c r="D129" i="13" a="1"/>
  <c r="D129" i="13" s="1"/>
  <c r="D130" i="13" a="1"/>
  <c r="D130" i="13" s="1"/>
  <c r="D131" i="13" a="1"/>
  <c r="D131" i="13" s="1"/>
  <c r="D132" i="13" a="1"/>
  <c r="D132" i="13" s="1"/>
  <c r="D133" i="13" a="1"/>
  <c r="D133" i="13" s="1"/>
  <c r="D134" i="13" a="1"/>
  <c r="D134" i="13" s="1"/>
  <c r="D135" i="13" a="1"/>
  <c r="D135" i="13" s="1"/>
  <c r="D136" i="13" a="1"/>
  <c r="D136" i="13" s="1"/>
  <c r="D137" i="13" a="1"/>
  <c r="D137" i="13" s="1"/>
  <c r="D138" i="13" a="1"/>
  <c r="D138" i="13" s="1"/>
  <c r="D139" i="13" a="1"/>
  <c r="D139" i="13" s="1"/>
  <c r="D140" i="13" a="1"/>
  <c r="D140" i="13" s="1"/>
  <c r="D141" i="13" a="1"/>
  <c r="D141" i="13" s="1"/>
  <c r="D142" i="13" a="1"/>
  <c r="D142" i="13" s="1"/>
  <c r="D143" i="13" a="1"/>
  <c r="D143" i="13" s="1"/>
  <c r="D144" i="13" a="1"/>
  <c r="D144" i="13" s="1"/>
  <c r="D145" i="13" a="1"/>
  <c r="D145" i="13" s="1"/>
  <c r="D146" i="13" a="1"/>
  <c r="D146" i="13" s="1"/>
  <c r="D147" i="13" a="1"/>
  <c r="D147" i="13" s="1"/>
  <c r="D148" i="13" a="1"/>
  <c r="D148" i="13" s="1"/>
  <c r="D149" i="13" a="1"/>
  <c r="D149" i="13" s="1"/>
  <c r="D150" i="13" a="1"/>
  <c r="D150" i="13" s="1"/>
  <c r="D151" i="13" a="1"/>
  <c r="D151" i="13" s="1"/>
  <c r="D152" i="13" a="1"/>
  <c r="D152" i="13" s="1"/>
  <c r="D153" i="13" a="1"/>
  <c r="D153" i="13" s="1"/>
  <c r="D154" i="13" a="1"/>
  <c r="D154" i="13" s="1"/>
  <c r="D155" i="13" a="1"/>
  <c r="D155" i="13" s="1"/>
  <c r="D156" i="13" a="1"/>
  <c r="D156" i="13" s="1"/>
  <c r="D157" i="13" a="1"/>
  <c r="D157" i="13" s="1"/>
  <c r="D158" i="13" a="1"/>
  <c r="D158" i="13" s="1"/>
  <c r="D159" i="13" a="1"/>
  <c r="D159" i="13" s="1"/>
  <c r="D160" i="13" a="1"/>
  <c r="D160" i="13" s="1"/>
  <c r="D161" i="13" a="1"/>
  <c r="D161" i="13" s="1"/>
  <c r="D162" i="13" a="1"/>
  <c r="D162" i="13" s="1"/>
  <c r="D163" i="13" a="1"/>
  <c r="D163" i="13" s="1"/>
  <c r="D164" i="13" a="1"/>
  <c r="D164" i="13" s="1"/>
  <c r="D165" i="13" a="1"/>
  <c r="D165" i="13" s="1"/>
  <c r="D166" i="13" a="1"/>
  <c r="D166" i="13" s="1"/>
  <c r="D167" i="13" a="1"/>
  <c r="D167" i="13" s="1"/>
  <c r="D168" i="13" a="1"/>
  <c r="D168" i="13" s="1"/>
  <c r="D169" i="13" a="1"/>
  <c r="D169" i="13" s="1"/>
  <c r="D170" i="13" a="1"/>
  <c r="D170" i="13" s="1"/>
  <c r="D171" i="13" a="1"/>
  <c r="D171" i="13" s="1"/>
  <c r="D172" i="13" a="1"/>
  <c r="D172" i="13" s="1"/>
  <c r="D173" i="13" a="1"/>
  <c r="D173" i="13" s="1"/>
  <c r="D174" i="13" a="1"/>
  <c r="D174" i="13" s="1"/>
  <c r="D16" i="13" a="1"/>
  <c r="D16" i="13" s="1"/>
  <c r="D17" i="13" a="1"/>
  <c r="D17" i="13" s="1"/>
  <c r="D19" i="13" a="1"/>
  <c r="D19" i="13" s="1"/>
  <c r="D21" i="13" a="1"/>
  <c r="D21" i="13" s="1"/>
  <c r="D23" i="13" a="1"/>
  <c r="D23" i="13" s="1"/>
  <c r="D25" i="13" a="1"/>
  <c r="D25" i="13" s="1"/>
  <c r="D27" i="13" a="1"/>
  <c r="D27" i="13" s="1"/>
  <c r="D29" i="13" a="1"/>
  <c r="D29" i="13" s="1"/>
  <c r="D31" i="13" a="1"/>
  <c r="D31" i="13" s="1"/>
  <c r="D33" i="13" a="1"/>
  <c r="D33" i="13" s="1"/>
  <c r="D35" i="13" a="1"/>
  <c r="D35" i="13" s="1"/>
  <c r="D37" i="13" a="1"/>
  <c r="D37" i="13" s="1"/>
  <c r="D39" i="13" a="1"/>
  <c r="D39" i="13" s="1"/>
  <c r="D41" i="13" a="1"/>
  <c r="D41" i="13" s="1"/>
  <c r="D43" i="13" a="1"/>
  <c r="D43" i="13" s="1"/>
  <c r="D45" i="13" a="1"/>
  <c r="D45" i="13" s="1"/>
  <c r="D47" i="13" a="1"/>
  <c r="D47" i="13" s="1"/>
  <c r="D49" i="13" a="1"/>
  <c r="D49" i="13" s="1"/>
  <c r="D51" i="13" a="1"/>
  <c r="D51" i="13" s="1"/>
  <c r="D53" i="13" a="1"/>
  <c r="D53" i="13" s="1"/>
  <c r="D55" i="13" a="1"/>
  <c r="D55" i="13" s="1"/>
  <c r="D57" i="13" a="1"/>
  <c r="D57" i="13" s="1"/>
  <c r="D59" i="13" a="1"/>
  <c r="D59" i="13" s="1"/>
  <c r="D61" i="13" a="1"/>
  <c r="D61" i="13" s="1"/>
  <c r="D63" i="13" a="1"/>
  <c r="D63" i="13" s="1"/>
  <c r="D65" i="13" a="1"/>
  <c r="D65" i="13" s="1"/>
  <c r="D67" i="13" a="1"/>
  <c r="D67" i="13" s="1"/>
  <c r="D69" i="13" a="1"/>
  <c r="D69" i="13" s="1"/>
  <c r="D71" i="13" a="1"/>
  <c r="D71" i="13" s="1"/>
  <c r="D73" i="13" a="1"/>
  <c r="D73" i="13" s="1"/>
  <c r="D75" i="13" a="1"/>
  <c r="D75" i="13" s="1"/>
  <c r="D77" i="13" a="1"/>
  <c r="D77" i="13" s="1"/>
  <c r="D79" i="13" a="1"/>
  <c r="D79" i="13" s="1"/>
  <c r="D81" i="13" a="1"/>
  <c r="D81" i="13" s="1"/>
  <c r="D83" i="13" a="1"/>
  <c r="D83" i="13" s="1"/>
  <c r="D85" i="13" a="1"/>
  <c r="D85" i="13" s="1"/>
  <c r="D87" i="13" a="1"/>
  <c r="D87" i="13" s="1"/>
  <c r="D89" i="13" a="1"/>
  <c r="D89" i="13" s="1"/>
  <c r="D91" i="13" a="1"/>
  <c r="D91" i="13" s="1"/>
  <c r="D93" i="13" a="1"/>
  <c r="D93" i="13" s="1"/>
  <c r="D95" i="13" a="1"/>
  <c r="D95" i="13" s="1"/>
  <c r="D97" i="13" a="1"/>
  <c r="D97" i="13" s="1"/>
  <c r="D99" i="13" a="1"/>
  <c r="D99" i="13" s="1"/>
  <c r="D101" i="13" a="1"/>
  <c r="D101" i="13" s="1"/>
  <c r="E11" i="1" l="1"/>
  <c r="E9" i="1"/>
  <c r="G9" i="1" l="1"/>
  <c r="M8" i="1" s="1"/>
  <c r="O10" i="11" l="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7" i="11"/>
  <c r="O38" i="11"/>
  <c r="O39" i="11"/>
  <c r="O40" i="11"/>
  <c r="O41" i="11"/>
  <c r="O42" i="11"/>
  <c r="O43" i="11"/>
  <c r="O44" i="11"/>
  <c r="O45" i="11"/>
  <c r="O46" i="11"/>
  <c r="O47" i="11"/>
  <c r="O48" i="11"/>
  <c r="O49" i="11"/>
  <c r="O50" i="11"/>
  <c r="O51" i="11"/>
  <c r="O52" i="11"/>
  <c r="O53" i="11"/>
  <c r="O54" i="11"/>
  <c r="O55" i="11"/>
  <c r="O56" i="11"/>
  <c r="O57" i="11"/>
  <c r="O58" i="11"/>
  <c r="O59" i="11"/>
  <c r="O60" i="11"/>
  <c r="O61" i="11"/>
  <c r="O62" i="11"/>
  <c r="O63" i="11"/>
  <c r="O64" i="11"/>
  <c r="O65" i="11"/>
  <c r="O66" i="11"/>
  <c r="O67" i="11"/>
  <c r="O68" i="11"/>
  <c r="O69" i="11"/>
  <c r="O70" i="11"/>
  <c r="O71" i="11"/>
  <c r="O72" i="11"/>
  <c r="O73" i="11"/>
  <c r="O74" i="11"/>
  <c r="O75" i="11"/>
  <c r="O76" i="11"/>
  <c r="O77" i="11"/>
  <c r="O78" i="11"/>
  <c r="O79" i="11"/>
  <c r="O80" i="11"/>
  <c r="O81" i="11"/>
  <c r="O82" i="11"/>
  <c r="O83" i="11"/>
  <c r="O84" i="11"/>
  <c r="O85" i="11"/>
  <c r="O86" i="11"/>
  <c r="O87" i="11"/>
  <c r="O88" i="11"/>
  <c r="O89" i="11"/>
  <c r="O90" i="11"/>
  <c r="O91" i="11"/>
  <c r="O92" i="11"/>
  <c r="O93" i="11"/>
  <c r="O94" i="11"/>
  <c r="O95" i="11"/>
  <c r="O96" i="11"/>
  <c r="O97" i="11"/>
  <c r="O98" i="11"/>
  <c r="O99" i="11"/>
  <c r="O100" i="11"/>
  <c r="O101" i="11"/>
  <c r="O102" i="11"/>
  <c r="O103" i="11"/>
  <c r="O104" i="11"/>
  <c r="O105" i="11"/>
  <c r="O106" i="11"/>
  <c r="O107" i="11"/>
  <c r="O108" i="11"/>
  <c r="O109" i="11"/>
  <c r="O110" i="11"/>
  <c r="O111" i="11"/>
  <c r="O112" i="11"/>
  <c r="O113" i="11"/>
  <c r="O114" i="11"/>
  <c r="O115" i="11"/>
  <c r="O116" i="11"/>
  <c r="O117" i="11"/>
  <c r="O118" i="11"/>
  <c r="O119" i="11"/>
  <c r="O120" i="11"/>
  <c r="O121" i="11"/>
  <c r="O122" i="11"/>
  <c r="O123" i="11"/>
  <c r="O124" i="11"/>
  <c r="O125" i="11"/>
  <c r="O126" i="11"/>
  <c r="O127" i="11"/>
  <c r="O128" i="11"/>
  <c r="O129" i="11"/>
  <c r="O130" i="11"/>
  <c r="O131" i="11"/>
  <c r="O132" i="11"/>
  <c r="O133" i="11"/>
  <c r="O134" i="11"/>
  <c r="O135" i="11"/>
  <c r="O136" i="11"/>
  <c r="O137" i="11"/>
  <c r="O138" i="11"/>
  <c r="O139" i="11"/>
  <c r="O140" i="11"/>
  <c r="O141" i="11"/>
  <c r="O142" i="11"/>
  <c r="O143" i="11"/>
  <c r="O144" i="11"/>
  <c r="O145" i="11"/>
  <c r="O146" i="11"/>
  <c r="O147" i="11"/>
  <c r="O148" i="11"/>
  <c r="O149" i="11"/>
  <c r="O150" i="11"/>
  <c r="O151" i="11"/>
  <c r="O152" i="11"/>
  <c r="O153" i="11"/>
  <c r="O154" i="11"/>
  <c r="P34" i="11"/>
  <c r="P35" i="11"/>
  <c r="P36" i="11"/>
  <c r="P37" i="11"/>
  <c r="P38" i="11"/>
  <c r="P39" i="11"/>
  <c r="P40" i="11"/>
  <c r="P41" i="11"/>
  <c r="P42" i="11"/>
  <c r="P43" i="11"/>
  <c r="P44" i="11"/>
  <c r="P45" i="11"/>
  <c r="P46" i="11"/>
  <c r="P47" i="11"/>
  <c r="P48" i="11"/>
  <c r="P49" i="11"/>
  <c r="P50" i="11"/>
  <c r="P51" i="11"/>
  <c r="P52" i="11"/>
  <c r="P53" i="11"/>
  <c r="P54" i="11"/>
  <c r="P55" i="11"/>
  <c r="P56" i="11"/>
  <c r="P57" i="11"/>
  <c r="P58" i="11"/>
  <c r="P59" i="11"/>
  <c r="P60" i="11"/>
  <c r="P61" i="11"/>
  <c r="P62" i="11"/>
  <c r="P63" i="11"/>
  <c r="P64" i="11"/>
  <c r="P65" i="11"/>
  <c r="P66" i="11"/>
  <c r="P67" i="11"/>
  <c r="P68" i="11"/>
  <c r="P69" i="11"/>
  <c r="P70" i="11"/>
  <c r="P71" i="11"/>
  <c r="P72" i="11"/>
  <c r="P73" i="11"/>
  <c r="P74" i="11"/>
  <c r="P75" i="11"/>
  <c r="P76" i="11"/>
  <c r="P77" i="11"/>
  <c r="P78" i="11"/>
  <c r="P79" i="11"/>
  <c r="P80" i="11"/>
  <c r="P81" i="11"/>
  <c r="P82" i="11"/>
  <c r="P83" i="11"/>
  <c r="P84" i="11"/>
  <c r="P85" i="11"/>
  <c r="P86" i="11"/>
  <c r="P87" i="11"/>
  <c r="P88" i="11"/>
  <c r="P89" i="11"/>
  <c r="P90" i="11"/>
  <c r="P91" i="11"/>
  <c r="P92" i="11"/>
  <c r="P93" i="11"/>
  <c r="P94" i="11"/>
  <c r="P95" i="11"/>
  <c r="P96" i="11"/>
  <c r="P97" i="11"/>
  <c r="P98" i="11"/>
  <c r="P99" i="11"/>
  <c r="P100" i="11"/>
  <c r="P101" i="11"/>
  <c r="P102" i="11"/>
  <c r="P103" i="11"/>
  <c r="P104" i="11"/>
  <c r="P105" i="11"/>
  <c r="P106" i="11"/>
  <c r="P107" i="11"/>
  <c r="P108" i="11"/>
  <c r="P109" i="11"/>
  <c r="P110" i="11"/>
  <c r="P111" i="11"/>
  <c r="P112" i="11"/>
  <c r="P113" i="11"/>
  <c r="P114" i="11"/>
  <c r="P115" i="11"/>
  <c r="P116" i="11"/>
  <c r="P117" i="11"/>
  <c r="P118" i="11"/>
  <c r="P119" i="11"/>
  <c r="P120" i="11"/>
  <c r="P121" i="11"/>
  <c r="P122" i="11"/>
  <c r="P123" i="11"/>
  <c r="P124" i="11"/>
  <c r="P125" i="11"/>
  <c r="P126" i="11"/>
  <c r="P127" i="11"/>
  <c r="P128" i="11"/>
  <c r="P129" i="11"/>
  <c r="P130" i="11"/>
  <c r="P131" i="11"/>
  <c r="P132" i="11"/>
  <c r="P133" i="11"/>
  <c r="P134" i="11"/>
  <c r="P135" i="11"/>
  <c r="P136" i="11"/>
  <c r="P137" i="11"/>
  <c r="P138" i="11"/>
  <c r="P139" i="11"/>
  <c r="P140" i="11"/>
  <c r="P141" i="11"/>
  <c r="P142" i="11"/>
  <c r="P143" i="11"/>
  <c r="P144" i="11"/>
  <c r="P145" i="11"/>
  <c r="P146" i="11"/>
  <c r="P147" i="11"/>
  <c r="P148" i="11"/>
  <c r="P149" i="11"/>
  <c r="P150" i="11"/>
  <c r="P151" i="11"/>
  <c r="P152" i="11"/>
  <c r="P153" i="11"/>
  <c r="P154" i="11"/>
  <c r="P10" i="11"/>
  <c r="P11" i="11"/>
  <c r="P12" i="11"/>
  <c r="P13" i="11"/>
  <c r="P14" i="11"/>
  <c r="P15" i="11"/>
  <c r="P16" i="11"/>
  <c r="P17" i="11"/>
  <c r="P18" i="11"/>
  <c r="P19" i="11"/>
  <c r="P20" i="11"/>
  <c r="P21" i="11"/>
  <c r="P22" i="11"/>
  <c r="P23" i="11"/>
  <c r="P24" i="11"/>
  <c r="P25" i="11"/>
  <c r="P26" i="11"/>
  <c r="P27" i="11"/>
  <c r="P28" i="11"/>
  <c r="P29" i="11"/>
  <c r="P30" i="11"/>
  <c r="P31" i="11"/>
  <c r="P32" i="11"/>
  <c r="P33" i="11"/>
  <c r="O8" i="11"/>
  <c r="O9" i="11"/>
  <c r="O7" i="11"/>
  <c r="P7" i="11"/>
  <c r="P8" i="11"/>
  <c r="P9" i="11"/>
  <c r="N6" i="11" l="1"/>
  <c r="N154" i="11"/>
  <c r="N153" i="11"/>
  <c r="N152" i="11"/>
  <c r="N151" i="11"/>
  <c r="N150" i="11"/>
  <c r="N149" i="11"/>
  <c r="N148" i="11"/>
  <c r="N147" i="11"/>
  <c r="N146" i="11"/>
  <c r="N145" i="11"/>
  <c r="N144" i="11"/>
  <c r="N143" i="11"/>
  <c r="N142" i="11"/>
  <c r="N141" i="11"/>
  <c r="N140" i="11"/>
  <c r="N139" i="11"/>
  <c r="N138" i="11"/>
  <c r="N137" i="11"/>
  <c r="N136" i="11"/>
  <c r="N135" i="11"/>
  <c r="N134" i="11"/>
  <c r="N133" i="11"/>
  <c r="N132" i="11"/>
  <c r="N131" i="11"/>
  <c r="N130" i="11"/>
  <c r="N129" i="11"/>
  <c r="N128" i="11"/>
  <c r="N127" i="11"/>
  <c r="N126" i="11"/>
  <c r="N125" i="11"/>
  <c r="N124" i="11"/>
  <c r="N123" i="11"/>
  <c r="N122" i="11"/>
  <c r="N121" i="11"/>
  <c r="N120" i="11"/>
  <c r="N119" i="11"/>
  <c r="N118" i="11"/>
  <c r="N117" i="11"/>
  <c r="N116" i="11"/>
  <c r="N115" i="11"/>
  <c r="N114" i="11"/>
  <c r="N113" i="11"/>
  <c r="N112" i="11"/>
  <c r="N111" i="11"/>
  <c r="N110" i="11"/>
  <c r="N109" i="11"/>
  <c r="N108" i="11"/>
  <c r="N107" i="11"/>
  <c r="N106" i="11"/>
  <c r="N105" i="11"/>
  <c r="N104" i="11"/>
  <c r="N103" i="11"/>
  <c r="N102" i="11"/>
  <c r="N101" i="11"/>
  <c r="N100" i="11"/>
  <c r="N99" i="11"/>
  <c r="N98" i="11"/>
  <c r="N97" i="11"/>
  <c r="N96" i="11"/>
  <c r="N95" i="11"/>
  <c r="N94" i="11"/>
  <c r="N93" i="11"/>
  <c r="N92" i="11"/>
  <c r="N91" i="11"/>
  <c r="N90" i="11"/>
  <c r="N89" i="11"/>
  <c r="N88" i="11"/>
  <c r="N87" i="11"/>
  <c r="N86" i="11"/>
  <c r="N85" i="11"/>
  <c r="N84" i="11"/>
  <c r="N83" i="11"/>
  <c r="N82" i="11"/>
  <c r="N81" i="11"/>
  <c r="N80" i="11"/>
  <c r="N79" i="11"/>
  <c r="N78" i="11"/>
  <c r="N77" i="11"/>
  <c r="N76" i="11"/>
  <c r="N75" i="11"/>
  <c r="N74" i="11"/>
  <c r="N73" i="11"/>
  <c r="N72" i="11"/>
  <c r="N71" i="11"/>
  <c r="N70" i="11"/>
  <c r="N69" i="11"/>
  <c r="N68" i="11"/>
  <c r="N67" i="11"/>
  <c r="N65" i="11"/>
  <c r="N59" i="11"/>
  <c r="N55" i="11"/>
  <c r="N53" i="11"/>
  <c r="N49" i="11"/>
  <c r="N45" i="11"/>
  <c r="N39" i="11"/>
  <c r="N35" i="11"/>
  <c r="N33" i="11"/>
  <c r="N31" i="11"/>
  <c r="N29" i="11"/>
  <c r="N19" i="11"/>
  <c r="N15" i="11"/>
  <c r="N64" i="11"/>
  <c r="N62" i="11"/>
  <c r="N60" i="11"/>
  <c r="N56" i="11"/>
  <c r="N54" i="11"/>
  <c r="N52" i="11"/>
  <c r="N48" i="11"/>
  <c r="N44" i="11"/>
  <c r="N42" i="11"/>
  <c r="N38" i="11"/>
  <c r="N36" i="11"/>
  <c r="N32" i="11"/>
  <c r="N18" i="11"/>
  <c r="N51" i="11"/>
  <c r="N50" i="11"/>
  <c r="N17" i="11"/>
  <c r="N63" i="11"/>
  <c r="N27" i="11"/>
  <c r="N41" i="11"/>
  <c r="N40" i="11"/>
  <c r="N13" i="11"/>
  <c r="N46" i="11"/>
  <c r="N8" i="11"/>
  <c r="N28" i="11"/>
  <c r="N16" i="11"/>
  <c r="N24" i="11"/>
  <c r="N57" i="11"/>
  <c r="N43" i="11"/>
  <c r="N21" i="11"/>
  <c r="N22" i="11"/>
  <c r="N20" i="11"/>
  <c r="N34" i="11"/>
  <c r="N26" i="11"/>
  <c r="N9" i="11"/>
  <c r="N37" i="11"/>
  <c r="N12" i="11"/>
  <c r="N23" i="11"/>
  <c r="N11" i="11"/>
  <c r="N30" i="11"/>
  <c r="N14" i="11"/>
  <c r="N66" i="11"/>
  <c r="N61" i="11"/>
  <c r="N58" i="11"/>
  <c r="N47" i="11"/>
  <c r="N25" i="11"/>
  <c r="N10" i="11"/>
  <c r="N7" i="11"/>
  <c r="F7" i="8" l="1"/>
  <c r="N7" i="8" s="1"/>
  <c r="D6" i="11"/>
  <c r="D7" i="11"/>
  <c r="D8" i="11"/>
  <c r="D9" i="11"/>
  <c r="D10" i="11"/>
  <c r="D11" i="11"/>
  <c r="D12" i="11"/>
  <c r="D13" i="11"/>
  <c r="R7" i="8" l="1"/>
  <c r="U7" i="8"/>
  <c r="T7" i="8"/>
  <c r="S7" i="8" l="1"/>
  <c r="Q7" i="8"/>
  <c r="P7" i="8"/>
  <c r="O7" i="8"/>
  <c r="N7" i="1" l="1"/>
  <c r="O7" i="1" s="1"/>
  <c r="N8" i="1"/>
  <c r="O8" i="1" s="1"/>
  <c r="N9" i="1"/>
  <c r="O9" i="1" s="1"/>
  <c r="N10" i="1"/>
  <c r="O10" i="1" s="1"/>
</calcChain>
</file>

<file path=xl/connections.xml><?xml version="1.0" encoding="utf-8"?>
<connections xmlns="http://schemas.openxmlformats.org/spreadsheetml/2006/main">
  <connection id="1" keepAlive="1" name="ThisWorkbookDataModel" description="Datamodel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Högskolepoängsspårare.xlsm!ProgramKurser" type="102" refreshedVersion="5" minRefreshableVersion="5">
    <extLst>
      <ext xmlns:x15="http://schemas.microsoft.com/office/spreadsheetml/2010/11/main" uri="{DE250136-89BD-433C-8126-D09CA5730AF9}">
        <x15:connection id="ProgramKurser-63389b59-6696-438a-9aed-29a9ba87c27f">
          <x15:rangePr sourceName="_xlcn.WorksheetConnection_Högskolepoängsspårare.xlsmProgramKurser1"/>
        </x15:connection>
      </ext>
    </extLst>
  </connection>
  <connection id="3" name="WorksheetConnection_Högskolepoängsspårare.xlsm!Programplan" type="102" refreshedVersion="5" minRefreshableVersion="5">
    <extLst>
      <ext xmlns:x15="http://schemas.microsoft.com/office/spreadsheetml/2010/11/main" uri="{DE250136-89BD-433C-8126-D09CA5730AF9}">
        <x15:connection id="Programplan-da6b1a88-ccff-47a9-9a3d-f262ce90417b">
          <x15:rangePr sourceName="_xlcn.WorksheetConnection_Högskolepoängsspårare.xlsmProgramplan1"/>
        </x15:connection>
      </ext>
    </extLst>
  </connection>
</connections>
</file>

<file path=xl/sharedStrings.xml><?xml version="1.0" encoding="utf-8"?>
<sst xmlns="http://schemas.openxmlformats.org/spreadsheetml/2006/main" count="745" uniqueCount="338">
  <si>
    <t xml:space="preserve"> </t>
  </si>
  <si>
    <t>Planeringsblad för högskolepoäng</t>
  </si>
  <si>
    <t>Huvudämne</t>
  </si>
  <si>
    <t>KURSPOÄNGSKRAV</t>
  </si>
  <si>
    <t>SUMMA</t>
  </si>
  <si>
    <t>TAGNA</t>
  </si>
  <si>
    <t>KVAR ATT TA</t>
  </si>
  <si>
    <t>KURSPOÄNG</t>
  </si>
  <si>
    <t>TERMIN</t>
  </si>
  <si>
    <t>ÖVERGRIPANDE FRAMSTEG</t>
  </si>
  <si>
    <t>Programkurser</t>
  </si>
  <si>
    <t>KURSNAMN</t>
  </si>
  <si>
    <t>KURSKOD</t>
  </si>
  <si>
    <t>NIVÅ</t>
  </si>
  <si>
    <t>Antagningsår</t>
  </si>
  <si>
    <t>Program</t>
  </si>
  <si>
    <t>Lägg till program</t>
  </si>
  <si>
    <t>PROGRAMNAMN</t>
  </si>
  <si>
    <t>HÖGSKOLEPOÄNG</t>
  </si>
  <si>
    <t>ÅR</t>
  </si>
  <si>
    <t>Civilingenjör i Industriell Ekonomi</t>
  </si>
  <si>
    <t>Civilingenjör i Maskinteknik</t>
  </si>
  <si>
    <t>NYTT PROGRAM</t>
  </si>
  <si>
    <t>INRIKTNING</t>
  </si>
  <si>
    <t>PROGRAM</t>
  </si>
  <si>
    <t>Datateknik</t>
  </si>
  <si>
    <t>Mitt informationsblad</t>
  </si>
  <si>
    <t xml:space="preserve">    NY INRIKTNING</t>
  </si>
  <si>
    <t xml:space="preserve">    Välj program: </t>
  </si>
  <si>
    <t>Högskoleingenjör Datateknik</t>
  </si>
  <si>
    <t>Högskoleingenjör Maskinteknik</t>
  </si>
  <si>
    <t>Logistik</t>
  </si>
  <si>
    <t>PERIOD</t>
  </si>
  <si>
    <t>Systemteknik</t>
  </si>
  <si>
    <t>Maskinteknik</t>
  </si>
  <si>
    <t>Energiteknik</t>
  </si>
  <si>
    <t>Bioteknik</t>
  </si>
  <si>
    <t>SearchRank</t>
  </si>
  <si>
    <t>Search</t>
  </si>
  <si>
    <t>NAME</t>
  </si>
  <si>
    <t xml:space="preserve">Sök efter kurs inom programmet  </t>
  </si>
  <si>
    <t xml:space="preserve">Sökresultat  </t>
  </si>
  <si>
    <t>Obligatorisk</t>
  </si>
  <si>
    <t>Nivåer</t>
  </si>
  <si>
    <t>Terminer</t>
  </si>
  <si>
    <t>Perioder</t>
  </si>
  <si>
    <t>1 och 2</t>
  </si>
  <si>
    <t>År</t>
  </si>
  <si>
    <t>ÅRSKURS</t>
  </si>
  <si>
    <t>POÄNG</t>
  </si>
  <si>
    <t>BLOCK</t>
  </si>
  <si>
    <t>Frivillig</t>
  </si>
  <si>
    <t>Valbar</t>
  </si>
  <si>
    <t>Reglerteknik</t>
  </si>
  <si>
    <t>Miljöteknik</t>
  </si>
  <si>
    <t>BETYG</t>
  </si>
  <si>
    <t>U</t>
  </si>
  <si>
    <t>G</t>
  </si>
  <si>
    <t>Grundläggande poäng</t>
  </si>
  <si>
    <t>Poäng i din studieplan</t>
  </si>
  <si>
    <t>Totalt antal avslutade poäng:</t>
  </si>
  <si>
    <t>Tagna högskolepoäng</t>
  </si>
  <si>
    <t>Avancerade poäng</t>
  </si>
  <si>
    <t>Termin</t>
  </si>
  <si>
    <t>Poängfördelning i din studieplan</t>
  </si>
  <si>
    <t>Varav avslutade</t>
  </si>
  <si>
    <t>Antal av KURSNAMN</t>
  </si>
  <si>
    <t>Terminssammanfattning</t>
  </si>
  <si>
    <t>Antal kurser</t>
  </si>
  <si>
    <t>Högskolepoäng</t>
  </si>
  <si>
    <t>Summa av POÄNG</t>
  </si>
  <si>
    <t>Finans</t>
  </si>
  <si>
    <t>Finansiell matematik</t>
  </si>
  <si>
    <t>Teknisk mekanik</t>
  </si>
  <si>
    <t>Energisystem och miljöteknik</t>
  </si>
  <si>
    <t>Flygteknik</t>
  </si>
  <si>
    <t>Produktutveckling</t>
  </si>
  <si>
    <t>Industriell produktion (Industriell ekonomi)</t>
  </si>
  <si>
    <t>Industriell produktion (Maskinteknik)</t>
  </si>
  <si>
    <t>Civilingenjör i Teknisk Fysik och elektroteknik</t>
  </si>
  <si>
    <t>Kommunikation</t>
  </si>
  <si>
    <t>Mekatronik</t>
  </si>
  <si>
    <t>Signal- och bildbehandling</t>
  </si>
  <si>
    <t>Styr- och informationssystem</t>
  </si>
  <si>
    <t>Masterprofiler</t>
  </si>
  <si>
    <t>System-on-chip</t>
  </si>
  <si>
    <t>Teknisk matematik</t>
  </si>
  <si>
    <t>Medicinsk teknik</t>
  </si>
  <si>
    <t>Civilingenjör i Design och produktutveckling</t>
  </si>
  <si>
    <t>Produktutveckling och teknisk design</t>
  </si>
  <si>
    <t>Konstruktion</t>
  </si>
  <si>
    <t>Management</t>
  </si>
  <si>
    <t>Energi</t>
  </si>
  <si>
    <t xml:space="preserve">Civilingenjör i Energi - miljö - management </t>
  </si>
  <si>
    <t>Kommentarer</t>
  </si>
  <si>
    <t>Dubbelklicka celler i kolumnen nedan för att inkludera  i eller ta bort från din studieplan</t>
  </si>
  <si>
    <t>Profil 1</t>
  </si>
  <si>
    <t>Profil 2</t>
  </si>
  <si>
    <t>Block _&gt;</t>
  </si>
  <si>
    <t>Period 2</t>
  </si>
  <si>
    <r>
      <t xml:space="preserve">Fördelning av kurser och poäng över terminerna. Datakälla är </t>
    </r>
    <r>
      <rPr>
        <i/>
        <sz val="10"/>
        <color theme="1" tint="0.24994659260841701"/>
        <rFont val="Bookman Old Style"/>
        <family val="1"/>
        <scheme val="major"/>
      </rPr>
      <t>Ditt informationsblad.</t>
    </r>
  </si>
  <si>
    <r>
      <t xml:space="preserve">Den här tabellen är datakällan för pivotdiagram och grafik på arbetsbladet </t>
    </r>
    <r>
      <rPr>
        <i/>
        <sz val="10"/>
        <color theme="0"/>
        <rFont val="Century"/>
        <family val="1"/>
      </rPr>
      <t>Sammanställning.</t>
    </r>
  </si>
  <si>
    <t>Lägg till profiler</t>
  </si>
  <si>
    <t>Profiler</t>
  </si>
  <si>
    <t>Nedan visas de inriktningar som i finns inlagda för respektive program. Använd verktyget till vänster för att lägga till nya inriktningar för ett program.</t>
  </si>
  <si>
    <r>
      <t xml:space="preserve">Kommentarsfältet uppmärksammar dig på om några kurser ligger i samma block och om du inte uppfyller CSNs krav på heltidsstudier. 
Det är dock möjligt att kurser byter block eller att du väljer att läsa dem en annan termin, så kontrollera att informationen i </t>
    </r>
    <r>
      <rPr>
        <i/>
        <sz val="10"/>
        <color theme="1" tint="0.24994659260841701"/>
        <rFont val="Bookman Old Style"/>
        <family val="1"/>
        <scheme val="major"/>
      </rPr>
      <t>Ditt informationsblad</t>
    </r>
    <r>
      <rPr>
        <sz val="10"/>
        <color theme="1" tint="0.24994659260841701"/>
        <rFont val="Bookman Old Style"/>
        <family val="1"/>
        <scheme val="major"/>
      </rPr>
      <t xml:space="preserve"> verkligen stämmer.</t>
    </r>
  </si>
  <si>
    <t>Kurser i din studieplan</t>
  </si>
  <si>
    <t>INGÅR I KURSPLAN</t>
  </si>
  <si>
    <t>code</t>
  </si>
  <si>
    <t>tech</t>
  </si>
  <si>
    <t>level</t>
  </si>
  <si>
    <t>year</t>
  </si>
  <si>
    <t>credits</t>
  </si>
  <si>
    <t>semester</t>
  </si>
  <si>
    <t>part</t>
  </si>
  <si>
    <t>Blcok</t>
  </si>
  <si>
    <t>Ekonomiska informationssystem</t>
  </si>
  <si>
    <t>Industriell marknadsföring</t>
  </si>
  <si>
    <t>Kvalitets- och verksamhetsutveckling</t>
  </si>
  <si>
    <t>Produktionsledning</t>
  </si>
  <si>
    <t>Projekt, innovation och entreprenörskap</t>
  </si>
  <si>
    <t>Strategi och styrning</t>
  </si>
  <si>
    <t>G1</t>
  </si>
  <si>
    <t>G2</t>
  </si>
  <si>
    <t>Kursnamn</t>
  </si>
  <si>
    <t>Nivå</t>
  </si>
  <si>
    <t>Block</t>
  </si>
  <si>
    <t>Poäng</t>
  </si>
  <si>
    <t>Typ</t>
  </si>
  <si>
    <t>Kurskoder/Terminskoder</t>
  </si>
  <si>
    <t>A</t>
  </si>
  <si>
    <t>Lägg till kurser till programmet</t>
  </si>
  <si>
    <t>1,2</t>
  </si>
  <si>
    <t>3*</t>
  </si>
  <si>
    <t>2*</t>
  </si>
  <si>
    <t>-*</t>
  </si>
  <si>
    <t>1*</t>
  </si>
  <si>
    <t>TDDC30</t>
  </si>
  <si>
    <t>Programmering i Java, datastrukturer och algoritmer</t>
  </si>
  <si>
    <t>TATA52</t>
  </si>
  <si>
    <t>Diskret matematik</t>
  </si>
  <si>
    <t>TSEA51</t>
  </si>
  <si>
    <t>Digitalteknik</t>
  </si>
  <si>
    <t>TDDD71</t>
  </si>
  <si>
    <t>Datastrukturer och algoritmer</t>
  </si>
  <si>
    <t>TDTS10</t>
  </si>
  <si>
    <t>Datorarkitektur</t>
  </si>
  <si>
    <t>TDDD83</t>
  </si>
  <si>
    <t>Kandidatprojekt datateknik</t>
  </si>
  <si>
    <t>TDDD81</t>
  </si>
  <si>
    <t>Databasteknik för kandidatprojekt</t>
  </si>
  <si>
    <t>TSTE86</t>
  </si>
  <si>
    <t>Digitala integrerade kretsar</t>
  </si>
  <si>
    <t>TSKS11</t>
  </si>
  <si>
    <t>Nätverk: modeller, algoritmer och tillämpningar</t>
  </si>
  <si>
    <t>TSIT03</t>
  </si>
  <si>
    <t>Kryptoteknik</t>
  </si>
  <si>
    <t>TATM79</t>
  </si>
  <si>
    <t>Matematisk grundkurs</t>
  </si>
  <si>
    <t>TATA31</t>
  </si>
  <si>
    <t>Linjär algebra</t>
  </si>
  <si>
    <t>TEIE17</t>
  </si>
  <si>
    <t>Industriell ekonomi</t>
  </si>
  <si>
    <t>TATA41</t>
  </si>
  <si>
    <t>Envariabelanalys 1</t>
  </si>
  <si>
    <t>TATA42</t>
  </si>
  <si>
    <t>Envariabelanalys 2</t>
  </si>
  <si>
    <t>TDDD11</t>
  </si>
  <si>
    <t>Programmering, grundkurs</t>
  </si>
  <si>
    <t>TEIO61</t>
  </si>
  <si>
    <t>Industriell organisation, grundkurs</t>
  </si>
  <si>
    <t>TATA43</t>
  </si>
  <si>
    <t>Flervariabelanalys</t>
  </si>
  <si>
    <t>TSKS08</t>
  </si>
  <si>
    <t>Introduktionskurs i Matlab</t>
  </si>
  <si>
    <t>TAOP14</t>
  </si>
  <si>
    <t>Optimeringslära, grundkurs</t>
  </si>
  <si>
    <t>TMME27</t>
  </si>
  <si>
    <t>Mekanik I</t>
  </si>
  <si>
    <t>TSKS09</t>
  </si>
  <si>
    <t>Linjära system</t>
  </si>
  <si>
    <t>TAMS79</t>
  </si>
  <si>
    <t>Matematisk statistik, grundkurs</t>
  </si>
  <si>
    <t>TFYA14</t>
  </si>
  <si>
    <t>Fysik</t>
  </si>
  <si>
    <t>TPPE98</t>
  </si>
  <si>
    <t>Ekonomisk analys: Ekonomisk teori</t>
  </si>
  <si>
    <t>TAMS65</t>
  </si>
  <si>
    <t>Matematisk statistik I, fortsättningskurs</t>
  </si>
  <si>
    <t>TPPE24</t>
  </si>
  <si>
    <t>Ekonomisk analys: Besluts- och finansiell metodik</t>
  </si>
  <si>
    <t>TEIM02</t>
  </si>
  <si>
    <t>Grundläggande marknadsföring</t>
  </si>
  <si>
    <t>TSRT19</t>
  </si>
  <si>
    <t>TPPE13</t>
  </si>
  <si>
    <t>Produktionsekonomi</t>
  </si>
  <si>
    <t>TEIO04</t>
  </si>
  <si>
    <t>Projektledning</t>
  </si>
  <si>
    <t>0,1</t>
  </si>
  <si>
    <t>*</t>
  </si>
  <si>
    <t>a</t>
  </si>
  <si>
    <r>
      <t xml:space="preserve">Tillvägagångssätt:
</t>
    </r>
    <r>
      <rPr>
        <b/>
        <sz val="10"/>
        <color theme="1" tint="0.24994659260841701"/>
        <rFont val="Bookman Old Style"/>
        <family val="1"/>
        <scheme val="major"/>
      </rPr>
      <t>1.</t>
    </r>
    <r>
      <rPr>
        <sz val="10"/>
        <color theme="1" tint="0.24994659260841701"/>
        <rFont val="Bookman Old Style"/>
        <family val="1"/>
        <scheme val="major"/>
      </rPr>
      <t xml:space="preserve"> Kopiera kursinfo  från studentportalen (Markera alla kurser och kopiera).
</t>
    </r>
    <r>
      <rPr>
        <b/>
        <sz val="10"/>
        <color theme="1" tint="0.24994659260841701"/>
        <rFont val="Bookman Old Style"/>
        <family val="1"/>
        <scheme val="major"/>
      </rPr>
      <t>2.</t>
    </r>
    <r>
      <rPr>
        <sz val="10"/>
        <color theme="1" tint="0.24994659260841701"/>
        <rFont val="Bookman Old Style"/>
        <family val="1"/>
        <scheme val="major"/>
      </rPr>
      <t xml:space="preserve"> Klistra in rätt cell (Se kommentar) och flytta de terminskoder som ligger i fel kolumn. (Vanligtvis är det bara en terminkod som behöver korrigeras: den första. Se till att denna hamnar rätt)
</t>
    </r>
    <r>
      <rPr>
        <b/>
        <sz val="10"/>
        <color theme="1" tint="0.24994659260841701"/>
        <rFont val="Bookman Old Style"/>
        <family val="1"/>
        <scheme val="major"/>
      </rPr>
      <t>3.</t>
    </r>
    <r>
      <rPr>
        <sz val="10"/>
        <color theme="1" tint="0.24994659260841701"/>
        <rFont val="Bookman Old Style"/>
        <family val="1"/>
        <scheme val="major"/>
      </rPr>
      <t xml:space="preserve"> Välj inriktning och välj ovanför knappen Importera det alternativ som passar.
</t>
    </r>
    <r>
      <rPr>
        <b/>
        <sz val="10"/>
        <color theme="1" tint="0.24994659260841701"/>
        <rFont val="Bookman Old Style"/>
        <family val="1"/>
        <scheme val="major"/>
      </rPr>
      <t>4.</t>
    </r>
    <r>
      <rPr>
        <sz val="10"/>
        <color theme="1" tint="0.24994659260841701"/>
        <rFont val="Bookman Old Style"/>
        <family val="1"/>
        <scheme val="major"/>
      </rPr>
      <t xml:space="preserve"> Tryck på importera. Efter att kurser importerats, rensa kursinfon du klistrade in genom att ta bort de berörda raderna.</t>
    </r>
  </si>
  <si>
    <t>TSDT14</t>
  </si>
  <si>
    <t>Signalteori</t>
  </si>
  <si>
    <t>TSKS01</t>
  </si>
  <si>
    <t>Digital kommunikation</t>
  </si>
  <si>
    <t>TSRT78</t>
  </si>
  <si>
    <t>Digital signalbehandling</t>
  </si>
  <si>
    <t>TSBK08</t>
  </si>
  <si>
    <t>Datakompression</t>
  </si>
  <si>
    <t>TSKS03</t>
  </si>
  <si>
    <t>Trådlösa system</t>
  </si>
  <si>
    <t>TSKS04</t>
  </si>
  <si>
    <t>Digital kommunikation fk</t>
  </si>
  <si>
    <t>TSBK02</t>
  </si>
  <si>
    <t>Bild- och ljudkodning</t>
  </si>
  <si>
    <t>TSDT74</t>
  </si>
  <si>
    <t>Radiokommunikation</t>
  </si>
  <si>
    <t>TSTE06</t>
  </si>
  <si>
    <t>Digitala filter</t>
  </si>
  <si>
    <t>TSDT16</t>
  </si>
  <si>
    <t>Felrättande koder</t>
  </si>
  <si>
    <t>TSIN01</t>
  </si>
  <si>
    <t>Informationsnät</t>
  </si>
  <si>
    <t>Kända fel</t>
  </si>
  <si>
    <r>
      <t xml:space="preserve">Om en kurs tillhör två inriktningar och ges i samma termin för båda inriktingar så kommer den bara visas en gång i arbetsbladet </t>
    </r>
    <r>
      <rPr>
        <i/>
        <sz val="10"/>
        <color theme="1" tint="0.24994659260841701"/>
        <rFont val="Bookman Old Style"/>
        <family val="1"/>
        <scheme val="major"/>
      </rPr>
      <t>Programkurser.</t>
    </r>
    <r>
      <rPr>
        <sz val="10"/>
        <color theme="1" tint="0.24994659260841701"/>
        <rFont val="Bookman Old Style"/>
        <family val="1"/>
        <scheme val="major"/>
      </rPr>
      <t xml:space="preserve"> Här behöver du eventuellt  göra egna modifieringar till data så att den passar din studieplan.</t>
    </r>
  </si>
  <si>
    <t>TEIE06</t>
  </si>
  <si>
    <t>Integrerad företagsplanering</t>
  </si>
  <si>
    <t>TSTE08</t>
  </si>
  <si>
    <t>Analoga och tidsdiskreta integrerade kretsar</t>
  </si>
  <si>
    <t>TSTE17</t>
  </si>
  <si>
    <t>Systemkonstruktion CDIO</t>
  </si>
  <si>
    <r>
      <t xml:space="preserve">Kurser kan också läggas till direkt från arbetsbladet </t>
    </r>
    <r>
      <rPr>
        <i/>
        <sz val="10"/>
        <color theme="1" tint="0.24994659260841701"/>
        <rFont val="Century"/>
        <family val="1"/>
      </rPr>
      <t>Programkurser.</t>
    </r>
  </si>
  <si>
    <t xml:space="preserve"> Ingen</t>
  </si>
  <si>
    <t>TSTE19</t>
  </si>
  <si>
    <t>Effektelektronik</t>
  </si>
  <si>
    <t>Oviktat betygsnitt:</t>
  </si>
  <si>
    <r>
      <t xml:space="preserve">Avsluta kurser genom att lägga till ett betyg på 
</t>
    </r>
    <r>
      <rPr>
        <i/>
        <sz val="10"/>
        <color theme="1" tint="0.24994659260841701"/>
        <rFont val="Bookman Old Style"/>
        <family val="1"/>
        <scheme val="major"/>
      </rPr>
      <t>Ditt informationsblad</t>
    </r>
  </si>
  <si>
    <t>Automatiserad dataimport</t>
  </si>
  <si>
    <t>Om arbetsboken</t>
  </si>
  <si>
    <t>Program:</t>
  </si>
  <si>
    <t>Inriktning:</t>
  </si>
  <si>
    <t>Examenskrav</t>
  </si>
  <si>
    <t>Data och beräkningar</t>
  </si>
  <si>
    <t xml:space="preserve">Sorterade </t>
  </si>
  <si>
    <t>Inriktningar</t>
  </si>
  <si>
    <t>Kopplar ihop inriktningar med utbildningar</t>
  </si>
  <si>
    <t>Pivottabell för att plocka fram data till sammanställning</t>
  </si>
  <si>
    <t>Konstanter</t>
  </si>
  <si>
    <t>Möjliga betyg</t>
  </si>
  <si>
    <t xml:space="preserve"> Obligatorisk</t>
  </si>
  <si>
    <t xml:space="preserve"> Valbar</t>
  </si>
  <si>
    <t xml:space="preserve"> Frivillig</t>
  </si>
  <si>
    <t>Konstant</t>
  </si>
  <si>
    <t>eko</t>
  </si>
  <si>
    <r>
      <t>När du lägger till ett helt nytt program: Glöm inte att lägga till examenskrav i arbetsbladet e</t>
    </r>
    <r>
      <rPr>
        <i/>
        <sz val="10"/>
        <color theme="1" tint="0.24994659260841701"/>
        <rFont val="Bookman Old Style"/>
        <family val="1"/>
        <scheme val="major"/>
      </rPr>
      <t xml:space="preserve">xamenskrav. </t>
    </r>
    <r>
      <rPr>
        <sz val="10"/>
        <color theme="1" tint="0.24994659260841701"/>
        <rFont val="Bookman Old Style"/>
        <family val="1"/>
        <scheme val="major"/>
      </rPr>
      <t>Utan dessa kommer</t>
    </r>
    <r>
      <rPr>
        <i/>
        <sz val="10"/>
        <color theme="1" tint="0.24994659260841701"/>
        <rFont val="Bookman Old Style"/>
        <family val="1"/>
        <scheme val="major"/>
      </rPr>
      <t xml:space="preserve"> </t>
    </r>
    <r>
      <rPr>
        <sz val="10"/>
        <color theme="1" tint="0.24994659260841701"/>
        <rFont val="Bookman Old Style"/>
        <family val="1"/>
        <scheme val="major"/>
      </rPr>
      <t>Sammanställningen</t>
    </r>
    <r>
      <rPr>
        <i/>
        <sz val="10"/>
        <color theme="1" tint="0.24994659260841701"/>
        <rFont val="Bookman Old Style"/>
        <family val="1"/>
        <scheme val="major"/>
      </rPr>
      <t xml:space="preserve"> </t>
    </r>
    <r>
      <rPr>
        <sz val="10"/>
        <color theme="1" tint="0.24994659260841701"/>
        <rFont val="Bookman Old Style"/>
        <family val="1"/>
        <scheme val="major"/>
      </rPr>
      <t>eventuellt att visa felaktig information.</t>
    </r>
  </si>
  <si>
    <t>Antal poäng</t>
  </si>
  <si>
    <t>Godtyckliga</t>
  </si>
  <si>
    <t>Avancerade</t>
  </si>
  <si>
    <t>Inom profil 1</t>
  </si>
  <si>
    <t>Inom profil 2</t>
  </si>
  <si>
    <r>
      <t xml:space="preserve">Importera kurser genom att kopiera in kursinformationen från studiehandboken i området till vänster (alternativt hämta data externt mha excels egna funktioner). Se till att Terminskoder och kurskoder ligger i samma kolumn. 
För att lägga till enstaka kurser: använd istället verktyget längst ner i </t>
    </r>
    <r>
      <rPr>
        <i/>
        <sz val="10"/>
        <color theme="1" tint="0.24994659260841701"/>
        <rFont val="Bookman Old Style"/>
        <family val="1"/>
        <scheme val="major"/>
      </rPr>
      <t>Programkurser.</t>
    </r>
    <r>
      <rPr>
        <sz val="10"/>
        <color theme="1" tint="0.24994659260841701"/>
        <rFont val="Bookman Old Style"/>
        <family val="1"/>
        <scheme val="major"/>
      </rPr>
      <t xml:space="preserve">
OBS: Importera </t>
    </r>
    <r>
      <rPr>
        <u/>
        <sz val="10"/>
        <color theme="1" tint="0.24994659260841701"/>
        <rFont val="Bookman Old Style"/>
        <family val="1"/>
        <scheme val="major"/>
      </rPr>
      <t>alla</t>
    </r>
    <r>
      <rPr>
        <sz val="10"/>
        <color theme="1" tint="0.24994659260841701"/>
        <rFont val="Bookman Old Style"/>
        <family val="1"/>
        <scheme val="major"/>
      </rPr>
      <t xml:space="preserve"> inriktnings- och profilkurser före kurser för hela programmet.</t>
    </r>
  </si>
  <si>
    <t>Civilingenjör i Datateknik</t>
  </si>
  <si>
    <t>Civilingenjör i Teknisk biologi</t>
  </si>
  <si>
    <t>Industriell bioteknik och produktion</t>
  </si>
  <si>
    <t>Sensorer och material i biomedicin</t>
  </si>
  <si>
    <t>Kemisk biologi</t>
  </si>
  <si>
    <t xml:space="preserve">I detta datablad så finns också några av de större beräkningarna samlade. </t>
  </si>
  <si>
    <t>Material- och nanofysik</t>
  </si>
  <si>
    <t>Teori, modellering och visualisering</t>
  </si>
  <si>
    <t>Elektronik</t>
  </si>
  <si>
    <t>TSTE12</t>
  </si>
  <si>
    <t>Konstruktion av digitala system</t>
  </si>
  <si>
    <t>TSEK37</t>
  </si>
  <si>
    <t>Analoga CMOS integrerade kretsar</t>
  </si>
  <si>
    <t>TSEK02</t>
  </si>
  <si>
    <t>Radioelektronik</t>
  </si>
  <si>
    <t>TDTS01</t>
  </si>
  <si>
    <t>Datorstödd elektronikkonstruktion</t>
  </si>
  <si>
    <t>TSEK03</t>
  </si>
  <si>
    <t>Integrerade radiofrekvenskretsar</t>
  </si>
  <si>
    <t>TSTE14</t>
  </si>
  <si>
    <t>Analoga filter</t>
  </si>
  <si>
    <t>TSTE93</t>
  </si>
  <si>
    <t>Analog konstruktion</t>
  </si>
  <si>
    <t>TSEK06</t>
  </si>
  <si>
    <t>VLSI-konstruktion, CDIO</t>
  </si>
  <si>
    <t>TSTE87</t>
  </si>
  <si>
    <t>Applikationsspecifika integrerade kretsar</t>
  </si>
  <si>
    <t>TSEA26</t>
  </si>
  <si>
    <t>Konstruktion av inbyggda DSP-processorer</t>
  </si>
  <si>
    <t>TSEK11</t>
  </si>
  <si>
    <t>Utvärdering av IC-krets</t>
  </si>
  <si>
    <t>TSEK38</t>
  </si>
  <si>
    <t>Konstruktion av radiotranceivers</t>
  </si>
  <si>
    <t>TSTE18</t>
  </si>
  <si>
    <t>Digital aritmetik</t>
  </si>
  <si>
    <t>TSEA44</t>
  </si>
  <si>
    <t>Datorteknik - ett datorsystem på ett chip</t>
  </si>
  <si>
    <t>TSTE85</t>
  </si>
  <si>
    <t>Lågeffektselektronik</t>
  </si>
  <si>
    <t>TDTS06</t>
  </si>
  <si>
    <t>Datornät</t>
  </si>
  <si>
    <t>TSIN02</t>
  </si>
  <si>
    <t>Internetteknik</t>
  </si>
  <si>
    <t>TSKS05</t>
  </si>
  <si>
    <t>Kommunikationssystem CDIO</t>
  </si>
  <si>
    <t>Klistra in i cellen nedanför denna</t>
  </si>
  <si>
    <t>Arbetsboken är skriven av Tobias Genborg, 2014. 
Möjliga förbättringar skulle vara att skriva om detta som en relationsdatabas.
Om någon är intresserad av att bygga vidare på arbetsboken så finns den tillgänglig på följande GitHub repository:</t>
  </si>
  <si>
    <t>Skapa nytt planeringsblad</t>
  </si>
  <si>
    <t>"=&gt;Ange namn"</t>
  </si>
  <si>
    <t>TEST2</t>
  </si>
  <si>
    <t>7Ht1</t>
  </si>
  <si>
    <t>o</t>
  </si>
  <si>
    <t>6*</t>
  </si>
  <si>
    <t>v</t>
  </si>
  <si>
    <t>7Ht2</t>
  </si>
  <si>
    <t>8Vt1</t>
  </si>
  <si>
    <t>8Vt2</t>
  </si>
  <si>
    <t>9Ht1</t>
  </si>
  <si>
    <t>12*</t>
  </si>
  <si>
    <t>9Ht2</t>
  </si>
  <si>
    <t>1, 1</t>
  </si>
  <si>
    <t>2; 2</t>
  </si>
  <si>
    <t>3; 3</t>
  </si>
  <si>
    <t>1; 1</t>
  </si>
  <si>
    <t>Elektronik; Kommunikation</t>
  </si>
  <si>
    <t>1, 2</t>
  </si>
  <si>
    <t>4, 4</t>
  </si>
  <si>
    <t>3, 3</t>
  </si>
  <si>
    <t>1, 2; 1, 2</t>
  </si>
  <si>
    <t>4, 4; 4, 4</t>
  </si>
  <si>
    <t>3, 2</t>
  </si>
  <si>
    <t>Att göra:
1. Skriv om funktioner för att detektera schemakrockar.  
2. Fixa en detaljerad terminssammanfattning
3. Rensa-knapp för auto-import
4. Importera data igen
5. Laga sökfunktionen eller radera</t>
  </si>
  <si>
    <t>År:</t>
  </si>
  <si>
    <t>För att få en tydligare översikt över kommande terminer eller för att välja mellan olika inriktningar/spår så kan du skapa planeringsblad.</t>
  </si>
  <si>
    <t>Planeringsblad</t>
  </si>
  <si>
    <t>Namn</t>
  </si>
</sst>
</file>

<file path=xl/styles.xml><?xml version="1.0" encoding="utf-8"?>
<styleSheet xmlns="http://schemas.openxmlformats.org/spreadsheetml/2006/main" xmlns:mc="http://schemas.openxmlformats.org/markup-compatibility/2006" xmlns:x14ac="http://schemas.microsoft.com/office/spreadsheetml/2009/9/ac" mc:Ignorable="x14ac">
  <fonts count="51" x14ac:knownFonts="1">
    <font>
      <sz val="10"/>
      <color theme="1" tint="0.24994659260841701"/>
      <name val="Bookman Old Style"/>
      <family val="1"/>
      <scheme val="major"/>
    </font>
    <font>
      <sz val="11"/>
      <color theme="1"/>
      <name val="Franklin Gothic Medium"/>
      <family val="2"/>
      <scheme val="minor"/>
    </font>
    <font>
      <b/>
      <sz val="11"/>
      <color theme="3"/>
      <name val="Franklin Gothic Medium"/>
      <family val="2"/>
      <scheme val="minor"/>
    </font>
    <font>
      <b/>
      <sz val="14"/>
      <color theme="3"/>
      <name val="Franklin Gothic Medium"/>
      <family val="2"/>
      <scheme val="minor"/>
    </font>
    <font>
      <sz val="8"/>
      <color theme="1"/>
      <name val="Franklin Gothic Medium"/>
      <family val="2"/>
      <scheme val="minor"/>
    </font>
    <font>
      <sz val="10"/>
      <color theme="1" tint="0.24994659260841701"/>
      <name val="Bookman Old Style"/>
      <family val="1"/>
      <scheme val="major"/>
    </font>
    <font>
      <sz val="26"/>
      <color theme="0"/>
      <name val="Century"/>
      <family val="1"/>
    </font>
    <font>
      <sz val="14"/>
      <color theme="0"/>
      <name val="Century"/>
      <family val="1"/>
    </font>
    <font>
      <sz val="12"/>
      <color theme="1" tint="0.249977111117893"/>
      <name val="Franklin Gothic Medium"/>
      <family val="2"/>
      <scheme val="minor"/>
    </font>
    <font>
      <sz val="11"/>
      <color theme="1" tint="0.24994659260841701"/>
      <name val="Franklin Gothic Medium"/>
      <family val="2"/>
      <scheme val="minor"/>
    </font>
    <font>
      <sz val="10"/>
      <color theme="0"/>
      <name val="Bookman Old Style"/>
      <family val="1"/>
      <scheme val="major"/>
    </font>
    <font>
      <sz val="10"/>
      <color theme="1"/>
      <name val="Bookman Old Style"/>
      <family val="1"/>
      <scheme val="major"/>
    </font>
    <font>
      <b/>
      <sz val="10"/>
      <color theme="0"/>
      <name val="Bookman Old Style"/>
      <family val="1"/>
      <scheme val="major"/>
    </font>
    <font>
      <sz val="11"/>
      <color theme="1" tint="0.24994659260841701"/>
      <name val="Century"/>
      <family val="1"/>
    </font>
    <font>
      <sz val="10"/>
      <color theme="1" tint="0.24994659260841701"/>
      <name val="Century"/>
      <family val="1"/>
    </font>
    <font>
      <sz val="11"/>
      <color theme="1" tint="0.24994659260841701"/>
      <name val="Century"/>
    </font>
    <font>
      <sz val="11"/>
      <color theme="3"/>
      <name val="Century"/>
      <family val="1"/>
    </font>
    <font>
      <sz val="8"/>
      <color theme="0"/>
      <name val="Century"/>
      <family val="1"/>
    </font>
    <font>
      <b/>
      <sz val="14"/>
      <color theme="3"/>
      <name val="Century"/>
      <family val="1"/>
    </font>
    <font>
      <sz val="10"/>
      <color theme="0"/>
      <name val="Century"/>
      <family val="1"/>
    </font>
    <font>
      <b/>
      <sz val="10"/>
      <color theme="0"/>
      <name val="Century"/>
      <family val="1"/>
    </font>
    <font>
      <sz val="12"/>
      <color theme="1"/>
      <name val="Century"/>
      <family val="1"/>
    </font>
    <font>
      <sz val="12"/>
      <color theme="1" tint="0.24994659260841701"/>
      <name val="Century"/>
      <family val="1"/>
    </font>
    <font>
      <sz val="10"/>
      <color theme="1" tint="0.24994659260841701"/>
      <name val="Century"/>
    </font>
    <font>
      <b/>
      <sz val="10"/>
      <color theme="1" tint="0.24994659260841701"/>
      <name val="Bookman Old Style"/>
      <family val="1"/>
      <scheme val="major"/>
    </font>
    <font>
      <b/>
      <sz val="10"/>
      <color theme="1"/>
      <name val="Bookman Old Style"/>
      <family val="1"/>
      <scheme val="major"/>
    </font>
    <font>
      <b/>
      <sz val="11"/>
      <color theme="1" tint="0.24994659260841701"/>
      <name val="Bookman Old Style"/>
      <family val="1"/>
      <scheme val="major"/>
    </font>
    <font>
      <sz val="10"/>
      <name val="Century"/>
      <family val="1"/>
    </font>
    <font>
      <i/>
      <sz val="10"/>
      <color theme="1" tint="0.24994659260841701"/>
      <name val="Century"/>
      <family val="1"/>
    </font>
    <font>
      <sz val="10"/>
      <color theme="1"/>
      <name val="Century"/>
      <family val="1"/>
    </font>
    <font>
      <sz val="18"/>
      <color theme="1" tint="0.24994659260841701"/>
      <name val="Bookman Old Style"/>
      <family val="1"/>
      <scheme val="major"/>
    </font>
    <font>
      <i/>
      <sz val="10"/>
      <color theme="1" tint="0.24994659260841701"/>
      <name val="Bookman Old Style"/>
      <family val="1"/>
      <scheme val="major"/>
    </font>
    <font>
      <b/>
      <sz val="10"/>
      <name val="Bookman Old Style"/>
      <family val="1"/>
      <scheme val="major"/>
    </font>
    <font>
      <sz val="10"/>
      <name val="Bookman Old Style"/>
      <family val="1"/>
      <scheme val="major"/>
    </font>
    <font>
      <sz val="12"/>
      <color theme="0"/>
      <name val="Bookman Old Style"/>
      <family val="1"/>
      <scheme val="major"/>
    </font>
    <font>
      <b/>
      <sz val="12"/>
      <color theme="0"/>
      <name val="Bookman Old Style"/>
      <family val="1"/>
      <scheme val="major"/>
    </font>
    <font>
      <i/>
      <sz val="10"/>
      <color theme="0"/>
      <name val="Century"/>
      <family val="1"/>
    </font>
    <font>
      <b/>
      <sz val="18"/>
      <color theme="1" tint="0.24994659260841701"/>
      <name val="Bookman Old Style"/>
      <family val="1"/>
      <scheme val="major"/>
    </font>
    <font>
      <b/>
      <sz val="8"/>
      <color theme="1" tint="0.24994659260841701"/>
      <name val="Bookman Old Style"/>
      <family val="1"/>
      <scheme val="major"/>
    </font>
    <font>
      <sz val="8"/>
      <color rgb="FF000000"/>
      <name val="Segoe UI"/>
      <family val="2"/>
    </font>
    <font>
      <sz val="10"/>
      <color theme="1" tint="0.24994659260841701"/>
      <name val="Marlett"/>
      <charset val="2"/>
    </font>
    <font>
      <u/>
      <sz val="10"/>
      <color theme="1" tint="0.24994659260841701"/>
      <name val="Bookman Old Style"/>
      <family val="1"/>
      <scheme val="major"/>
    </font>
    <font>
      <sz val="26"/>
      <color theme="1" tint="0.24994659260841701"/>
      <name val="Century"/>
      <family val="1"/>
    </font>
    <font>
      <sz val="16"/>
      <color theme="1" tint="0.24994659260841701"/>
      <name val="Bookman Old Style"/>
      <family val="1"/>
      <scheme val="major"/>
    </font>
    <font>
      <sz val="20"/>
      <color theme="0"/>
      <name val="Century"/>
      <family val="1"/>
    </font>
    <font>
      <sz val="11"/>
      <color theme="0"/>
      <name val="Franklin Gothic Medium"/>
      <family val="2"/>
      <scheme val="minor"/>
    </font>
    <font>
      <sz val="10"/>
      <color theme="1" tint="0.24994659260841701"/>
      <name val="Times New Roman"/>
      <family val="1"/>
    </font>
    <font>
      <b/>
      <sz val="9"/>
      <color rgb="FF000000"/>
      <name val="Times New Roman"/>
      <family val="1"/>
    </font>
    <font>
      <sz val="9"/>
      <color rgb="FF000000"/>
      <name val="Times New Roman"/>
      <family val="1"/>
    </font>
    <font>
      <u/>
      <sz val="10"/>
      <color theme="10"/>
      <name val="Bookman Old Style"/>
      <family val="1"/>
      <scheme val="major"/>
    </font>
    <font>
      <sz val="18"/>
      <color theme="1" tint="0.24994659260841701"/>
      <name val="Century"/>
      <family val="1"/>
    </font>
  </fonts>
  <fills count="12">
    <fill>
      <patternFill patternType="none"/>
    </fill>
    <fill>
      <patternFill patternType="gray125"/>
    </fill>
    <fill>
      <patternFill patternType="solid">
        <fgColor theme="6"/>
        <bgColor indexed="64"/>
      </patternFill>
    </fill>
    <fill>
      <patternFill patternType="solid">
        <fgColor theme="6" tint="-0.499984740745262"/>
        <bgColor indexed="64"/>
      </patternFill>
    </fill>
    <fill>
      <patternFill patternType="solid">
        <fgColor theme="6" tint="-0.499984740745262"/>
        <bgColor theme="6"/>
      </patternFill>
    </fill>
    <fill>
      <patternFill patternType="solid">
        <fgColor theme="0"/>
        <bgColor indexed="64"/>
      </patternFill>
    </fill>
    <fill>
      <patternFill patternType="solid">
        <fgColor theme="0"/>
        <bgColor theme="6"/>
      </patternFill>
    </fill>
    <fill>
      <patternFill patternType="solid">
        <fgColor rgb="FFFFFFFF"/>
        <bgColor indexed="64"/>
      </patternFill>
    </fill>
    <fill>
      <patternFill patternType="solid">
        <fgColor rgb="FFFFC000"/>
        <bgColor indexed="64"/>
      </patternFill>
    </fill>
    <fill>
      <patternFill patternType="solid">
        <fgColor theme="8" tint="-0.249977111117893"/>
        <bgColor indexed="64"/>
      </patternFill>
    </fill>
    <fill>
      <patternFill patternType="solid">
        <fgColor theme="6"/>
      </patternFill>
    </fill>
    <fill>
      <patternFill patternType="solid">
        <fgColor rgb="FFFFFF00"/>
        <bgColor indexed="64"/>
      </patternFill>
    </fill>
  </fills>
  <borders count="17">
    <border>
      <left/>
      <right/>
      <top/>
      <bottom/>
      <diagonal/>
    </border>
    <border>
      <left/>
      <right style="thick">
        <color theme="6" tint="-0.499984740745262"/>
      </right>
      <top/>
      <bottom/>
      <diagonal/>
    </border>
    <border>
      <left style="thick">
        <color theme="6" tint="-0.499984740745262"/>
      </left>
      <right/>
      <top/>
      <bottom/>
      <diagonal/>
    </border>
    <border>
      <left/>
      <right/>
      <top style="thin">
        <color theme="8" tint="0.39997558519241921"/>
      </top>
      <bottom/>
      <diagonal/>
    </border>
    <border>
      <left/>
      <right/>
      <top/>
      <bottom style="thin">
        <color indexed="64"/>
      </bottom>
      <diagonal/>
    </border>
    <border>
      <left style="thin">
        <color theme="8" tint="0.39997558519241921"/>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double">
        <color indexed="64"/>
      </bottom>
      <diagonal/>
    </border>
    <border>
      <left/>
      <right/>
      <top/>
      <bottom style="double">
        <color indexed="64"/>
      </bottom>
      <diagonal/>
    </border>
    <border>
      <left style="thin">
        <color theme="8" tint="0.39997558519241921"/>
      </left>
      <right/>
      <top style="thin">
        <color theme="8" tint="0.39997558519241921"/>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s>
  <cellStyleXfs count="6">
    <xf numFmtId="0" fontId="0" fillId="0" borderId="0">
      <alignment vertical="center"/>
    </xf>
    <xf numFmtId="0" fontId="6" fillId="2" borderId="0" applyNumberFormat="0" applyBorder="0" applyAlignment="0" applyProtection="0"/>
    <xf numFmtId="0" fontId="2" fillId="0" borderId="0" applyNumberFormat="0" applyFill="0" applyBorder="0" applyAlignment="0" applyProtection="0"/>
    <xf numFmtId="0" fontId="7" fillId="2" borderId="0" applyNumberFormat="0" applyBorder="0" applyAlignment="0" applyProtection="0"/>
    <xf numFmtId="0" fontId="45" fillId="10" borderId="0" applyNumberFormat="0" applyBorder="0" applyAlignment="0" applyProtection="0"/>
    <xf numFmtId="0" fontId="49" fillId="0" borderId="0" applyNumberFormat="0" applyFill="0" applyBorder="0" applyAlignment="0" applyProtection="0">
      <alignment vertical="center"/>
    </xf>
  </cellStyleXfs>
  <cellXfs count="242">
    <xf numFmtId="0" fontId="0" fillId="0" borderId="0" xfId="0">
      <alignment vertical="center"/>
    </xf>
    <xf numFmtId="0" fontId="6" fillId="2" borderId="0" xfId="1" applyAlignment="1">
      <alignment vertical="center"/>
    </xf>
    <xf numFmtId="0" fontId="0" fillId="0" borderId="0" xfId="0" applyAlignment="1">
      <alignment vertical="center"/>
    </xf>
    <xf numFmtId="0" fontId="0" fillId="0" borderId="0" xfId="0" applyAlignment="1">
      <alignment horizontal="center" vertical="center"/>
    </xf>
    <xf numFmtId="0" fontId="7" fillId="2" borderId="0" xfId="3" applyAlignment="1">
      <alignment vertical="center"/>
    </xf>
    <xf numFmtId="0" fontId="6" fillId="2" borderId="0" xfId="1" applyAlignment="1">
      <alignment horizontal="right" vertical="top"/>
    </xf>
    <xf numFmtId="0" fontId="6" fillId="2" borderId="1" xfId="1" applyBorder="1" applyAlignment="1">
      <alignment vertical="center"/>
    </xf>
    <xf numFmtId="0" fontId="0" fillId="0" borderId="0" xfId="0" applyAlignment="1">
      <alignment horizontal="left" vertical="center" indent="1"/>
    </xf>
    <xf numFmtId="0" fontId="0" fillId="2" borderId="0" xfId="0" applyFill="1">
      <alignment vertical="center"/>
    </xf>
    <xf numFmtId="0" fontId="0" fillId="3" borderId="0" xfId="0" applyFill="1" applyAlignment="1">
      <alignment vertical="center"/>
    </xf>
    <xf numFmtId="0" fontId="6" fillId="2" borderId="0" xfId="1" applyAlignment="1">
      <alignment horizontal="left" vertical="center" indent="2"/>
    </xf>
    <xf numFmtId="0" fontId="0" fillId="0" borderId="0" xfId="0" applyFill="1">
      <alignment vertical="center"/>
    </xf>
    <xf numFmtId="0" fontId="9" fillId="0" borderId="0" xfId="0" applyFont="1" applyFill="1" applyAlignment="1">
      <alignment vertical="center"/>
    </xf>
    <xf numFmtId="0" fontId="9" fillId="0" borderId="0" xfId="0" applyFont="1" applyFill="1" applyAlignment="1">
      <alignment horizontal="center" vertical="center"/>
    </xf>
    <xf numFmtId="0" fontId="0" fillId="0" borderId="0" xfId="0" applyFont="1" applyFill="1" applyAlignment="1">
      <alignment vertical="center"/>
    </xf>
    <xf numFmtId="0" fontId="5" fillId="0" borderId="0" xfId="0" applyFont="1" applyFill="1">
      <alignment vertical="center"/>
    </xf>
    <xf numFmtId="0" fontId="5" fillId="0" borderId="0" xfId="0" applyFont="1" applyFill="1" applyAlignment="1">
      <alignment horizontal="center" vertical="center"/>
    </xf>
    <xf numFmtId="0" fontId="5" fillId="0" borderId="0" xfId="0" applyNumberFormat="1" applyFont="1" applyFill="1" applyAlignment="1">
      <alignment horizontal="center" vertical="center"/>
    </xf>
    <xf numFmtId="0" fontId="0" fillId="0" borderId="0" xfId="0" applyFill="1" applyAlignment="1">
      <alignment horizontal="center"/>
    </xf>
    <xf numFmtId="0" fontId="4" fillId="0" borderId="0" xfId="0" applyFont="1" applyFill="1" applyAlignment="1">
      <alignment horizontal="left"/>
    </xf>
    <xf numFmtId="0" fontId="0" fillId="0" borderId="0" xfId="0" applyFill="1" applyAlignment="1">
      <alignment horizontal="center" vertical="center"/>
    </xf>
    <xf numFmtId="0" fontId="10" fillId="4" borderId="0" xfId="0" applyFont="1" applyFill="1" applyBorder="1" applyAlignment="1">
      <alignment horizontal="center" vertical="center"/>
    </xf>
    <xf numFmtId="0" fontId="10" fillId="4" borderId="0" xfId="0" applyFont="1" applyFill="1" applyBorder="1" applyAlignment="1">
      <alignment vertical="center"/>
    </xf>
    <xf numFmtId="0" fontId="6" fillId="5" borderId="0" xfId="1" applyFill="1" applyAlignment="1">
      <alignment vertical="center"/>
    </xf>
    <xf numFmtId="0" fontId="0" fillId="5" borderId="0" xfId="0" applyFill="1">
      <alignment vertical="center"/>
    </xf>
    <xf numFmtId="0" fontId="10" fillId="6" borderId="0" xfId="0" applyFont="1" applyFill="1" applyBorder="1" applyAlignment="1">
      <alignment horizontal="left" vertical="center" indent="3"/>
    </xf>
    <xf numFmtId="0" fontId="10" fillId="6" borderId="0" xfId="0" applyFont="1" applyFill="1" applyBorder="1" applyAlignment="1">
      <alignment horizontal="left" vertical="center" indent="1"/>
    </xf>
    <xf numFmtId="0" fontId="10" fillId="6" borderId="0" xfId="0" applyFont="1" applyFill="1" applyBorder="1" applyAlignment="1">
      <alignment horizontal="center" vertical="center"/>
    </xf>
    <xf numFmtId="0" fontId="10" fillId="5" borderId="0" xfId="0" applyFont="1" applyFill="1" applyBorder="1" applyAlignment="1">
      <alignment vertical="center"/>
    </xf>
    <xf numFmtId="0" fontId="10" fillId="6" borderId="0" xfId="0" applyFont="1" applyFill="1" applyBorder="1" applyAlignment="1">
      <alignment vertical="center"/>
    </xf>
    <xf numFmtId="0" fontId="6" fillId="2" borderId="0" xfId="3" applyFont="1" applyBorder="1" applyAlignment="1">
      <alignment horizontal="left" vertical="center" wrapText="1" indent="1"/>
    </xf>
    <xf numFmtId="0" fontId="12" fillId="4" borderId="3" xfId="0" applyFont="1" applyFill="1" applyBorder="1" applyAlignment="1">
      <alignment horizontal="center" vertical="center"/>
    </xf>
    <xf numFmtId="0" fontId="13" fillId="5" borderId="0" xfId="0" applyFont="1" applyFill="1" applyBorder="1" applyAlignment="1">
      <alignment horizontal="center" vertical="center"/>
    </xf>
    <xf numFmtId="0" fontId="14" fillId="5" borderId="0" xfId="0" applyFont="1" applyFill="1" applyBorder="1" applyAlignment="1">
      <alignment horizontal="center" vertical="center"/>
    </xf>
    <xf numFmtId="0" fontId="6" fillId="2" borderId="0" xfId="1" applyFont="1" applyAlignment="1">
      <alignment horizontal="center" vertical="center"/>
    </xf>
    <xf numFmtId="0" fontId="6" fillId="2" borderId="0" xfId="3" applyFont="1" applyBorder="1" applyAlignment="1">
      <alignment horizontal="center" vertical="center"/>
    </xf>
    <xf numFmtId="0" fontId="7" fillId="2" borderId="0" xfId="3" applyFont="1" applyAlignment="1">
      <alignment horizontal="center" vertical="center"/>
    </xf>
    <xf numFmtId="0" fontId="14" fillId="0" borderId="0" xfId="0" applyFont="1" applyAlignment="1">
      <alignment horizontal="center" vertical="center"/>
    </xf>
    <xf numFmtId="0" fontId="6" fillId="5" borderId="0" xfId="1" applyFont="1" applyFill="1" applyAlignment="1">
      <alignment horizontal="center" vertical="center"/>
    </xf>
    <xf numFmtId="0" fontId="13" fillId="5" borderId="0" xfId="0" applyFont="1" applyFill="1" applyAlignment="1">
      <alignment horizontal="center" vertical="center"/>
    </xf>
    <xf numFmtId="0" fontId="0" fillId="0" borderId="0" xfId="0" applyAlignment="1">
      <alignment horizontal="left" vertical="center"/>
    </xf>
    <xf numFmtId="0" fontId="13" fillId="5" borderId="0" xfId="0" applyFont="1" applyFill="1" applyBorder="1" applyAlignment="1">
      <alignment horizontal="left" vertical="center"/>
    </xf>
    <xf numFmtId="0" fontId="11" fillId="0" borderId="4" xfId="0" applyFont="1" applyBorder="1" applyAlignment="1">
      <alignment horizontal="center" vertical="center"/>
    </xf>
    <xf numFmtId="0" fontId="13" fillId="5" borderId="0" xfId="0" applyFont="1" applyFill="1" applyAlignment="1">
      <alignment horizontal="left" vertical="center"/>
    </xf>
    <xf numFmtId="0" fontId="17" fillId="2" borderId="0" xfId="1" applyFont="1" applyAlignment="1">
      <alignment horizontal="center" vertical="top"/>
    </xf>
    <xf numFmtId="0" fontId="6" fillId="2" borderId="0" xfId="1" applyFont="1" applyAlignment="1">
      <alignment vertical="center"/>
    </xf>
    <xf numFmtId="0" fontId="14" fillId="2" borderId="0" xfId="0" applyFont="1" applyFill="1">
      <alignment vertical="center"/>
    </xf>
    <xf numFmtId="0" fontId="14" fillId="0" borderId="0" xfId="0" applyFont="1">
      <alignment vertical="center"/>
    </xf>
    <xf numFmtId="0" fontId="6" fillId="2" borderId="0" xfId="1" applyFont="1" applyAlignment="1">
      <alignment horizontal="left" vertical="center" indent="2"/>
    </xf>
    <xf numFmtId="0" fontId="6" fillId="2" borderId="0" xfId="1" applyFont="1" applyAlignment="1">
      <alignment horizontal="center"/>
    </xf>
    <xf numFmtId="0" fontId="6" fillId="2" borderId="0" xfId="1" applyFont="1" applyAlignment="1">
      <alignment horizontal="right" vertical="top"/>
    </xf>
    <xf numFmtId="0" fontId="19" fillId="5" borderId="0" xfId="0" applyFont="1" applyFill="1">
      <alignment vertical="center"/>
    </xf>
    <xf numFmtId="0" fontId="14" fillId="5" borderId="0" xfId="0" applyFont="1" applyFill="1" applyBorder="1" applyAlignment="1">
      <alignment vertical="center"/>
    </xf>
    <xf numFmtId="0" fontId="19" fillId="5" borderId="0" xfId="0" applyFont="1" applyFill="1" applyBorder="1">
      <alignment vertical="center"/>
    </xf>
    <xf numFmtId="0" fontId="14" fillId="0" borderId="0" xfId="0" applyFont="1" applyFill="1">
      <alignment vertical="center"/>
    </xf>
    <xf numFmtId="0" fontId="6" fillId="2" borderId="1" xfId="1" applyFont="1" applyBorder="1" applyAlignment="1">
      <alignment vertical="center"/>
    </xf>
    <xf numFmtId="0" fontId="20" fillId="4" borderId="5" xfId="0" applyFont="1" applyFill="1" applyBorder="1" applyAlignment="1">
      <alignment horizontal="left" vertical="center" indent="3"/>
    </xf>
    <xf numFmtId="0" fontId="20" fillId="4" borderId="0" xfId="0" applyFont="1" applyFill="1" applyBorder="1" applyAlignment="1">
      <alignment horizontal="left" vertical="center" indent="1"/>
    </xf>
    <xf numFmtId="0" fontId="20" fillId="4" borderId="0" xfId="0" applyFont="1" applyFill="1" applyBorder="1" applyAlignment="1">
      <alignment horizontal="center" vertical="center"/>
    </xf>
    <xf numFmtId="0" fontId="20" fillId="3" borderId="0" xfId="0" applyFont="1" applyFill="1" applyBorder="1" applyAlignment="1">
      <alignment horizontal="center" vertical="center"/>
    </xf>
    <xf numFmtId="0" fontId="21" fillId="5" borderId="0" xfId="0" applyFont="1" applyFill="1" applyBorder="1" applyAlignment="1">
      <alignment horizontal="right" vertical="center"/>
    </xf>
    <xf numFmtId="0" fontId="14" fillId="0" borderId="0" xfId="0" applyFont="1" applyAlignment="1">
      <alignment horizontal="right" vertical="center"/>
    </xf>
    <xf numFmtId="0" fontId="23" fillId="0" borderId="0" xfId="0" applyFont="1">
      <alignment vertical="center"/>
    </xf>
    <xf numFmtId="0" fontId="0" fillId="0" borderId="0" xfId="0" applyNumberFormat="1">
      <alignment vertical="center"/>
    </xf>
    <xf numFmtId="0" fontId="23" fillId="0" borderId="0" xfId="0" applyFont="1" applyAlignment="1">
      <alignment horizontal="center" vertical="center"/>
    </xf>
    <xf numFmtId="0" fontId="0" fillId="0" borderId="0" xfId="0" applyAlignment="1">
      <alignment horizontal="right" vertical="center"/>
    </xf>
    <xf numFmtId="0" fontId="15" fillId="5" borderId="0" xfId="0" applyFont="1" applyFill="1" applyAlignment="1">
      <alignment horizontal="left" vertical="center"/>
    </xf>
    <xf numFmtId="0" fontId="19" fillId="2" borderId="0" xfId="1" applyFont="1" applyAlignment="1">
      <alignment horizontal="center" vertical="center" wrapText="1"/>
    </xf>
    <xf numFmtId="0" fontId="17" fillId="2" borderId="0" xfId="1" applyFont="1" applyAlignment="1">
      <alignment horizontal="left" vertical="center" wrapText="1" indent="1" readingOrder="1"/>
    </xf>
    <xf numFmtId="0" fontId="7" fillId="2" borderId="0" xfId="3" applyFont="1" applyBorder="1" applyAlignment="1">
      <alignment horizontal="left" vertical="center" wrapText="1" indent="1"/>
    </xf>
    <xf numFmtId="0" fontId="14" fillId="5" borderId="0" xfId="0" applyFont="1" applyFill="1" applyBorder="1" applyAlignment="1">
      <alignment horizontal="center" vertical="center"/>
    </xf>
    <xf numFmtId="0" fontId="24" fillId="0" borderId="0" xfId="0" applyFont="1" applyAlignment="1">
      <alignment horizontal="center" vertical="center"/>
    </xf>
    <xf numFmtId="0" fontId="0" fillId="0" borderId="0" xfId="0" applyFont="1" applyFill="1">
      <alignment vertical="center"/>
    </xf>
    <xf numFmtId="0" fontId="24" fillId="0" borderId="0" xfId="0" applyFont="1" applyBorder="1" applyAlignment="1">
      <alignment horizontal="left" vertical="center"/>
    </xf>
    <xf numFmtId="0" fontId="11" fillId="0" borderId="0" xfId="0" applyFont="1">
      <alignment vertical="center"/>
    </xf>
    <xf numFmtId="0" fontId="0" fillId="0" borderId="0" xfId="0" applyAlignment="1">
      <alignment horizontal="center" vertical="center"/>
    </xf>
    <xf numFmtId="0" fontId="3" fillId="0" borderId="0" xfId="2" applyFont="1" applyAlignment="1">
      <alignment horizontal="left" vertical="top" indent="1"/>
    </xf>
    <xf numFmtId="0" fontId="27" fillId="5" borderId="0" xfId="0" applyFont="1" applyFill="1" applyBorder="1">
      <alignment vertical="center"/>
    </xf>
    <xf numFmtId="0" fontId="29" fillId="5" borderId="0" xfId="0" applyFont="1" applyFill="1" applyBorder="1" applyAlignment="1">
      <alignment horizontal="center" vertical="center"/>
    </xf>
    <xf numFmtId="0" fontId="14" fillId="0" borderId="0" xfId="0" applyFont="1" applyFill="1" applyAlignment="1">
      <alignment horizontal="left" vertical="center" indent="5"/>
    </xf>
    <xf numFmtId="0" fontId="6" fillId="2" borderId="2" xfId="3" applyFont="1" applyBorder="1" applyAlignment="1">
      <alignment horizontal="left" vertical="center" wrapText="1" indent="2"/>
    </xf>
    <xf numFmtId="0" fontId="0" fillId="0" borderId="11" xfId="0" applyBorder="1">
      <alignment vertical="center"/>
    </xf>
    <xf numFmtId="0" fontId="1" fillId="0" borderId="0" xfId="0" applyFont="1" applyFill="1" applyBorder="1" applyAlignment="1">
      <alignment horizontal="left" vertical="center" indent="1"/>
    </xf>
    <xf numFmtId="0" fontId="12" fillId="6" borderId="0" xfId="0" applyFont="1" applyFill="1" applyBorder="1" applyAlignment="1">
      <alignment horizontal="center" vertical="center"/>
    </xf>
    <xf numFmtId="0" fontId="10" fillId="5" borderId="0" xfId="0" applyFont="1" applyFill="1" applyAlignment="1">
      <alignment horizontal="center" vertical="center"/>
    </xf>
    <xf numFmtId="0" fontId="0" fillId="0" borderId="0" xfId="0" applyBorder="1" applyAlignment="1">
      <alignment vertical="center" wrapText="1"/>
    </xf>
    <xf numFmtId="0" fontId="10" fillId="0" borderId="0" xfId="0" applyFont="1">
      <alignment vertical="center"/>
    </xf>
    <xf numFmtId="0" fontId="34" fillId="0" borderId="0" xfId="0" applyFont="1" applyAlignment="1">
      <alignment horizontal="center" vertical="center"/>
    </xf>
    <xf numFmtId="0" fontId="35" fillId="0" borderId="0" xfId="0" applyFont="1" applyAlignment="1">
      <alignment horizontal="center" vertical="center"/>
    </xf>
    <xf numFmtId="0" fontId="10" fillId="0" borderId="0" xfId="0" applyFont="1" applyAlignment="1">
      <alignment horizontal="center" vertical="center"/>
    </xf>
    <xf numFmtId="0" fontId="10" fillId="0" borderId="0" xfId="0" applyFont="1" applyBorder="1" applyAlignment="1">
      <alignment horizontal="center" vertical="center"/>
    </xf>
    <xf numFmtId="0" fontId="29" fillId="5" borderId="0" xfId="2" applyFont="1" applyFill="1" applyBorder="1" applyAlignment="1">
      <alignment horizontal="center" vertical="center"/>
    </xf>
    <xf numFmtId="0" fontId="29" fillId="0" borderId="0" xfId="0" applyFont="1" applyAlignment="1">
      <alignment horizontal="center" vertical="center"/>
    </xf>
    <xf numFmtId="0" fontId="27" fillId="0" borderId="0" xfId="0" applyFont="1">
      <alignment vertical="center"/>
    </xf>
    <xf numFmtId="0" fontId="19" fillId="0" borderId="0" xfId="0" applyFont="1" applyFill="1" applyAlignment="1">
      <alignment horizontal="left" vertical="center" indent="5"/>
    </xf>
    <xf numFmtId="0" fontId="19" fillId="0" borderId="0" xfId="0" applyFont="1" applyFill="1">
      <alignment vertical="center"/>
    </xf>
    <xf numFmtId="0" fontId="12" fillId="3" borderId="3" xfId="0" applyFont="1" applyFill="1" applyBorder="1" applyAlignment="1">
      <alignment horizontal="center" vertical="center"/>
    </xf>
    <xf numFmtId="0" fontId="0" fillId="7" borderId="0" xfId="0" applyFill="1">
      <alignment vertical="center"/>
    </xf>
    <xf numFmtId="0" fontId="37" fillId="5" borderId="0" xfId="0" applyFont="1" applyFill="1">
      <alignment vertical="center"/>
    </xf>
    <xf numFmtId="0" fontId="8" fillId="0" borderId="0" xfId="2" applyFont="1" applyFill="1" applyAlignment="1">
      <alignment horizontal="center" vertical="center"/>
    </xf>
    <xf numFmtId="0" fontId="40" fillId="0" borderId="0" xfId="0" applyFont="1" applyAlignment="1">
      <alignment horizontal="left" vertical="center" indent="3"/>
    </xf>
    <xf numFmtId="0" fontId="0" fillId="0" borderId="0" xfId="0" applyAlignment="1">
      <alignment horizontal="left" indent="1"/>
    </xf>
    <xf numFmtId="0" fontId="0" fillId="0" borderId="0" xfId="0" applyAlignment="1">
      <alignment horizontal="center"/>
    </xf>
    <xf numFmtId="0" fontId="0" fillId="5" borderId="0" xfId="0" applyFill="1" applyAlignment="1">
      <alignment horizontal="center" vertical="center"/>
    </xf>
    <xf numFmtId="0" fontId="0" fillId="5" borderId="0" xfId="0" applyFill="1" applyAlignment="1">
      <alignment vertical="top" wrapText="1"/>
    </xf>
    <xf numFmtId="0" fontId="0" fillId="5" borderId="0" xfId="0" applyFill="1" applyBorder="1" applyAlignment="1">
      <alignment horizontal="center" vertical="top" wrapText="1"/>
    </xf>
    <xf numFmtId="0" fontId="0" fillId="0" borderId="0" xfId="0" applyBorder="1" applyAlignment="1">
      <alignment horizontal="left" vertical="center" wrapText="1"/>
    </xf>
    <xf numFmtId="0" fontId="0" fillId="0" borderId="0" xfId="0" applyBorder="1" applyAlignment="1">
      <alignment horizontal="center" vertical="center"/>
    </xf>
    <xf numFmtId="0" fontId="19" fillId="5" borderId="0" xfId="0" applyFont="1" applyFill="1" applyAlignment="1">
      <alignment horizontal="center" vertical="center"/>
    </xf>
    <xf numFmtId="0" fontId="0" fillId="0" borderId="0" xfId="0" applyAlignment="1">
      <alignment horizontal="left" vertical="center" indent="3"/>
    </xf>
    <xf numFmtId="0" fontId="24" fillId="0" borderId="9" xfId="0" applyFont="1" applyBorder="1" applyAlignment="1">
      <alignment vertical="center"/>
    </xf>
    <xf numFmtId="0" fontId="24" fillId="0" borderId="9" xfId="0" applyFont="1" applyBorder="1" applyAlignment="1">
      <alignment horizontal="left" vertical="center"/>
    </xf>
    <xf numFmtId="0" fontId="6" fillId="2" borderId="0" xfId="1" applyBorder="1" applyAlignment="1">
      <alignment horizontal="left" vertical="center" indent="2"/>
    </xf>
    <xf numFmtId="0" fontId="3" fillId="0" borderId="0" xfId="2" applyFont="1" applyAlignment="1">
      <alignment horizontal="left" vertical="top" indent="1"/>
    </xf>
    <xf numFmtId="0" fontId="26" fillId="0" borderId="0" xfId="0" applyFont="1" applyAlignment="1">
      <alignment horizontal="left" vertical="center"/>
    </xf>
    <xf numFmtId="0" fontId="6" fillId="2" borderId="0" xfId="3" quotePrefix="1" applyFont="1" applyBorder="1" applyAlignment="1">
      <alignment horizontal="left" vertical="center" wrapText="1" indent="2"/>
    </xf>
    <xf numFmtId="0" fontId="0" fillId="5" borderId="0" xfId="0" applyFill="1" applyAlignment="1">
      <alignment horizontal="center" vertical="top" wrapText="1"/>
    </xf>
    <xf numFmtId="0" fontId="24" fillId="0" borderId="9" xfId="0" applyFont="1" applyBorder="1">
      <alignment vertical="center"/>
    </xf>
    <xf numFmtId="0" fontId="0" fillId="0" borderId="9" xfId="0" applyBorder="1">
      <alignment vertical="center"/>
    </xf>
    <xf numFmtId="0" fontId="10" fillId="5" borderId="0" xfId="0" applyFont="1" applyFill="1">
      <alignment vertical="center"/>
    </xf>
    <xf numFmtId="0" fontId="6" fillId="5" borderId="0" xfId="3" quotePrefix="1" applyFont="1" applyFill="1" applyBorder="1" applyAlignment="1">
      <alignment vertical="center" wrapText="1"/>
    </xf>
    <xf numFmtId="0" fontId="0" fillId="5" borderId="0" xfId="0" applyFill="1" applyAlignment="1">
      <alignment horizontal="center" vertical="center"/>
    </xf>
    <xf numFmtId="0" fontId="0" fillId="5" borderId="0" xfId="0" applyFill="1" applyAlignment="1">
      <alignment vertical="center"/>
    </xf>
    <xf numFmtId="0" fontId="0" fillId="5" borderId="0" xfId="0" applyFill="1" applyBorder="1" applyAlignment="1">
      <alignment vertical="center" wrapText="1"/>
    </xf>
    <xf numFmtId="0" fontId="0" fillId="5" borderId="0" xfId="0" applyFill="1" applyBorder="1">
      <alignment vertical="center"/>
    </xf>
    <xf numFmtId="0" fontId="42" fillId="5" borderId="0" xfId="0" applyFont="1" applyFill="1" applyAlignment="1">
      <alignment horizontal="right" vertical="top" wrapText="1"/>
    </xf>
    <xf numFmtId="0" fontId="30" fillId="5" borderId="0" xfId="0" applyFont="1" applyFill="1">
      <alignment vertical="center"/>
    </xf>
    <xf numFmtId="0" fontId="0" fillId="5" borderId="0" xfId="0" quotePrefix="1" applyFill="1">
      <alignment vertical="center"/>
    </xf>
    <xf numFmtId="0" fontId="43" fillId="5" borderId="0" xfId="0" applyFont="1" applyFill="1">
      <alignment vertical="center"/>
    </xf>
    <xf numFmtId="0" fontId="0" fillId="8" borderId="0" xfId="0" applyFill="1">
      <alignment vertical="center"/>
    </xf>
    <xf numFmtId="0" fontId="10" fillId="5" borderId="0" xfId="0" applyNumberFormat="1" applyFont="1" applyFill="1" applyAlignment="1">
      <alignment horizontal="center" vertical="center"/>
    </xf>
    <xf numFmtId="0" fontId="10" fillId="9" borderId="0" xfId="0" applyFont="1" applyFill="1">
      <alignment vertical="center"/>
    </xf>
    <xf numFmtId="0" fontId="44" fillId="2" borderId="0" xfId="1" applyFont="1" applyAlignment="1">
      <alignment horizontal="center" vertical="center" wrapText="1"/>
    </xf>
    <xf numFmtId="0" fontId="16" fillId="6" borderId="13" xfId="0" applyFont="1" applyFill="1" applyBorder="1" applyAlignment="1">
      <alignment horizontal="center" vertical="center"/>
    </xf>
    <xf numFmtId="0" fontId="16" fillId="5" borderId="13" xfId="0" applyFont="1" applyFill="1" applyBorder="1" applyAlignment="1">
      <alignment horizontal="center" vertical="center"/>
    </xf>
    <xf numFmtId="0" fontId="33" fillId="5" borderId="0" xfId="0" applyFont="1" applyFill="1" applyBorder="1" applyAlignment="1">
      <alignment horizontal="center"/>
    </xf>
    <xf numFmtId="0" fontId="25" fillId="5" borderId="0" xfId="0" applyFont="1" applyFill="1" applyBorder="1" applyAlignment="1">
      <alignment horizontal="center"/>
    </xf>
    <xf numFmtId="0" fontId="32" fillId="6" borderId="0" xfId="0" applyFont="1" applyFill="1" applyBorder="1" applyAlignment="1">
      <alignment horizontal="center"/>
    </xf>
    <xf numFmtId="0" fontId="6" fillId="2" borderId="0" xfId="3" applyFont="1" applyAlignment="1">
      <alignment horizontal="left" vertical="center" indent="2"/>
    </xf>
    <xf numFmtId="0" fontId="0" fillId="0" borderId="0" xfId="0" applyFont="1" applyFill="1" applyAlignment="1">
      <alignment horizontal="center" vertical="center"/>
    </xf>
    <xf numFmtId="0" fontId="6" fillId="2" borderId="0" xfId="1" applyBorder="1" applyAlignment="1">
      <alignment vertical="center" wrapText="1"/>
    </xf>
    <xf numFmtId="0" fontId="10" fillId="6" borderId="0" xfId="0" applyFont="1" applyFill="1" applyBorder="1">
      <alignment vertical="center"/>
    </xf>
    <xf numFmtId="0" fontId="11" fillId="5" borderId="0" xfId="0" applyFont="1" applyFill="1" applyBorder="1">
      <alignment vertical="center"/>
    </xf>
    <xf numFmtId="0" fontId="0" fillId="5" borderId="0" xfId="0" applyNumberFormat="1" applyFill="1">
      <alignment vertical="center"/>
    </xf>
    <xf numFmtId="0" fontId="6" fillId="2" borderId="0" xfId="1" applyAlignment="1">
      <alignment horizontal="center" vertical="center" wrapText="1"/>
    </xf>
    <xf numFmtId="0" fontId="6" fillId="2" borderId="2" xfId="1" applyBorder="1" applyAlignment="1">
      <alignment vertical="center" wrapText="1"/>
    </xf>
    <xf numFmtId="0" fontId="14" fillId="5" borderId="0" xfId="0" applyFont="1" applyFill="1" applyBorder="1" applyAlignment="1">
      <alignment horizontal="center" vertical="center"/>
    </xf>
    <xf numFmtId="0" fontId="12" fillId="4" borderId="3" xfId="0" applyFont="1" applyFill="1" applyBorder="1" applyAlignment="1">
      <alignment horizontal="center" vertical="center"/>
    </xf>
    <xf numFmtId="0" fontId="0" fillId="5" borderId="0" xfId="0" applyFill="1" applyAlignment="1">
      <alignment horizontal="center" vertical="center"/>
    </xf>
    <xf numFmtId="0" fontId="45" fillId="10" borderId="0" xfId="4" applyAlignment="1">
      <alignment vertical="center"/>
    </xf>
    <xf numFmtId="0" fontId="0" fillId="5" borderId="0" xfId="0" applyFill="1" applyAlignment="1">
      <alignment horizontal="center" vertical="center"/>
    </xf>
    <xf numFmtId="0" fontId="0" fillId="5" borderId="16" xfId="0" applyFill="1" applyBorder="1" applyAlignment="1">
      <alignment horizontal="center" vertical="center" wrapText="1"/>
    </xf>
    <xf numFmtId="0" fontId="0" fillId="5" borderId="0" xfId="0" applyFill="1" applyAlignment="1">
      <alignment horizontal="center" vertical="center"/>
    </xf>
    <xf numFmtId="0" fontId="14" fillId="5" borderId="0" xfId="0" applyFont="1" applyFill="1" applyBorder="1" applyAlignment="1">
      <alignment horizontal="center" vertical="center"/>
    </xf>
    <xf numFmtId="0" fontId="11" fillId="0" borderId="0" xfId="0" applyFont="1" applyBorder="1" applyAlignment="1">
      <alignment horizontal="left" vertical="center" indent="1"/>
    </xf>
    <xf numFmtId="0" fontId="11" fillId="0" borderId="0" xfId="0" applyFont="1" applyBorder="1" applyAlignment="1">
      <alignment horizontal="left" indent="1"/>
    </xf>
    <xf numFmtId="0" fontId="11" fillId="0" borderId="0" xfId="0" applyFont="1" applyBorder="1" applyAlignment="1">
      <alignment horizontal="center"/>
    </xf>
    <xf numFmtId="0" fontId="11" fillId="0" borderId="0" xfId="0" applyFont="1" applyBorder="1" applyAlignment="1">
      <alignment horizontal="center" vertical="center"/>
    </xf>
    <xf numFmtId="0" fontId="11" fillId="5" borderId="0" xfId="0" applyFont="1" applyFill="1" applyBorder="1" applyAlignment="1">
      <alignment horizontal="center" vertical="center"/>
    </xf>
    <xf numFmtId="0" fontId="47" fillId="7" borderId="0" xfId="0" applyFont="1" applyFill="1" applyAlignment="1">
      <alignment vertical="center" wrapText="1"/>
    </xf>
    <xf numFmtId="0" fontId="46" fillId="7" borderId="0" xfId="0" applyFont="1" applyFill="1" applyAlignment="1">
      <alignment vertical="center" wrapText="1"/>
    </xf>
    <xf numFmtId="0" fontId="49" fillId="11" borderId="0" xfId="5" applyFill="1" applyAlignment="1">
      <alignment vertical="top" wrapText="1"/>
    </xf>
    <xf numFmtId="0" fontId="48" fillId="7" borderId="0" xfId="0" applyFont="1" applyFill="1" applyAlignment="1">
      <alignment vertical="top" wrapText="1"/>
    </xf>
    <xf numFmtId="0" fontId="48" fillId="7" borderId="0" xfId="0" applyFont="1" applyFill="1" applyAlignment="1">
      <alignment horizontal="center" vertical="top" wrapText="1"/>
    </xf>
    <xf numFmtId="0" fontId="49" fillId="7" borderId="0" xfId="5" applyFill="1" applyAlignment="1">
      <alignment vertical="top" wrapText="1"/>
    </xf>
    <xf numFmtId="2" fontId="0" fillId="0" borderId="9" xfId="0" applyNumberFormat="1" applyBorder="1" applyAlignment="1">
      <alignment horizontal="left" vertical="center"/>
    </xf>
    <xf numFmtId="0" fontId="8" fillId="0" borderId="0" xfId="2" applyFont="1" applyFill="1" applyAlignment="1">
      <alignment horizontal="center" vertical="center"/>
    </xf>
    <xf numFmtId="0" fontId="7" fillId="2" borderId="0" xfId="3" quotePrefix="1" applyBorder="1" applyAlignment="1">
      <alignment horizontal="left" vertical="center" wrapText="1" indent="1"/>
    </xf>
    <xf numFmtId="0" fontId="32" fillId="6" borderId="0" xfId="0" applyFont="1" applyFill="1" applyBorder="1" applyAlignment="1">
      <alignment horizontal="center"/>
    </xf>
    <xf numFmtId="0" fontId="0" fillId="0" borderId="10"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6" fillId="2" borderId="2" xfId="1" applyBorder="1" applyAlignment="1">
      <alignment horizontal="center" vertical="center"/>
    </xf>
    <xf numFmtId="0" fontId="6" fillId="2" borderId="0" xfId="1" applyAlignment="1">
      <alignment horizontal="center" vertical="center"/>
    </xf>
    <xf numFmtId="0" fontId="0" fillId="0" borderId="6" xfId="0" applyBorder="1" applyAlignment="1">
      <alignment horizontal="center" vertical="center"/>
    </xf>
    <xf numFmtId="0" fontId="0" fillId="0" borderId="8" xfId="0" applyBorder="1" applyAlignment="1">
      <alignment horizontal="center" vertical="center"/>
    </xf>
    <xf numFmtId="0" fontId="6" fillId="2" borderId="0" xfId="3" quotePrefix="1" applyFont="1" applyBorder="1" applyAlignment="1">
      <alignment horizontal="left" vertical="center" wrapText="1" indent="2"/>
    </xf>
    <xf numFmtId="0" fontId="1" fillId="0" borderId="14" xfId="0" applyFont="1" applyFill="1" applyBorder="1" applyAlignment="1">
      <alignment horizontal="left" vertical="center"/>
    </xf>
    <xf numFmtId="0" fontId="1" fillId="0" borderId="0" xfId="0" applyFont="1" applyFill="1" applyBorder="1" applyAlignment="1">
      <alignment horizontal="left" vertical="center"/>
    </xf>
    <xf numFmtId="0" fontId="33" fillId="5" borderId="0" xfId="0" applyFont="1" applyFill="1" applyBorder="1" applyAlignment="1">
      <alignment horizontal="center" wrapText="1"/>
    </xf>
    <xf numFmtId="0" fontId="18" fillId="0" borderId="0" xfId="2" applyFont="1" applyAlignment="1">
      <alignment horizontal="left" vertical="top" indent="1"/>
    </xf>
    <xf numFmtId="0" fontId="19" fillId="2" borderId="2" xfId="1" applyFont="1" applyBorder="1" applyAlignment="1">
      <alignment horizontal="left" vertical="center" wrapText="1" indent="1" readingOrder="1"/>
    </xf>
    <xf numFmtId="0" fontId="19" fillId="2" borderId="0" xfId="1" applyFont="1" applyAlignment="1">
      <alignment horizontal="left" vertical="center" wrapText="1" indent="1" readingOrder="1"/>
    </xf>
    <xf numFmtId="0" fontId="7" fillId="2" borderId="2" xfId="3" applyFont="1" applyBorder="1" applyAlignment="1">
      <alignment horizontal="left" vertical="center" wrapText="1" indent="1"/>
    </xf>
    <xf numFmtId="0" fontId="7" fillId="2" borderId="0" xfId="3" applyFont="1" applyBorder="1" applyAlignment="1">
      <alignment horizontal="left" vertical="center" wrapText="1" indent="1"/>
    </xf>
    <xf numFmtId="0" fontId="14" fillId="5" borderId="6" xfId="0" applyFont="1" applyFill="1" applyBorder="1" applyAlignment="1">
      <alignment horizontal="center" vertical="center"/>
    </xf>
    <xf numFmtId="0" fontId="14" fillId="5" borderId="7" xfId="0" applyFont="1" applyFill="1" applyBorder="1" applyAlignment="1">
      <alignment horizontal="center" vertical="center"/>
    </xf>
    <xf numFmtId="0" fontId="14" fillId="5" borderId="8" xfId="0" applyFont="1" applyFill="1" applyBorder="1" applyAlignment="1">
      <alignment horizontal="center" vertical="center"/>
    </xf>
    <xf numFmtId="0" fontId="13" fillId="5" borderId="6" xfId="0" applyFont="1" applyFill="1" applyBorder="1" applyAlignment="1">
      <alignment horizontal="center" vertical="center"/>
    </xf>
    <xf numFmtId="0" fontId="13" fillId="5" borderId="7" xfId="0" applyFont="1" applyFill="1" applyBorder="1" applyAlignment="1">
      <alignment horizontal="center" vertical="center"/>
    </xf>
    <xf numFmtId="0" fontId="13" fillId="5" borderId="8" xfId="0" applyFont="1" applyFill="1" applyBorder="1" applyAlignment="1">
      <alignment horizontal="center" vertical="center"/>
    </xf>
    <xf numFmtId="0" fontId="14" fillId="5" borderId="0" xfId="0" applyFont="1" applyFill="1" applyBorder="1" applyAlignment="1">
      <alignment horizontal="center" vertical="center"/>
    </xf>
    <xf numFmtId="0" fontId="14" fillId="5" borderId="10" xfId="0" applyFont="1" applyFill="1" applyBorder="1" applyAlignment="1">
      <alignment horizontal="center" vertical="center" wrapText="1"/>
    </xf>
    <xf numFmtId="0" fontId="22" fillId="5" borderId="0" xfId="0" applyFont="1" applyFill="1" applyBorder="1" applyAlignment="1">
      <alignment horizontal="right" vertical="center"/>
    </xf>
    <xf numFmtId="0" fontId="22" fillId="5" borderId="15" xfId="0" applyFont="1" applyFill="1" applyBorder="1" applyAlignment="1">
      <alignment horizontal="right" vertical="center"/>
    </xf>
    <xf numFmtId="0" fontId="16" fillId="6" borderId="13" xfId="0" applyFont="1" applyFill="1" applyBorder="1" applyAlignment="1">
      <alignment horizontal="center" vertical="center"/>
    </xf>
    <xf numFmtId="0" fontId="12" fillId="4" borderId="12" xfId="0" applyFont="1" applyFill="1" applyBorder="1" applyAlignment="1">
      <alignment horizontal="center" vertical="center"/>
    </xf>
    <xf numFmtId="0" fontId="12" fillId="4" borderId="3" xfId="0" applyFont="1" applyFill="1" applyBorder="1" applyAlignment="1">
      <alignment horizontal="center" vertical="center"/>
    </xf>
    <xf numFmtId="0" fontId="7" fillId="2" borderId="2" xfId="3" applyFont="1" applyBorder="1" applyAlignment="1">
      <alignment horizontal="left" vertical="center" wrapText="1" indent="2"/>
    </xf>
    <xf numFmtId="0" fontId="7" fillId="2" borderId="0" xfId="3" applyFont="1" applyBorder="1" applyAlignment="1">
      <alignment horizontal="left" vertical="center" wrapText="1" indent="2"/>
    </xf>
    <xf numFmtId="0" fontId="7" fillId="2" borderId="0" xfId="1" applyFont="1" applyAlignment="1">
      <alignment horizontal="left" vertical="center" wrapText="1" indent="2"/>
    </xf>
    <xf numFmtId="0" fontId="0" fillId="5" borderId="0" xfId="0" applyFill="1" applyAlignment="1">
      <alignment horizontal="center" vertical="center"/>
    </xf>
    <xf numFmtId="0" fontId="6" fillId="2" borderId="2" xfId="3" applyFont="1" applyBorder="1" applyAlignment="1">
      <alignment horizontal="left" vertical="center" indent="2"/>
    </xf>
    <xf numFmtId="0" fontId="6" fillId="2" borderId="0" xfId="3" applyFont="1" applyBorder="1" applyAlignment="1">
      <alignment horizontal="left" vertical="center" indent="2"/>
    </xf>
    <xf numFmtId="0" fontId="10" fillId="4" borderId="0" xfId="0" applyFont="1" applyFill="1" applyBorder="1" applyAlignment="1">
      <alignment horizontal="center" vertical="center"/>
    </xf>
    <xf numFmtId="0" fontId="0" fillId="0" borderId="4" xfId="0" applyBorder="1" applyAlignment="1">
      <alignment horizontal="left" vertical="center" indent="2"/>
    </xf>
    <xf numFmtId="0" fontId="3" fillId="0" borderId="0" xfId="2" applyFont="1" applyAlignment="1">
      <alignment horizontal="left" vertical="top" indent="1"/>
    </xf>
    <xf numFmtId="0" fontId="0" fillId="0" borderId="9" xfId="0" applyBorder="1" applyAlignment="1">
      <alignment horizontal="left"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1" xfId="0" applyFill="1" applyBorder="1" applyAlignment="1">
      <alignment horizontal="center" vertical="center" wrapText="1"/>
    </xf>
    <xf numFmtId="0" fontId="46" fillId="7" borderId="0" xfId="0" applyFont="1" applyFill="1" applyAlignment="1">
      <alignment vertical="center" wrapText="1"/>
    </xf>
    <xf numFmtId="0" fontId="47" fillId="7" borderId="0" xfId="0" applyFont="1" applyFill="1" applyAlignment="1">
      <alignment vertical="center" wrapText="1"/>
    </xf>
    <xf numFmtId="0" fontId="0" fillId="5" borderId="0" xfId="0" applyFill="1" applyBorder="1" applyAlignment="1">
      <alignment horizontal="left" vertical="center"/>
    </xf>
    <xf numFmtId="0" fontId="13" fillId="5" borderId="0" xfId="0" applyFont="1" applyFill="1" applyAlignment="1">
      <alignment horizontal="left" vertical="center" wrapText="1"/>
    </xf>
    <xf numFmtId="0" fontId="0" fillId="5" borderId="9" xfId="0" applyFill="1" applyBorder="1" applyAlignment="1">
      <alignment horizontal="left" vertical="top" wrapText="1"/>
    </xf>
    <xf numFmtId="0" fontId="0" fillId="5" borderId="0" xfId="0" applyFill="1" applyBorder="1" applyAlignment="1">
      <alignment horizontal="left" vertical="top" wrapText="1"/>
    </xf>
    <xf numFmtId="0" fontId="0" fillId="5" borderId="11" xfId="0" applyFill="1" applyBorder="1" applyAlignment="1">
      <alignment horizontal="left" vertical="top" wrapText="1"/>
    </xf>
    <xf numFmtId="0" fontId="7" fillId="2" borderId="2" xfId="1" applyFont="1" applyBorder="1" applyAlignment="1">
      <alignment horizontal="left" vertical="center" wrapText="1" indent="2"/>
    </xf>
    <xf numFmtId="0" fontId="7" fillId="2" borderId="0" xfId="1" applyFont="1" applyBorder="1" applyAlignment="1">
      <alignment horizontal="left" vertical="center" wrapText="1" indent="2"/>
    </xf>
    <xf numFmtId="0" fontId="0" fillId="5" borderId="9" xfId="0" applyFill="1" applyBorder="1" applyAlignment="1">
      <alignment horizontal="center" vertical="top" wrapText="1"/>
    </xf>
    <xf numFmtId="0" fontId="0" fillId="5" borderId="0" xfId="0" applyFill="1" applyBorder="1" applyAlignment="1">
      <alignment horizontal="center" vertical="top" wrapText="1"/>
    </xf>
    <xf numFmtId="0" fontId="0" fillId="5" borderId="11" xfId="0" applyFill="1" applyBorder="1" applyAlignment="1">
      <alignment horizontal="center" vertical="top" wrapText="1"/>
    </xf>
    <xf numFmtId="0" fontId="0" fillId="5" borderId="0" xfId="0" applyFill="1" applyAlignment="1">
      <alignment horizontal="center" vertical="top" wrapText="1"/>
    </xf>
    <xf numFmtId="0" fontId="38" fillId="5" borderId="0" xfId="0" applyFont="1" applyFill="1" applyAlignment="1">
      <alignment horizontal="center" vertical="center"/>
    </xf>
    <xf numFmtId="0" fontId="0" fillId="5" borderId="9" xfId="0" applyFill="1" applyBorder="1" applyAlignment="1">
      <alignment vertical="top" wrapText="1"/>
    </xf>
    <xf numFmtId="0" fontId="0" fillId="5" borderId="0" xfId="0" applyFill="1" applyBorder="1" applyAlignment="1">
      <alignment vertical="top" wrapText="1"/>
    </xf>
    <xf numFmtId="0" fontId="0" fillId="5" borderId="11" xfId="0" applyFill="1" applyBorder="1" applyAlignment="1">
      <alignment vertical="top" wrapText="1"/>
    </xf>
    <xf numFmtId="0" fontId="0" fillId="5" borderId="9" xfId="0" applyFill="1" applyBorder="1" applyAlignment="1">
      <alignment horizontal="left" vertical="top"/>
    </xf>
    <xf numFmtId="0" fontId="0" fillId="5" borderId="0" xfId="0" applyFill="1" applyBorder="1" applyAlignment="1">
      <alignment horizontal="left" vertical="top"/>
    </xf>
    <xf numFmtId="0" fontId="0" fillId="5" borderId="11" xfId="0" applyFill="1" applyBorder="1" applyAlignment="1">
      <alignment horizontal="left" vertical="top"/>
    </xf>
    <xf numFmtId="0" fontId="0" fillId="5" borderId="10" xfId="0" applyFill="1" applyBorder="1" applyAlignment="1">
      <alignment horizontal="left" vertical="top" wrapText="1"/>
    </xf>
    <xf numFmtId="0" fontId="0" fillId="5" borderId="10" xfId="0" applyFill="1" applyBorder="1" applyAlignment="1">
      <alignment horizontal="center" vertical="top"/>
    </xf>
    <xf numFmtId="0" fontId="44" fillId="2" borderId="2" xfId="1" applyFont="1" applyBorder="1" applyAlignment="1">
      <alignment horizontal="left" vertical="center" wrapText="1" indent="2"/>
    </xf>
    <xf numFmtId="0" fontId="44" fillId="2" borderId="0" xfId="1" applyFont="1" applyAlignment="1">
      <alignment horizontal="left" vertical="center" wrapText="1" indent="2"/>
    </xf>
    <xf numFmtId="0" fontId="42" fillId="5" borderId="0" xfId="0" applyFont="1" applyFill="1" applyAlignment="1">
      <alignment horizontal="right" vertical="center" wrapText="1"/>
    </xf>
    <xf numFmtId="0" fontId="14" fillId="5" borderId="0" xfId="0" applyFont="1" applyFill="1" applyBorder="1" applyAlignment="1">
      <alignment horizontal="center" vertical="center" wrapText="1"/>
    </xf>
    <xf numFmtId="0" fontId="6" fillId="2" borderId="0" xfId="1" applyFont="1" applyAlignment="1">
      <alignment horizontal="center" vertical="center"/>
    </xf>
    <xf numFmtId="0" fontId="50" fillId="0" borderId="0" xfId="0" applyFont="1" applyFill="1" applyAlignment="1">
      <alignment horizontal="center" vertical="center"/>
    </xf>
    <xf numFmtId="0" fontId="14" fillId="0" borderId="10" xfId="0" applyFont="1" applyFill="1" applyBorder="1" applyAlignment="1">
      <alignment vertical="top" wrapText="1"/>
    </xf>
    <xf numFmtId="0" fontId="14" fillId="0" borderId="0" xfId="0" applyFont="1" applyAlignment="1">
      <alignment horizontal="left" vertical="center" indent="10"/>
    </xf>
    <xf numFmtId="0" fontId="14" fillId="0" borderId="0" xfId="0" applyFont="1" applyAlignment="1">
      <alignment horizontal="left" vertical="center" indent="29"/>
    </xf>
  </cellXfs>
  <cellStyles count="6">
    <cellStyle name="Dekorfärg3" xfId="4" builtinId="37"/>
    <cellStyle name="Hyperlänk" xfId="5" builtinId="8"/>
    <cellStyle name="Normal" xfId="0" builtinId="0" customBuiltin="1"/>
    <cellStyle name="Rubrik" xfId="1" builtinId="15" customBuiltin="1"/>
    <cellStyle name="Rubrik 1" xfId="3" builtinId="16" customBuiltin="1"/>
    <cellStyle name="Rubrik 4" xfId="2" builtinId="19"/>
  </cellStyles>
  <dxfs count="95">
    <dxf>
      <alignment horizontal="center" vertical="center" textRotation="0" wrapText="0" indent="0" justifyLastLine="0" shrinkToFit="0" readingOrder="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0" formatCode="General"/>
      <fill>
        <patternFill>
          <bgColor theme="0"/>
        </patternFill>
      </fill>
    </dxf>
    <dxf>
      <numFmt numFmtId="0" formatCode="General"/>
      <fill>
        <patternFill>
          <bgColor theme="0"/>
        </patternFill>
      </fill>
    </dxf>
    <dxf>
      <numFmt numFmtId="0" formatCode="General"/>
      <fill>
        <patternFill>
          <bgColor theme="0"/>
        </patternFill>
      </fill>
    </dxf>
    <dxf>
      <fill>
        <patternFill>
          <bgColor theme="0"/>
        </patternFill>
      </fill>
    </dxf>
    <dxf>
      <font>
        <b val="0"/>
        <i val="0"/>
        <strike val="0"/>
        <condense val="0"/>
        <extend val="0"/>
        <outline val="0"/>
        <shadow val="0"/>
        <u val="none"/>
        <vertAlign val="baseline"/>
        <sz val="10"/>
        <color theme="0"/>
        <name val="Bookman Old Style"/>
        <scheme val="major"/>
      </font>
      <fill>
        <patternFill patternType="solid">
          <fgColor theme="6"/>
          <bgColor theme="0"/>
        </patternFill>
      </fill>
    </dxf>
    <dxf>
      <fill>
        <patternFill>
          <bgColor theme="8" tint="-0.249977111117893"/>
        </patternFill>
      </fill>
    </dxf>
    <dxf>
      <font>
        <color theme="0"/>
      </font>
    </dxf>
    <dxf>
      <fill>
        <patternFill>
          <bgColor rgb="FFFFC000"/>
        </patternFill>
      </fill>
    </dxf>
    <dxf>
      <font>
        <color theme="1"/>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center" vertical="center" textRotation="0" wrapText="0" indent="0" justifyLastLine="0" shrinkToFit="0" readingOrder="0"/>
    </dxf>
    <dxf>
      <alignment horizontal="left" vertical="center" textRotation="0" wrapText="0" indent="1"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alignment horizontal="left" vertical="bottom"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font>
        <strike val="0"/>
        <outline val="0"/>
        <shadow val="0"/>
        <u val="none"/>
        <vertAlign val="baseline"/>
        <sz val="10"/>
        <color theme="1" tint="0.24994659260841701"/>
        <name val="Marlett"/>
        <scheme val="none"/>
      </font>
      <alignment horizontal="left" vertical="center" textRotation="0" wrapText="0" indent="3" justifyLastLine="0" shrinkToFit="0" readingOrder="0"/>
    </dxf>
    <dxf>
      <alignment horizontal="left" vertical="center" textRotation="0" wrapText="0" indent="3" justifyLastLine="0" shrinkToFit="0" readingOrder="0"/>
    </dxf>
    <dxf>
      <alignment horizontal="left" vertical="center" textRotation="0" wrapText="0" indent="3" justifyLastLine="0" shrinkToFit="0" readingOrder="0"/>
    </dxf>
    <dxf>
      <alignment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border outline="0">
        <top style="thin">
          <color theme="8" tint="0.39997558519241921"/>
        </top>
      </border>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Franklin Gothic Medium"/>
        <scheme val="minor"/>
      </font>
      <fill>
        <patternFill patternType="none">
          <fgColor indexed="64"/>
          <bgColor auto="1"/>
        </patternFill>
      </fill>
      <alignment vertical="center" textRotation="0" wrapText="0" indent="0" justifyLastLine="0" shrinkToFit="0" readingOrder="0"/>
    </dxf>
    <dxf>
      <fill>
        <patternFill>
          <bgColor theme="0" tint="-4.9989318521683403E-2"/>
        </patternFill>
      </fill>
    </dxf>
    <dxf>
      <font>
        <color theme="0"/>
      </font>
      <fill>
        <patternFill>
          <bgColor theme="6" tint="-0.499984740745262"/>
        </patternFill>
      </fill>
    </dxf>
    <dxf>
      <font>
        <color theme="0"/>
      </font>
      <fill>
        <patternFill>
          <bgColor theme="6" tint="-0.499984740745262"/>
        </patternFill>
      </fill>
    </dxf>
    <dxf>
      <font>
        <b/>
        <i val="0"/>
        <color theme="1" tint="0.24994659260841701"/>
      </font>
    </dxf>
    <dxf>
      <font>
        <b val="0"/>
        <i val="0"/>
      </font>
      <border diagonalUp="0" diagonalDown="0">
        <left/>
        <right/>
        <top/>
        <bottom/>
        <vertical/>
        <horizontal/>
      </border>
    </dxf>
    <dxf>
      <border>
        <horizontal style="thin">
          <color theme="6" tint="-0.499984740745262"/>
        </horizontal>
      </border>
    </dxf>
    <dxf>
      <fill>
        <patternFill>
          <bgColor theme="0" tint="-4.9989318521683403E-2"/>
        </patternFill>
      </fill>
      <border diagonalUp="0" diagonalDown="0">
        <left/>
        <right/>
        <top/>
        <bottom/>
        <vertical/>
        <horizontal/>
      </border>
    </dxf>
    <dxf>
      <font>
        <color theme="0"/>
      </font>
      <fill>
        <patternFill patternType="solid">
          <fgColor theme="6"/>
          <bgColor theme="6" tint="-0.499984740745262"/>
        </patternFill>
      </fill>
    </dxf>
    <dxf>
      <font>
        <color theme="1"/>
      </font>
      <border diagonalUp="0" diagonalDown="0">
        <left/>
        <right/>
        <top/>
        <bottom/>
        <vertical/>
        <horizontal/>
      </border>
    </dxf>
  </dxfs>
  <tableStyles count="3" defaultTableStyle="Course Listing" defaultPivotStyle="Semester Summary">
    <tableStyle name="Course Listing" pivot="0" count="3">
      <tableStyleElement type="wholeTable" dxfId="94"/>
      <tableStyleElement type="headerRow" dxfId="93"/>
      <tableStyleElement type="secondRowStripe" dxfId="92"/>
    </tableStyle>
    <tableStyle name="Credit Requirements Summary" pivot="0" count="3">
      <tableStyleElement type="wholeTable" dxfId="91"/>
      <tableStyleElement type="headerRow" dxfId="90"/>
      <tableStyleElement type="totalRow" dxfId="89"/>
    </tableStyle>
    <tableStyle name="Semester Summary" table="0" count="3">
      <tableStyleElement type="headerRow" dxfId="88"/>
      <tableStyleElement type="totalRow" dxfId="87"/>
      <tableStyleElement type="secondRowStripe" dxfId="86"/>
    </tableStyle>
  </tableStyles>
  <colors>
    <mruColors>
      <color rgb="FF99CC00"/>
      <color rgb="FF99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powerPivotData" Target="model/item.data"/><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r>
              <a:rPr lang="en-US" sz="1100">
                <a:solidFill>
                  <a:schemeClr val="tx1">
                    <a:lumMod val="75000"/>
                    <a:lumOff val="25000"/>
                  </a:schemeClr>
                </a:solidFill>
              </a:rPr>
              <a:t>SAMMANFATTNING AV TERMINER</a:t>
            </a:r>
          </a:p>
        </c:rich>
      </c:tx>
      <c:layout>
        <c:manualLayout>
          <c:xMode val="edge"/>
          <c:yMode val="edge"/>
          <c:x val="8.3098968145244884E-3"/>
          <c:y val="3.5650623885918005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Sammanställning!$M$22</c:f>
              <c:strCache>
                <c:ptCount val="1"/>
                <c:pt idx="0">
                  <c:v>Högskolepoäng</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Sammanställning!$Q$23:$Q$32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Sammanställning!$M$23:$M$32</c:f>
              <c:numCache>
                <c:formatCode>General</c:formatCode>
                <c:ptCount val="10"/>
                <c:pt idx="0">
                  <c:v>30</c:v>
                </c:pt>
                <c:pt idx="1">
                  <c:v>30</c:v>
                </c:pt>
                <c:pt idx="2">
                  <c:v>30</c:v>
                </c:pt>
                <c:pt idx="3">
                  <c:v>26</c:v>
                </c:pt>
                <c:pt idx="4">
                  <c:v>30</c:v>
                </c:pt>
                <c:pt idx="5">
                  <c:v>30</c:v>
                </c:pt>
                <c:pt idx="6">
                  <c:v>18</c:v>
                </c:pt>
                <c:pt idx="7">
                  <c:v>18</c:v>
                </c:pt>
                <c:pt idx="8">
                  <c:v>0</c:v>
                </c:pt>
                <c:pt idx="9">
                  <c:v>0</c:v>
                </c:pt>
              </c:numCache>
            </c:numRef>
          </c:val>
        </c:ser>
        <c:ser>
          <c:idx val="1"/>
          <c:order val="1"/>
          <c:tx>
            <c:strRef>
              <c:f>Sammanställning!$L$22</c:f>
              <c:strCache>
                <c:ptCount val="1"/>
                <c:pt idx="0">
                  <c:v>Antal kurser</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Sammanställning!$Q$23:$Q$32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Sammanställning!$L$23:$L$32</c:f>
              <c:numCache>
                <c:formatCode>General</c:formatCode>
                <c:ptCount val="10"/>
                <c:pt idx="0">
                  <c:v>4</c:v>
                </c:pt>
                <c:pt idx="1">
                  <c:v>5</c:v>
                </c:pt>
                <c:pt idx="2">
                  <c:v>5</c:v>
                </c:pt>
                <c:pt idx="3">
                  <c:v>5</c:v>
                </c:pt>
                <c:pt idx="4">
                  <c:v>6</c:v>
                </c:pt>
                <c:pt idx="5">
                  <c:v>3</c:v>
                </c:pt>
                <c:pt idx="6">
                  <c:v>3</c:v>
                </c:pt>
                <c:pt idx="7">
                  <c:v>2</c:v>
                </c:pt>
                <c:pt idx="8">
                  <c:v>0</c:v>
                </c:pt>
                <c:pt idx="9">
                  <c:v>0</c:v>
                </c:pt>
              </c:numCache>
            </c:numRef>
          </c:val>
        </c:ser>
        <c:dLbls>
          <c:dLblPos val="outEnd"/>
          <c:showLegendKey val="0"/>
          <c:showVal val="1"/>
          <c:showCatName val="0"/>
          <c:showSerName val="0"/>
          <c:showPercent val="0"/>
          <c:showBubbleSize val="0"/>
        </c:dLbls>
        <c:gapWidth val="150"/>
        <c:overlap val="-45"/>
        <c:axId val="211851392"/>
        <c:axId val="211854136"/>
      </c:barChart>
      <c:catAx>
        <c:axId val="211851392"/>
        <c:scaling>
          <c:orientation val="maxMin"/>
        </c:scaling>
        <c:delete val="0"/>
        <c:axPos val="l"/>
        <c:majorGridlines>
          <c:spPr>
            <a:ln w="9525" cap="flat" cmpd="sng" algn="ctr">
              <a:solidFill>
                <a:schemeClr val="accent3">
                  <a:lumMod val="50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854136"/>
        <c:crosses val="autoZero"/>
        <c:auto val="1"/>
        <c:lblAlgn val="ctr"/>
        <c:lblOffset val="100"/>
        <c:noMultiLvlLbl val="0"/>
      </c:catAx>
      <c:valAx>
        <c:axId val="211854136"/>
        <c:scaling>
          <c:orientation val="minMax"/>
        </c:scaling>
        <c:delete val="1"/>
        <c:axPos val="t"/>
        <c:numFmt formatCode="General" sourceLinked="1"/>
        <c:majorTickMark val="none"/>
        <c:minorTickMark val="none"/>
        <c:tickLblPos val="nextTo"/>
        <c:crossAx val="211851392"/>
        <c:crosses val="autoZero"/>
        <c:crossBetween val="between"/>
      </c:valAx>
      <c:spPr>
        <a:noFill/>
        <a:ln>
          <a:noFill/>
        </a:ln>
        <a:effectLst/>
      </c:spPr>
    </c:plotArea>
    <c:legend>
      <c:legendPos val="r"/>
      <c:layout>
        <c:manualLayout>
          <c:xMode val="edge"/>
          <c:yMode val="edge"/>
          <c:x val="0.83523686588356783"/>
          <c:y val="0.21693081713954399"/>
          <c:w val="0.16268563203793074"/>
          <c:h val="0.1955386270859309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a:outerShdw blurRad="50800" dist="50800" dir="5400000" algn="ctr" rotWithShape="0">
        <a:srgbClr val="000000">
          <a:alpha val="0"/>
        </a:srgbClr>
      </a:outerShdw>
    </a:effectLst>
  </c:spPr>
  <c:txPr>
    <a:bodyPr/>
    <a:lstStyle/>
    <a:p>
      <a:pPr>
        <a:defRPr/>
      </a:pPr>
      <a:endParaRPr lang="en-US"/>
    </a:p>
  </c:txPr>
  <c:printSettings>
    <c:headerFooter/>
    <c:pageMargins b="0.75" l="0.7" r="0.7" t="0.75" header="0.3" footer="0.3"/>
    <c:pageSetup/>
  </c:printSettings>
  <c:userShapes r:id="rId3"/>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16" fmlaRange="'Program och examenskrav'!$E$6:$G$14" noThreeD="1" sel="4" val="0"/>
</file>

<file path=xl/ctrlProps/ctrlProp2.xml><?xml version="1.0" encoding="utf-8"?>
<formControlPr xmlns="http://schemas.microsoft.com/office/spreadsheetml/2009/9/main" objectType="Drop" dropStyle="combo" dx="16" fmlaRange="DynamicSpecRange" noThreeD="1" sel="1" val="2"/>
</file>

<file path=xl/ctrlProps/ctrlProp3.xml><?xml version="1.0" encoding="utf-8"?>
<formControlPr xmlns="http://schemas.microsoft.com/office/spreadsheetml/2009/9/main" objectType="Drop" dropStyle="combo" dx="16" fmlaRange="DynamicSpecRange" noThreeD="1" sel="1" val="0"/>
</file>

<file path=xl/ctrlProps/ctrlProp4.xml><?xml version="1.0" encoding="utf-8"?>
<formControlPr xmlns="http://schemas.microsoft.com/office/spreadsheetml/2009/9/main" objectType="Drop" dropStyle="combo" dx="16" fmlaRange="Konstanter!$D$6:$D$13" noThreeD="1" sel="8" val="0"/>
</file>

<file path=xl/ctrlProps/ctrlProp5.xml><?xml version="1.0" encoding="utf-8"?>
<formControlPr xmlns="http://schemas.microsoft.com/office/spreadsheetml/2009/9/main" objectType="Drop" dropStyle="combo" dx="16" fmlaRange="'Program och examenskrav'!$E$6:$G$14" noThreeD="1" sel="4" val="0"/>
</file>

<file path=xl/ctrlProps/ctrlProp6.xml><?xml version="1.0" encoding="utf-8"?>
<formControlPr xmlns="http://schemas.microsoft.com/office/spreadsheetml/2009/9/main" objectType="Drop" dropStyle="combo" dx="16" fmlaRange="'Program och examenskrav'!$E$6:$G$14" noThreeD="1" sel="7" val="0"/>
</file>

<file path=xl/ctrlProps/ctrlProp7.xml><?xml version="1.0" encoding="utf-8"?>
<formControlPr xmlns="http://schemas.microsoft.com/office/spreadsheetml/2009/9/main" objectType="Radio" checked="Checked" firstButton="1" lockText="1" noThreeD="1"/>
</file>

<file path=xl/ctrlProps/ctrlProp8.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10</xdr:col>
      <xdr:colOff>184</xdr:colOff>
      <xdr:row>5</xdr:row>
      <xdr:rowOff>323849</xdr:rowOff>
    </xdr:from>
    <xdr:to>
      <xdr:col>15</xdr:col>
      <xdr:colOff>0</xdr:colOff>
      <xdr:row>5</xdr:row>
      <xdr:rowOff>323849</xdr:rowOff>
    </xdr:to>
    <xdr:cxnSp macro="">
      <xdr:nvCxnSpPr>
        <xdr:cNvPr id="8" name="Kantlinje" descr="&quot;&quot;" title="Kantlinje"/>
        <xdr:cNvCxnSpPr/>
      </xdr:nvCxnSpPr>
      <xdr:spPr>
        <a:xfrm>
          <a:off x="3963010" y="1255024"/>
          <a:ext cx="5760720"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6</xdr:row>
      <xdr:rowOff>0</xdr:rowOff>
    </xdr:from>
    <xdr:to>
      <xdr:col>9</xdr:col>
      <xdr:colOff>0</xdr:colOff>
      <xdr:row>6</xdr:row>
      <xdr:rowOff>0</xdr:rowOff>
    </xdr:to>
    <xdr:cxnSp macro="">
      <xdr:nvCxnSpPr>
        <xdr:cNvPr id="4" name="Kantlinje" descr="&quot;&quot;" title="Kantlinje"/>
        <xdr:cNvCxnSpPr/>
      </xdr:nvCxnSpPr>
      <xdr:spPr>
        <a:xfrm>
          <a:off x="685800" y="1562100"/>
          <a:ext cx="5714816"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371475</xdr:colOff>
      <xdr:row>22</xdr:row>
      <xdr:rowOff>66675</xdr:rowOff>
    </xdr:from>
    <xdr:to>
      <xdr:col>15</xdr:col>
      <xdr:colOff>361950</xdr:colOff>
      <xdr:row>22</xdr:row>
      <xdr:rowOff>66675</xdr:rowOff>
    </xdr:to>
    <xdr:cxnSp macro="">
      <xdr:nvCxnSpPr>
        <xdr:cNvPr id="7" name="Kantlinje" descr="&quot;&quot;" title="Kantlinje"/>
        <xdr:cNvCxnSpPr/>
      </xdr:nvCxnSpPr>
      <xdr:spPr>
        <a:xfrm>
          <a:off x="8848725" y="6962775"/>
          <a:ext cx="6534150"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571500</xdr:colOff>
      <xdr:row>21</xdr:row>
      <xdr:rowOff>57150</xdr:rowOff>
    </xdr:from>
    <xdr:to>
      <xdr:col>10</xdr:col>
      <xdr:colOff>200025</xdr:colOff>
      <xdr:row>32</xdr:row>
      <xdr:rowOff>152400</xdr:rowOff>
    </xdr:to>
    <xdr:graphicFrame macro="">
      <xdr:nvGraphicFramePr>
        <xdr:cNvPr id="11" name="Terminssammanfattning" descr="Stapeldiagram över poäng totalt och klasser för varje termin." title="Terminssammanfattnin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614368</xdr:colOff>
      <xdr:row>26</xdr:row>
      <xdr:rowOff>8337</xdr:rowOff>
    </xdr:from>
    <xdr:to>
      <xdr:col>15</xdr:col>
      <xdr:colOff>11724</xdr:colOff>
      <xdr:row>26</xdr:row>
      <xdr:rowOff>8337</xdr:rowOff>
    </xdr:to>
    <xdr:cxnSp macro="">
      <xdr:nvCxnSpPr>
        <xdr:cNvPr id="34" name="Kantlinje" descr="&quot;&quot;" title="Kantlinje"/>
        <xdr:cNvCxnSpPr/>
      </xdr:nvCxnSpPr>
      <xdr:spPr>
        <a:xfrm>
          <a:off x="9091618" y="831413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24</xdr:row>
      <xdr:rowOff>8337</xdr:rowOff>
    </xdr:from>
    <xdr:to>
      <xdr:col>15</xdr:col>
      <xdr:colOff>40299</xdr:colOff>
      <xdr:row>24</xdr:row>
      <xdr:rowOff>8337</xdr:rowOff>
    </xdr:to>
    <xdr:cxnSp macro="">
      <xdr:nvCxnSpPr>
        <xdr:cNvPr id="35" name="Kantlinje" descr="&quot;&quot;" title="Kantlinje"/>
        <xdr:cNvCxnSpPr/>
      </xdr:nvCxnSpPr>
      <xdr:spPr>
        <a:xfrm>
          <a:off x="9120193" y="760928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28</xdr:row>
      <xdr:rowOff>8336</xdr:rowOff>
    </xdr:from>
    <xdr:to>
      <xdr:col>15</xdr:col>
      <xdr:colOff>40299</xdr:colOff>
      <xdr:row>28</xdr:row>
      <xdr:rowOff>8336</xdr:rowOff>
    </xdr:to>
    <xdr:cxnSp macro="">
      <xdr:nvCxnSpPr>
        <xdr:cNvPr id="36" name="Kantlinje" descr="&quot;&quot;" title="Kantlinje"/>
        <xdr:cNvCxnSpPr/>
      </xdr:nvCxnSpPr>
      <xdr:spPr>
        <a:xfrm>
          <a:off x="9120193" y="901898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30</xdr:row>
      <xdr:rowOff>8336</xdr:rowOff>
    </xdr:from>
    <xdr:to>
      <xdr:col>15</xdr:col>
      <xdr:colOff>40299</xdr:colOff>
      <xdr:row>30</xdr:row>
      <xdr:rowOff>8336</xdr:rowOff>
    </xdr:to>
    <xdr:cxnSp macro="">
      <xdr:nvCxnSpPr>
        <xdr:cNvPr id="37" name="Kantlinje" descr="&quot;&quot;" title="Kantlinje"/>
        <xdr:cNvCxnSpPr/>
      </xdr:nvCxnSpPr>
      <xdr:spPr>
        <a:xfrm>
          <a:off x="9120193" y="972383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32</xdr:row>
      <xdr:rowOff>8023</xdr:rowOff>
    </xdr:from>
    <xdr:to>
      <xdr:col>15</xdr:col>
      <xdr:colOff>40299</xdr:colOff>
      <xdr:row>32</xdr:row>
      <xdr:rowOff>8023</xdr:rowOff>
    </xdr:to>
    <xdr:cxnSp macro="">
      <xdr:nvCxnSpPr>
        <xdr:cNvPr id="38" name="Kantlinje" descr="&quot;&quot;" title="Kantlinje"/>
        <xdr:cNvCxnSpPr/>
      </xdr:nvCxnSpPr>
      <xdr:spPr>
        <a:xfrm>
          <a:off x="9120193" y="10428373"/>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c:userShapes xmlns:c="http://schemas.openxmlformats.org/drawingml/2006/chart">
  <cdr:relSizeAnchor xmlns:cdr="http://schemas.openxmlformats.org/drawingml/2006/chartDrawing">
    <cdr:from>
      <cdr:x>0.01216</cdr:x>
      <cdr:y>0.10196</cdr:y>
    </cdr:from>
    <cdr:to>
      <cdr:x>0.87231</cdr:x>
      <cdr:y>0.10207</cdr:y>
    </cdr:to>
    <cdr:cxnSp macro="">
      <cdr:nvCxnSpPr>
        <cdr:cNvPr id="2" name="Straight Connector 1" descr="&quot;&quot;" title="Border"/>
        <cdr:cNvCxnSpPr/>
      </cdr:nvCxnSpPr>
      <cdr:spPr>
        <a:xfrm xmlns:a="http://schemas.openxmlformats.org/drawingml/2006/main">
          <a:off x="86202" y="311739"/>
          <a:ext cx="6095523" cy="334"/>
        </a:xfrm>
        <a:prstGeom xmlns:a="http://schemas.openxmlformats.org/drawingml/2006/main" prst="line">
          <a:avLst/>
        </a:prstGeom>
        <a:ln xmlns:a="http://schemas.openxmlformats.org/drawingml/2006/main" w="28575">
          <a:solidFill>
            <a:schemeClr val="accent3">
              <a:lumMod val="5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1914525</xdr:colOff>
          <xdr:row>5</xdr:row>
          <xdr:rowOff>19050</xdr:rowOff>
        </xdr:from>
        <xdr:to>
          <xdr:col>3</xdr:col>
          <xdr:colOff>66675</xdr:colOff>
          <xdr:row>5</xdr:row>
          <xdr:rowOff>323850</xdr:rowOff>
        </xdr:to>
        <xdr:sp macro="" textlink="">
          <xdr:nvSpPr>
            <xdr:cNvPr id="4098" name="Drop Dow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6</xdr:row>
          <xdr:rowOff>19050</xdr:rowOff>
        </xdr:from>
        <xdr:to>
          <xdr:col>3</xdr:col>
          <xdr:colOff>66675</xdr:colOff>
          <xdr:row>6</xdr:row>
          <xdr:rowOff>323850</xdr:rowOff>
        </xdr:to>
        <xdr:sp macro="" textlink="">
          <xdr:nvSpPr>
            <xdr:cNvPr id="4099" name="Drop Down 3"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7</xdr:row>
          <xdr:rowOff>38100</xdr:rowOff>
        </xdr:from>
        <xdr:to>
          <xdr:col>3</xdr:col>
          <xdr:colOff>66675</xdr:colOff>
          <xdr:row>8</xdr:row>
          <xdr:rowOff>9525</xdr:rowOff>
        </xdr:to>
        <xdr:sp macro="" textlink="">
          <xdr:nvSpPr>
            <xdr:cNvPr id="4100" name="Drop Down 4" hidden="1">
              <a:extLst>
                <a:ext uri="{63B3BB69-23CF-44E3-9099-C40C66FF867C}">
                  <a14:compatExt spid="_x0000_s4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4</xdr:row>
          <xdr:rowOff>28575</xdr:rowOff>
        </xdr:from>
        <xdr:to>
          <xdr:col>3</xdr:col>
          <xdr:colOff>66675</xdr:colOff>
          <xdr:row>5</xdr:row>
          <xdr:rowOff>0</xdr:rowOff>
        </xdr:to>
        <xdr:sp macro="" textlink="">
          <xdr:nvSpPr>
            <xdr:cNvPr id="4101" name="Drop Down 5" hidden="1">
              <a:extLst>
                <a:ext uri="{63B3BB69-23CF-44E3-9099-C40C66FF867C}">
                  <a14:compatExt spid="_x0000_s4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xdr:colOff>
          <xdr:row>6</xdr:row>
          <xdr:rowOff>28575</xdr:rowOff>
        </xdr:from>
        <xdr:to>
          <xdr:col>10</xdr:col>
          <xdr:colOff>190500</xdr:colOff>
          <xdr:row>6</xdr:row>
          <xdr:rowOff>304800</xdr:rowOff>
        </xdr:to>
        <xdr:sp macro="" textlink="">
          <xdr:nvSpPr>
            <xdr:cNvPr id="4103" name="CommandButton1" hidden="1">
              <a:extLst>
                <a:ext uri="{63B3BB69-23CF-44E3-9099-C40C66FF867C}">
                  <a14:compatExt spid="_x0000_s41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6</xdr:row>
          <xdr:rowOff>66675</xdr:rowOff>
        </xdr:from>
        <xdr:to>
          <xdr:col>0</xdr:col>
          <xdr:colOff>3019425</xdr:colOff>
          <xdr:row>8</xdr:row>
          <xdr:rowOff>114300</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3076575</xdr:colOff>
          <xdr:row>6</xdr:row>
          <xdr:rowOff>171450</xdr:rowOff>
        </xdr:from>
        <xdr:to>
          <xdr:col>3</xdr:col>
          <xdr:colOff>1266825</xdr:colOff>
          <xdr:row>8</xdr:row>
          <xdr:rowOff>19050</xdr:rowOff>
        </xdr:to>
        <xdr:sp macro="" textlink="">
          <xdr:nvSpPr>
            <xdr:cNvPr id="3086" name="Drop Down 14" hidden="1">
              <a:extLst>
                <a:ext uri="{63B3BB69-23CF-44E3-9099-C40C66FF867C}">
                  <a14:compatExt spid="_x0000_s3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19050</xdr:rowOff>
        </xdr:from>
        <xdr:to>
          <xdr:col>3</xdr:col>
          <xdr:colOff>57150</xdr:colOff>
          <xdr:row>7</xdr:row>
          <xdr:rowOff>57150</xdr:rowOff>
        </xdr:to>
        <xdr:sp macro="" textlink="">
          <xdr:nvSpPr>
            <xdr:cNvPr id="5127" name="CommandButton1" hidden="1">
              <a:extLst>
                <a:ext uri="{63B3BB69-23CF-44E3-9099-C40C66FF867C}">
                  <a14:compatExt spid="_x0000_s51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1095375</xdr:colOff>
          <xdr:row>21</xdr:row>
          <xdr:rowOff>85725</xdr:rowOff>
        </xdr:from>
        <xdr:to>
          <xdr:col>1</xdr:col>
          <xdr:colOff>1323975</xdr:colOff>
          <xdr:row>21</xdr:row>
          <xdr:rowOff>390525</xdr:rowOff>
        </xdr:to>
        <xdr:sp macro="" textlink="">
          <xdr:nvSpPr>
            <xdr:cNvPr id="5128" name="Drop Down 8" hidden="1">
              <a:extLst>
                <a:ext uri="{63B3BB69-23CF-44E3-9099-C40C66FF867C}">
                  <a14:compatExt spid="_x0000_s51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3086100</xdr:colOff>
          <xdr:row>25</xdr:row>
          <xdr:rowOff>28575</xdr:rowOff>
        </xdr:from>
        <xdr:to>
          <xdr:col>3</xdr:col>
          <xdr:colOff>0</xdr:colOff>
          <xdr:row>40</xdr:row>
          <xdr:rowOff>95250</xdr:rowOff>
        </xdr:to>
        <xdr:sp macro="" textlink="">
          <xdr:nvSpPr>
            <xdr:cNvPr id="5129" name="CommandButton2" hidden="1">
              <a:extLst>
                <a:ext uri="{63B3BB69-23CF-44E3-9099-C40C66FF867C}">
                  <a14:compatExt spid="_x0000_s5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457200</xdr:colOff>
          <xdr:row>4</xdr:row>
          <xdr:rowOff>57150</xdr:rowOff>
        </xdr:from>
        <xdr:to>
          <xdr:col>7</xdr:col>
          <xdr:colOff>381000</xdr:colOff>
          <xdr:row>4</xdr:row>
          <xdr:rowOff>390525</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4</xdr:row>
          <xdr:rowOff>276225</xdr:rowOff>
        </xdr:from>
        <xdr:to>
          <xdr:col>4</xdr:col>
          <xdr:colOff>209550</xdr:colOff>
          <xdr:row>5</xdr:row>
          <xdr:rowOff>19050</xdr:rowOff>
        </xdr:to>
        <xdr:sp macro="" textlink="">
          <xdr:nvSpPr>
            <xdr:cNvPr id="7172" name="Option Button 4" hidden="1">
              <a:extLst>
                <a:ext uri="{63B3BB69-23CF-44E3-9099-C40C66FF867C}">
                  <a14:compatExt spid="_x0000_s7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Ja, lägg alla kurser under vald inriktning/profil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3</xdr:row>
          <xdr:rowOff>171450</xdr:rowOff>
        </xdr:from>
        <xdr:to>
          <xdr:col>4</xdr:col>
          <xdr:colOff>209550</xdr:colOff>
          <xdr:row>4</xdr:row>
          <xdr:rowOff>323850</xdr:rowOff>
        </xdr:to>
        <xdr:sp macro="" textlink="">
          <xdr:nvSpPr>
            <xdr:cNvPr id="7173" name="Option Button 5" hidden="1">
              <a:extLst>
                <a:ext uri="{63B3BB69-23CF-44E3-9099-C40C66FF867C}">
                  <a14:compatExt spid="_x0000_s7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Nej</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obias Genborg" refreshedDate="41812.044244907411" createdVersion="5" refreshedVersion="5" minRefreshableVersion="3" recordCount="33">
  <cacheSource type="worksheet">
    <worksheetSource name="Programplan"/>
  </cacheSource>
  <cacheFields count="10">
    <cacheField name="KURSNAMN" numFmtId="0">
      <sharedItems/>
    </cacheField>
    <cacheField name="BETYG" numFmtId="0">
      <sharedItems containsBlank="1" containsMixedTypes="1" containsNumber="1" containsInteger="1" minValue="3" maxValue="5"/>
    </cacheField>
    <cacheField name="KURSKOD" numFmtId="0">
      <sharedItems/>
    </cacheField>
    <cacheField name="INRIKTNING" numFmtId="0">
      <sharedItems/>
    </cacheField>
    <cacheField name="NIVÅ" numFmtId="0">
      <sharedItems/>
    </cacheField>
    <cacheField name="POÄNG" numFmtId="0">
      <sharedItems containsSemiMixedTypes="0" containsString="0" containsNumber="1" containsInteger="1" minValue="2" maxValue="18"/>
    </cacheField>
    <cacheField name="ÅRSKURS" numFmtId="0">
      <sharedItems containsSemiMixedTypes="0" containsString="0" containsNumber="1" containsInteger="1" minValue="1" maxValue="4"/>
    </cacheField>
    <cacheField name="TERMIN" numFmtId="0">
      <sharedItems containsSemiMixedTypes="0" containsString="0" containsNumber="1" containsInteger="1" minValue="1" maxValue="9" count="9">
        <n v="1"/>
        <n v="2"/>
        <n v="3"/>
        <n v="4"/>
        <n v="5"/>
        <n v="6"/>
        <n v="8"/>
        <n v="7"/>
        <n v="9" u="1"/>
      </sharedItems>
    </cacheField>
    <cacheField name="PERIOD" numFmtId="0">
      <sharedItems containsMixedTypes="1" containsNumber="1" containsInteger="1" minValue="1" maxValue="2" count="5">
        <n v="2"/>
        <s v="1,2"/>
        <s v="0,1"/>
        <n v="1"/>
        <s v="1, 2"/>
      </sharedItems>
    </cacheField>
    <cacheField name="BLOCK" numFmtId="0">
      <sharedItems containsMixedTypes="1" containsNumber="1" containsInteger="1" minValue="1" maxValue="4" count="10">
        <n v="3"/>
        <s v="2*"/>
        <s v="*"/>
        <n v="2"/>
        <s v="3*"/>
        <n v="1"/>
        <n v="4"/>
        <s v="1*"/>
        <s v="-*"/>
        <s v="4, 4"/>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3">
  <r>
    <s v="Envariabelanalys 1"/>
    <n v="5"/>
    <s v="TATA41"/>
    <s v="Obligatorisk"/>
    <s v="G1"/>
    <n v="6"/>
    <n v="1"/>
    <x v="0"/>
    <x v="0"/>
    <x v="0"/>
  </r>
  <r>
    <s v="Linjär algebra"/>
    <n v="5"/>
    <s v="TATA31"/>
    <s v="Obligatorisk"/>
    <s v="G1"/>
    <n v="8"/>
    <n v="1"/>
    <x v="0"/>
    <x v="1"/>
    <x v="1"/>
  </r>
  <r>
    <s v="Matematisk grundkurs"/>
    <n v="5"/>
    <s v="TATM79"/>
    <s v="Obligatorisk"/>
    <s v="G1"/>
    <n v="6"/>
    <n v="1"/>
    <x v="0"/>
    <x v="2"/>
    <x v="2"/>
  </r>
  <r>
    <s v="Envariabelanalys 2"/>
    <n v="5"/>
    <s v="TATA42"/>
    <s v="Obligatorisk"/>
    <s v="G1"/>
    <n v="6"/>
    <n v="1"/>
    <x v="1"/>
    <x v="3"/>
    <x v="3"/>
  </r>
  <r>
    <s v="Programmering, grundkurs"/>
    <n v="5"/>
    <s v="TDDD11"/>
    <s v="Obligatorisk"/>
    <s v="G1"/>
    <n v="8"/>
    <n v="1"/>
    <x v="1"/>
    <x v="1"/>
    <x v="4"/>
  </r>
  <r>
    <s v="Linjära system"/>
    <n v="5"/>
    <s v="TSKS09"/>
    <s v="Obligatorisk"/>
    <s v="G1"/>
    <n v="4"/>
    <n v="2"/>
    <x v="2"/>
    <x v="3"/>
    <x v="3"/>
  </r>
  <r>
    <s v="Mekanik I"/>
    <n v="5"/>
    <s v="TMME27"/>
    <s v="Obligatorisk"/>
    <s v="G1"/>
    <n v="10"/>
    <n v="2"/>
    <x v="2"/>
    <x v="1"/>
    <x v="4"/>
  </r>
  <r>
    <s v="Optimeringslära, grundkurs"/>
    <n v="5"/>
    <s v="TAOP14"/>
    <s v="Obligatorisk"/>
    <s v="G1"/>
    <n v="6"/>
    <n v="2"/>
    <x v="2"/>
    <x v="3"/>
    <x v="5"/>
  </r>
  <r>
    <s v="Ekonomisk analys: Ekonomisk teori"/>
    <n v="5"/>
    <s v="TPPE98"/>
    <s v="Obligatorisk"/>
    <s v="G2"/>
    <n v="4"/>
    <n v="2"/>
    <x v="3"/>
    <x v="3"/>
    <x v="5"/>
  </r>
  <r>
    <s v="Matematisk statistik I, fortsättningskurs"/>
    <n v="5"/>
    <s v="TAMS65"/>
    <s v="Obligatorisk"/>
    <s v="G2"/>
    <n v="6"/>
    <n v="2"/>
    <x v="3"/>
    <x v="0"/>
    <x v="6"/>
  </r>
  <r>
    <s v="Grundläggande marknadsföring"/>
    <n v="5"/>
    <s v="TEIM02"/>
    <s v="Obligatorisk"/>
    <s v="G2"/>
    <n v="6"/>
    <n v="3"/>
    <x v="4"/>
    <x v="3"/>
    <x v="5"/>
  </r>
  <r>
    <s v="Reglerteknik"/>
    <n v="5"/>
    <s v="TSRT19"/>
    <s v="Obligatorisk"/>
    <s v="G2"/>
    <n v="6"/>
    <n v="3"/>
    <x v="4"/>
    <x v="3"/>
    <x v="6"/>
  </r>
  <r>
    <s v="Industriell ekonomi"/>
    <n v="4"/>
    <s v="TEIE17"/>
    <s v="Obligatorisk"/>
    <s v="G1"/>
    <n v="10"/>
    <n v="1"/>
    <x v="0"/>
    <x v="1"/>
    <x v="7"/>
  </r>
  <r>
    <s v="Industriell organisation, grundkurs"/>
    <n v="4"/>
    <s v="TEIO61"/>
    <s v="Obligatorisk"/>
    <s v="G2"/>
    <n v="6"/>
    <n v="1"/>
    <x v="1"/>
    <x v="1"/>
    <x v="7"/>
  </r>
  <r>
    <s v="Fysik"/>
    <n v="4"/>
    <s v="TFYA14"/>
    <s v="Obligatorisk"/>
    <s v="G1"/>
    <n v="6"/>
    <n v="2"/>
    <x v="2"/>
    <x v="0"/>
    <x v="3"/>
  </r>
  <r>
    <s v="Matematisk statistik, grundkurs"/>
    <n v="4"/>
    <s v="TAMS79"/>
    <s v="Obligatorisk"/>
    <s v="G1"/>
    <n v="4"/>
    <n v="2"/>
    <x v="2"/>
    <x v="0"/>
    <x v="0"/>
  </r>
  <r>
    <s v="Ekonomisk analys: Besluts- och finansiell metodik"/>
    <n v="4"/>
    <s v="TPPE24"/>
    <s v="Obligatorisk"/>
    <s v="G2"/>
    <n v="6"/>
    <n v="2"/>
    <x v="3"/>
    <x v="0"/>
    <x v="0"/>
  </r>
  <r>
    <s v="Projektledning"/>
    <n v="4"/>
    <s v="TEIO04"/>
    <s v="Obligatorisk"/>
    <s v="G2"/>
    <n v="6"/>
    <n v="3"/>
    <x v="5"/>
    <x v="3"/>
    <x v="6"/>
  </r>
  <r>
    <s v="Flervariabelanalys"/>
    <n v="3"/>
    <s v="TATA43"/>
    <s v="Obligatorisk"/>
    <s v="G1"/>
    <n v="8"/>
    <n v="1"/>
    <x v="1"/>
    <x v="0"/>
    <x v="3"/>
  </r>
  <r>
    <s v="Introduktionskurs i Matlab"/>
    <s v="G"/>
    <s v="TSKS08"/>
    <s v="Obligatorisk"/>
    <s v="G1"/>
    <n v="2"/>
    <n v="1"/>
    <x v="1"/>
    <x v="0"/>
    <x v="0"/>
  </r>
  <r>
    <s v="Produktionsekonomi"/>
    <m/>
    <s v="TPPE13"/>
    <s v="Obligatorisk"/>
    <s v="G2"/>
    <n v="6"/>
    <n v="3"/>
    <x v="4"/>
    <x v="0"/>
    <x v="6"/>
  </r>
  <r>
    <s v="Integrerad företagsplanering"/>
    <m/>
    <s v="TEIE06"/>
    <s v="Obligatorisk"/>
    <s v="A"/>
    <n v="6"/>
    <n v="4"/>
    <x v="6"/>
    <x v="1"/>
    <x v="8"/>
  </r>
  <r>
    <s v="Diskret matematik"/>
    <n v="4"/>
    <s v="TATA52"/>
    <s v="Datateknik"/>
    <s v="G1"/>
    <n v="4"/>
    <n v="2"/>
    <x v="3"/>
    <x v="0"/>
    <x v="5"/>
  </r>
  <r>
    <s v="Programmering i Java, datastrukturer och algoritmer"/>
    <n v="5"/>
    <s v="TDDC30"/>
    <s v="Datateknik"/>
    <s v="G2"/>
    <n v="6"/>
    <n v="2"/>
    <x v="3"/>
    <x v="3"/>
    <x v="3"/>
  </r>
  <r>
    <s v="Datastrukturer och algoritmer"/>
    <s v="G"/>
    <s v="TDDD71"/>
    <s v="Datateknik"/>
    <s v="G2"/>
    <n v="2"/>
    <n v="3"/>
    <x v="4"/>
    <x v="0"/>
    <x v="5"/>
  </r>
  <r>
    <s v="Datorarkitektur"/>
    <n v="5"/>
    <s v="TDTS10"/>
    <s v="Datateknik"/>
    <s v="G1"/>
    <n v="6"/>
    <n v="3"/>
    <x v="4"/>
    <x v="0"/>
    <x v="0"/>
  </r>
  <r>
    <s v="Digitalteknik"/>
    <s v="G"/>
    <s v="TSEA51"/>
    <s v="Datateknik"/>
    <s v="G1"/>
    <n v="4"/>
    <n v="3"/>
    <x v="4"/>
    <x v="3"/>
    <x v="3"/>
  </r>
  <r>
    <s v="Databasteknik för kandidatprojekt"/>
    <m/>
    <s v="TDDD81"/>
    <s v="Datateknik"/>
    <s v="G2"/>
    <n v="6"/>
    <n v="3"/>
    <x v="5"/>
    <x v="1"/>
    <x v="1"/>
  </r>
  <r>
    <s v="Kandidatprojekt datateknik"/>
    <m/>
    <s v="TDDD83"/>
    <s v="Datateknik"/>
    <s v="G2"/>
    <n v="18"/>
    <n v="3"/>
    <x v="5"/>
    <x v="1"/>
    <x v="4"/>
  </r>
  <r>
    <s v="Analoga CMOS integrerade kretsar"/>
    <m/>
    <s v="TSEK37"/>
    <s v="Elektronik"/>
    <s v="A"/>
    <n v="6"/>
    <n v="4"/>
    <x v="7"/>
    <x v="0"/>
    <x v="5"/>
  </r>
  <r>
    <s v="Konstruktion av digitala system"/>
    <m/>
    <s v="TSTE12"/>
    <s v="Elektronik"/>
    <s v="A"/>
    <n v="6"/>
    <n v="4"/>
    <x v="7"/>
    <x v="3"/>
    <x v="0"/>
  </r>
  <r>
    <s v="Digitala integrerade kretsar"/>
    <m/>
    <s v="TSTE86"/>
    <s v="Elektronik"/>
    <s v="A"/>
    <n v="6"/>
    <n v="4"/>
    <x v="7"/>
    <x v="3"/>
    <x v="3"/>
  </r>
  <r>
    <s v="VLSI-konstruktion, CDIO"/>
    <m/>
    <s v="TSEK06"/>
    <s v="Elektronik"/>
    <s v="A"/>
    <n v="12"/>
    <n v="4"/>
    <x v="6"/>
    <x v="4"/>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erminsammans." cacheId="0" dataPosition="0" applyNumberFormats="0" applyBorderFormats="0" applyFontFormats="0" applyPatternFormats="0" applyAlignmentFormats="0" applyWidthHeightFormats="1" dataCaption="Värden" updatedVersion="5" minRefreshableVersion="3" useAutoFormatting="1" rowGrandTotals="0" colGrandTotals="0" itemPrintTitles="1" createdVersion="5" indent="0" compact="0" outline="1" outlineData="1" compactData="0" multipleFieldFilters="0" chartFormat="8">
  <location ref="H15:L94" firstHeaderRow="0" firstDataRow="1" firstDataCol="3"/>
  <pivotFields count="10">
    <pivotField dataField="1" compact="0" showAll="0" insertBlankRow="1"/>
    <pivotField compact="0" showAll="0" insertBlankRow="1"/>
    <pivotField compact="0" showAll="0" insertBlankRow="1"/>
    <pivotField compact="0" showAll="0" insertBlankRow="1"/>
    <pivotField compact="0" showAll="0" insertBlankRow="1"/>
    <pivotField dataField="1" compact="0" showAll="0" insertBlankRow="1"/>
    <pivotField compact="0" showAll="0" insertBlankRow="1"/>
    <pivotField axis="axisRow" compact="0" showAll="0" insertBlankRow="1">
      <items count="10">
        <item x="0"/>
        <item x="1"/>
        <item x="4"/>
        <item x="5"/>
        <item x="3"/>
        <item x="2"/>
        <item x="6"/>
        <item x="7"/>
        <item m="1" x="8"/>
        <item t="default"/>
      </items>
    </pivotField>
    <pivotField axis="axisRow" compact="0" showAll="0" insertBlankRow="1">
      <items count="6">
        <item x="3"/>
        <item x="0"/>
        <item x="1"/>
        <item x="2"/>
        <item x="4"/>
        <item t="default"/>
      </items>
    </pivotField>
    <pivotField axis="axisRow" compact="0" showAll="0" insertBlankRow="1">
      <items count="11">
        <item x="5"/>
        <item x="3"/>
        <item x="0"/>
        <item x="6"/>
        <item x="7"/>
        <item x="1"/>
        <item x="2"/>
        <item x="4"/>
        <item x="8"/>
        <item x="9"/>
        <item t="default"/>
      </items>
    </pivotField>
  </pivotFields>
  <rowFields count="3">
    <field x="7"/>
    <field x="8"/>
    <field x="9"/>
  </rowFields>
  <rowItems count="79">
    <i>
      <x/>
    </i>
    <i r="1">
      <x v="1"/>
    </i>
    <i r="2">
      <x v="2"/>
    </i>
    <i t="blank" r="1">
      <x v="1"/>
    </i>
    <i r="1">
      <x v="2"/>
    </i>
    <i r="2">
      <x v="4"/>
    </i>
    <i r="2">
      <x v="5"/>
    </i>
    <i t="blank" r="1">
      <x v="2"/>
    </i>
    <i r="1">
      <x v="3"/>
    </i>
    <i r="2">
      <x v="6"/>
    </i>
    <i t="blank" r="1">
      <x v="3"/>
    </i>
    <i>
      <x v="1"/>
    </i>
    <i r="1">
      <x/>
    </i>
    <i r="2">
      <x v="1"/>
    </i>
    <i t="blank" r="1">
      <x/>
    </i>
    <i r="1">
      <x v="1"/>
    </i>
    <i r="2">
      <x v="1"/>
    </i>
    <i r="2">
      <x v="2"/>
    </i>
    <i t="blank" r="1">
      <x v="1"/>
    </i>
    <i r="1">
      <x v="2"/>
    </i>
    <i r="2">
      <x v="4"/>
    </i>
    <i r="2">
      <x v="7"/>
    </i>
    <i t="blank" r="1">
      <x v="2"/>
    </i>
    <i>
      <x v="2"/>
    </i>
    <i r="1">
      <x/>
    </i>
    <i r="2">
      <x/>
    </i>
    <i r="2">
      <x v="1"/>
    </i>
    <i r="2">
      <x v="3"/>
    </i>
    <i t="blank" r="1">
      <x/>
    </i>
    <i r="1">
      <x v="1"/>
    </i>
    <i r="2">
      <x/>
    </i>
    <i r="2">
      <x v="2"/>
    </i>
    <i r="2">
      <x v="3"/>
    </i>
    <i t="blank" r="1">
      <x v="1"/>
    </i>
    <i>
      <x v="3"/>
    </i>
    <i r="1">
      <x/>
    </i>
    <i r="2">
      <x v="3"/>
    </i>
    <i t="blank" r="1">
      <x/>
    </i>
    <i r="1">
      <x v="2"/>
    </i>
    <i r="2">
      <x v="5"/>
    </i>
    <i r="2">
      <x v="7"/>
    </i>
    <i t="blank" r="1">
      <x v="2"/>
    </i>
    <i>
      <x v="4"/>
    </i>
    <i r="1">
      <x/>
    </i>
    <i r="2">
      <x/>
    </i>
    <i r="2">
      <x v="1"/>
    </i>
    <i t="blank" r="1">
      <x/>
    </i>
    <i r="1">
      <x v="1"/>
    </i>
    <i r="2">
      <x/>
    </i>
    <i r="2">
      <x v="2"/>
    </i>
    <i r="2">
      <x v="3"/>
    </i>
    <i t="blank" r="1">
      <x v="1"/>
    </i>
    <i>
      <x v="5"/>
    </i>
    <i r="1">
      <x/>
    </i>
    <i r="2">
      <x/>
    </i>
    <i r="2">
      <x v="1"/>
    </i>
    <i t="blank" r="1">
      <x/>
    </i>
    <i r="1">
      <x v="1"/>
    </i>
    <i r="2">
      <x v="1"/>
    </i>
    <i r="2">
      <x v="2"/>
    </i>
    <i t="blank" r="1">
      <x v="1"/>
    </i>
    <i r="1">
      <x v="2"/>
    </i>
    <i r="2">
      <x v="7"/>
    </i>
    <i t="blank" r="1">
      <x v="2"/>
    </i>
    <i>
      <x v="6"/>
    </i>
    <i r="1">
      <x v="2"/>
    </i>
    <i r="2">
      <x v="8"/>
    </i>
    <i t="blank" r="1">
      <x v="2"/>
    </i>
    <i r="1">
      <x v="4"/>
    </i>
    <i r="2">
      <x v="9"/>
    </i>
    <i t="blank" r="1">
      <x v="4"/>
    </i>
    <i>
      <x v="7"/>
    </i>
    <i r="1">
      <x/>
    </i>
    <i r="2">
      <x v="1"/>
    </i>
    <i r="2">
      <x v="2"/>
    </i>
    <i t="blank" r="1">
      <x/>
    </i>
    <i r="1">
      <x v="1"/>
    </i>
    <i r="2">
      <x/>
    </i>
    <i t="blank" r="1">
      <x v="1"/>
    </i>
  </rowItems>
  <colFields count="1">
    <field x="-2"/>
  </colFields>
  <colItems count="2">
    <i>
      <x/>
    </i>
    <i i="1">
      <x v="1"/>
    </i>
  </colItems>
  <dataFields count="2">
    <dataField name="Antal av KURSNAMN" fld="0" subtotal="count" baseField="0" baseItem="0"/>
    <dataField name="Summa av POÄNG" fld="5" baseField="0" baseItem="0"/>
  </dataFields>
  <formats count="11">
    <format dxfId="33">
      <pivotArea outline="0" collapsedLevelsAreSubtotals="1" fieldPosition="0"/>
    </format>
    <format dxfId="32">
      <pivotArea type="all" dataOnly="0" outline="0" fieldPosition="0"/>
    </format>
    <format dxfId="31">
      <pivotArea outline="0" collapsedLevelsAreSubtotals="1" fieldPosition="0"/>
    </format>
    <format dxfId="30">
      <pivotArea dataOnly="0" labelOnly="1" outline="0" fieldPosition="0">
        <references count="1">
          <reference field="7" count="0"/>
        </references>
      </pivotArea>
    </format>
    <format dxfId="29">
      <pivotArea dataOnly="0" labelOnly="1" outline="0" fieldPosition="0">
        <references count="2">
          <reference field="7" count="0" selected="0"/>
          <reference field="8" count="0"/>
        </references>
      </pivotArea>
    </format>
    <format dxfId="28">
      <pivotArea dataOnly="0" labelOnly="1" outline="0" fieldPosition="0">
        <references count="3">
          <reference field="7" count="0" selected="0"/>
          <reference field="8" count="0" selected="0"/>
          <reference field="9" count="0"/>
        </references>
      </pivotArea>
    </format>
    <format dxfId="27">
      <pivotArea dataOnly="0" labelOnly="1" outline="0" fieldPosition="0">
        <references count="1">
          <reference field="4294967294" count="2">
            <x v="0"/>
            <x v="1"/>
          </reference>
        </references>
      </pivotArea>
    </format>
    <format dxfId="26">
      <pivotArea dataOnly="0" labelOnly="1" outline="0" fieldPosition="0">
        <references count="1">
          <reference field="4294967294" count="2">
            <x v="0"/>
            <x v="1"/>
          </reference>
        </references>
      </pivotArea>
    </format>
    <format dxfId="25">
      <pivotArea field="7" type="button" dataOnly="0" labelOnly="1" outline="0" axis="axisRow" fieldPosition="0"/>
    </format>
    <format dxfId="24">
      <pivotArea dataOnly="0" outline="0" fieldPosition="0">
        <references count="1">
          <reference field="4294967294" count="2">
            <x v="0"/>
            <x v="1"/>
          </reference>
        </references>
      </pivotArea>
    </format>
    <format dxfId="23">
      <pivotArea dataOnly="0" labelOnly="1" outline="0" fieldPosition="0">
        <references count="1">
          <reference field="4294967294" count="2">
            <x v="0"/>
            <x v="1"/>
          </reference>
        </references>
      </pivotArea>
    </format>
  </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Examenskrav" displayName="Examenskrav" ref="K6:O11" totalsRowCount="1" headerRowDxfId="85" dataDxfId="84" totalsRowDxfId="83">
  <autoFilter ref="K6:O10"/>
  <tableColumns count="5">
    <tableColumn id="1" name="KURSPOÄNGSKRAV" dataDxfId="82" totalsRowDxfId="81"/>
    <tableColumn id="2" name="SUMMA" dataDxfId="80" totalsRowDxfId="79"/>
    <tableColumn id="3" name="TAGNA" dataDxfId="78" totalsRowDxfId="77">
      <calculatedColumnFormula>IFERROR(SUMIFS(#REF!,#REF!,Examenskrav[[#This Row],[KURSPOÄNGSKRAV]],#REF!,"=Ja"),"")</calculatedColumnFormula>
    </tableColumn>
    <tableColumn id="4" name="KVAR ATT TA" dataDxfId="76" totalsRowDxfId="75">
      <calculatedColumnFormula>IFERROR(Examenskrav[[#This Row],[SUMMA]]-Examenskrav[[#This Row],[TAGNA]],"")</calculatedColumnFormula>
    </tableColumn>
    <tableColumn id="5" name=" " dataDxfId="74" totalsRowDxfId="73">
      <calculatedColumnFormula>Examenskrav[[#This Row],[KVAR ATT TA]]</calculatedColumnFormula>
    </tableColumn>
  </tableColumns>
  <tableStyleInfo name="Credit Requirements Summary" showFirstColumn="0" showLastColumn="0" showRowStripes="0" showColumnStripes="1"/>
  <extLst>
    <ext xmlns:x14="http://schemas.microsoft.com/office/spreadsheetml/2009/9/main" uri="{504A1905-F514-4f6f-8877-14C23A59335A}">
      <x14:table altText="Examenskrav" altTextSummary="Lista med poängkrav, till exempel huvudämne, samt totalt antal poäng, intjänade poäng och återstående poäng."/>
    </ext>
  </extLst>
</table>
</file>

<file path=xl/tables/table2.xml><?xml version="1.0" encoding="utf-8"?>
<table xmlns="http://schemas.openxmlformats.org/spreadsheetml/2006/main" id="5" name="Programplan" displayName="Programplan" ref="B20:K53" totalsRowShown="0" headerRowDxfId="72" dataDxfId="71" tableBorderDxfId="70">
  <autoFilter ref="B20:K53"/>
  <sortState ref="B17:K46">
    <sortCondition descending="1" ref="C16:C46"/>
  </sortState>
  <tableColumns count="10">
    <tableColumn id="1" name="KURSNAMN" dataDxfId="69"/>
    <tableColumn id="9" name="BETYG" dataDxfId="68"/>
    <tableColumn id="2" name="KURSKOD" dataDxfId="67"/>
    <tableColumn id="3" name="INRIKTNING" dataDxfId="66"/>
    <tableColumn id="4" name="NIVÅ" dataDxfId="65"/>
    <tableColumn id="5" name="POÄNG" dataDxfId="64"/>
    <tableColumn id="11" name="ÅRSKURS" dataDxfId="63"/>
    <tableColumn id="6" name="TERMIN" dataDxfId="62"/>
    <tableColumn id="7" name="PERIOD" dataDxfId="61"/>
    <tableColumn id="10" name="BLOCK" dataDxfId="60"/>
  </tableColumns>
  <tableStyleInfo name="Course Listing" showFirstColumn="0" showLastColumn="0" showRowStripes="1" showColumnStripes="0"/>
</table>
</file>

<file path=xl/tables/table3.xml><?xml version="1.0" encoding="utf-8"?>
<table xmlns="http://schemas.openxmlformats.org/spreadsheetml/2006/main" id="6" name="ProgramKurser" displayName="ProgramKurser" ref="A15:L51" headerRowDxfId="59">
  <autoFilter ref="A15:L51"/>
  <sortState ref="A38:K51">
    <sortCondition ref="A15:A51"/>
  </sortState>
  <tableColumns count="12">
    <tableColumn id="1" name="KURSNAMN" totalsRowLabel="Summa" dataDxfId="58" totalsRowDxfId="57"/>
    <tableColumn id="13" name="INGÅR I KURSPLAN" dataDxfId="56"/>
    <tableColumn id="2" name="KURSKOD" dataDxfId="55" totalsRowDxfId="54"/>
    <tableColumn id="3" name="INRIKTNING" dataDxfId="53" totalsRowDxfId="52"/>
    <tableColumn id="4" name="NIVÅ" dataDxfId="51" totalsRowDxfId="50"/>
    <tableColumn id="5" name="KURSPOÄNG" dataDxfId="49" totalsRowDxfId="48"/>
    <tableColumn id="7" name="TERMIN" totalsRowFunction="sum" dataDxfId="47" totalsRowDxfId="46"/>
    <tableColumn id="6" name="PERIOD" dataDxfId="45"/>
    <tableColumn id="8" name="ÅRSKURS" dataDxfId="44"/>
    <tableColumn id="9" name="BLOCK" dataDxfId="43"/>
    <tableColumn id="11" name="PROGRAM" dataDxfId="42"/>
    <tableColumn id="10" name="ÅR" dataDxfId="0"/>
  </tableColumns>
  <tableStyleInfo name="Course Listing" showFirstColumn="0" showLastColumn="0" showRowStripes="1" showColumnStripes="1"/>
  <extLst>
    <ext xmlns:x14="http://schemas.microsoft.com/office/spreadsheetml/2009/9/main" uri="{504A1905-F514-4f6f-8877-14C23A59335A}">
      <x14:table altText="Kurstabell" altTextSummary="Kurslista, kursnummer, examenskrav, poängtimmar, slutförande av kurs och termin."/>
    </ext>
  </extLst>
</table>
</file>

<file path=xl/tables/table4.xml><?xml version="1.0" encoding="utf-8"?>
<table xmlns="http://schemas.openxmlformats.org/spreadsheetml/2006/main" id="13" name="AvailablePrograms" displayName="AvailablePrograms" ref="E5:G14" headerRowDxfId="41" dataDxfId="40">
  <autoFilter ref="E5:G14"/>
  <sortState ref="E6:G14">
    <sortCondition ref="E5:E14"/>
  </sortState>
  <tableColumns count="3">
    <tableColumn id="1" name="PROGRAMNAMN" totalsRowLabel="Summa" dataDxfId="39"/>
    <tableColumn id="2" name="HÖGSKOLEPOÄNG" dataDxfId="38"/>
    <tableColumn id="3" name="ÅR" totalsRowFunction="count" dataDxfId="37"/>
  </tableColumns>
  <tableStyleInfo name="Course Listing" showFirstColumn="1" showLastColumn="0" showRowStripes="1" showColumnStripes="1"/>
</table>
</file>

<file path=xl/tables/table5.xml><?xml version="1.0" encoding="utf-8"?>
<table xmlns="http://schemas.openxmlformats.org/spreadsheetml/2006/main" id="18" name="Spec" displayName="Spec" ref="E26:F69" totalsRowShown="0" dataDxfId="36">
  <autoFilter ref="E26:F69">
    <filterColumn colId="0">
      <filters>
        <filter val="Civilingenjör i Teknisk Fysik och elektroteknik"/>
      </filters>
    </filterColumn>
  </autoFilter>
  <sortState ref="E41:F69">
    <sortCondition ref="F26:F69"/>
  </sortState>
  <tableColumns count="2">
    <tableColumn id="1" name="PROGRAM" dataDxfId="35"/>
    <tableColumn id="2" name="INRIKTNING" dataDxfId="34"/>
  </tableColumns>
  <tableStyleInfo name="Course Listing" showFirstColumn="0" showLastColumn="0" showRowStripes="1" showColumnStripes="0"/>
</table>
</file>

<file path=xl/tables/table6.xml><?xml version="1.0" encoding="utf-8"?>
<table xmlns="http://schemas.openxmlformats.org/spreadsheetml/2006/main" id="7" name="SearchTable" displayName="SearchTable" ref="N5:P154" totalsRowShown="0" headerRowDxfId="22" dataDxfId="21">
  <autoFilter ref="N5:P154"/>
  <tableColumns count="3">
    <tableColumn id="1" name="SearchRank" dataDxfId="20">
      <calculatedColumnFormula>IFERROR(_xlfn.RANK.EQ(O6,ProgramKurser[],1),"FEL")</calculatedColumnFormula>
    </tableColumn>
    <tableColumn id="2" name="Search" dataDxfId="19">
      <calculatedColumnFormula>IFERROR(SEARCH(SearchField,Programkurser!#REF!)+ROW()/100000,"")</calculatedColumnFormula>
    </tableColumn>
    <tableColumn id="3" name="NAME" dataDxfId="18">
      <calculatedColumnFormula>ProgramKurser[KURSNAMN]</calculatedColumnFormula>
    </tableColumn>
  </tableColumns>
  <tableStyleInfo name="Course Listing" showFirstColumn="0" showLastColumn="0" showRowStripes="1" showColumnStripes="0"/>
</table>
</file>

<file path=xl/tables/table7.xml><?xml version="1.0" encoding="utf-8"?>
<table xmlns="http://schemas.openxmlformats.org/spreadsheetml/2006/main" id="3" name="Antagningsår" displayName="Antagningsår" ref="D5:D13" totalsRowShown="0" headerRowDxfId="17" dataDxfId="16">
  <autoFilter ref="D5:D13"/>
  <tableColumns count="1">
    <tableColumn id="1" name="Antagningsår" dataDxfId="15"/>
  </tableColumns>
  <tableStyleInfo name="TableStyleLight3" showFirstColumn="0" showLastColumn="0" showRowStripes="1" showColumnStripes="0"/>
</table>
</file>

<file path=xl/tables/table8.xml><?xml version="1.0" encoding="utf-8"?>
<table xmlns="http://schemas.openxmlformats.org/spreadsheetml/2006/main" id="4" name="Tabell4" displayName="Tabell4" ref="B5:B10" totalsRowShown="0" dataDxfId="14" headerRowCellStyle="Dekorfärg3">
  <autoFilter ref="B5:B10"/>
  <tableColumns count="1">
    <tableColumn id="1" name="Möjliga betyg" dataDxfId="13"/>
  </tableColumns>
  <tableStyleInfo name="TableStyleLight1" showFirstColumn="0" showLastColumn="0" showRowStripes="1" showColumnStripes="0"/>
</table>
</file>

<file path=xl/tables/table9.xml><?xml version="1.0" encoding="utf-8"?>
<table xmlns="http://schemas.openxmlformats.org/spreadsheetml/2006/main" id="8" name="Tabell8" displayName="Tabell8" ref="F5:F8" totalsRowShown="0" headerRowDxfId="12" dataDxfId="11">
  <autoFilter ref="F5:F8"/>
  <tableColumns count="1">
    <tableColumn id="1" name="Nivåer" dataDxfId="10"/>
  </tableColumns>
  <tableStyleInfo name="Course Listing" showFirstColumn="0" showLastColumn="0" showRowStripes="1" showColumnStripes="0"/>
</table>
</file>

<file path=xl/tables/table10.xml><?xml version="1.0" encoding="utf-8"?>
<table xmlns="http://schemas.openxmlformats.org/spreadsheetml/2006/main" id="9" name="Tabell9" displayName="Tabell9" ref="H5:H15" totalsRowShown="0" headerRowDxfId="9" dataDxfId="8">
  <autoFilter ref="H5:H15"/>
  <tableColumns count="1">
    <tableColumn id="1" name="Terminer" dataDxfId="7"/>
  </tableColumns>
  <tableStyleInfo name="Course Listing" showFirstColumn="0" showLastColumn="0" showRowStripes="1" showColumnStripes="0"/>
</table>
</file>

<file path=xl/tables/table11.xml><?xml version="1.0" encoding="utf-8"?>
<table xmlns="http://schemas.openxmlformats.org/spreadsheetml/2006/main" id="10" name="Tabell10" displayName="Tabell10" ref="J5:J8" totalsRowShown="0" headerRowDxfId="6" dataDxfId="5">
  <autoFilter ref="J5:J8"/>
  <tableColumns count="1">
    <tableColumn id="1" name="Perioder" dataDxfId="4"/>
  </tableColumns>
  <tableStyleInfo name="Course Listing" showFirstColumn="0" showLastColumn="0" showRowStripes="1" showColumnStripes="0"/>
</table>
</file>

<file path=xl/tables/table12.xml><?xml version="1.0" encoding="utf-8"?>
<table xmlns="http://schemas.openxmlformats.org/spreadsheetml/2006/main" id="11" name="Tabell11" displayName="Tabell11" ref="L5:L10" totalsRowShown="0" headerRowDxfId="3" dataDxfId="2">
  <autoFilter ref="L5:L10"/>
  <tableColumns count="1">
    <tableColumn id="1" name="År" dataDxfId="1"/>
  </tableColumns>
  <tableStyleInfo name="Course Listing" showFirstColumn="0" showLastColumn="0" showRowStripes="1" showColumnStripes="0"/>
</table>
</file>

<file path=xl/theme/theme1.xml><?xml version="1.0" encoding="utf-8"?>
<a:theme xmlns:a="http://schemas.openxmlformats.org/drawingml/2006/main" name="Office Theme">
  <a:themeElements>
    <a:clrScheme name="College Credit Tracker">
      <a:dk1>
        <a:sysClr val="windowText" lastClr="000000"/>
      </a:dk1>
      <a:lt1>
        <a:sysClr val="window" lastClr="FFFFFF"/>
      </a:lt1>
      <a:dk2>
        <a:srgbClr val="000000"/>
      </a:dk2>
      <a:lt2>
        <a:srgbClr val="F2F2F2"/>
      </a:lt2>
      <a:accent1>
        <a:srgbClr val="EBB828"/>
      </a:accent1>
      <a:accent2>
        <a:srgbClr val="269E6F"/>
      </a:accent2>
      <a:accent3>
        <a:srgbClr val="2699BA"/>
      </a:accent3>
      <a:accent4>
        <a:srgbClr val="EA8B23"/>
      </a:accent4>
      <a:accent5>
        <a:srgbClr val="8163A7"/>
      </a:accent5>
      <a:accent6>
        <a:srgbClr val="DB5368"/>
      </a:accent6>
      <a:hlink>
        <a:srgbClr val="269EBA"/>
      </a:hlink>
      <a:folHlink>
        <a:srgbClr val="8163A7"/>
      </a:folHlink>
    </a:clrScheme>
    <a:fontScheme name="College Credit Tracker">
      <a:majorFont>
        <a:latin typeface="Bookman Old Style"/>
        <a:ea typeface=""/>
        <a:cs typeface=""/>
      </a:majorFont>
      <a:minorFont>
        <a:latin typeface="Franklin Gothic Medium"/>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table" Target="../tables/table2.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ntrol" Target="../activeX/activeX4.xml"/><Relationship Id="rId5" Type="http://schemas.openxmlformats.org/officeDocument/2006/relationships/image" Target="../media/image3.emf"/><Relationship Id="rId10" Type="http://schemas.openxmlformats.org/officeDocument/2006/relationships/table" Target="../tables/table5.xml"/><Relationship Id="rId4" Type="http://schemas.openxmlformats.org/officeDocument/2006/relationships/control" Target="../activeX/activeX3.xml"/><Relationship Id="rId9" Type="http://schemas.openxmlformats.org/officeDocument/2006/relationships/table" Target="../tables/table4.xml"/></Relationships>
</file>

<file path=xl/worksheets/_rels/sheet6.xml.rels><?xml version="1.0" encoding="UTF-8" standalone="yes"?>
<Relationships xmlns="http://schemas.openxmlformats.org/package/2006/relationships"><Relationship Id="rId8" Type="http://schemas.openxmlformats.org/officeDocument/2006/relationships/hyperlink" Target="http://kdb-5.liu.se/liu/lith/studiehandboken/svkursplan.lasso?&amp;k_budget_year=2014&amp;k_kurskod=TSKS11" TargetMode="External"/><Relationship Id="rId13" Type="http://schemas.openxmlformats.org/officeDocument/2006/relationships/hyperlink" Target="http://kdb-5.liu.se/liu/lith/studiehandboken/svkursplan.lasso?&amp;k_budget_year=2014&amp;k_kurskod=TSKS03" TargetMode="External"/><Relationship Id="rId18" Type="http://schemas.openxmlformats.org/officeDocument/2006/relationships/hyperlink" Target="http://kdb-5.liu.se/liu/lith/studiehandboken/svkursplan.lasso?&amp;k_budget_year=2014&amp;k_kurskod=TSDT16" TargetMode="External"/><Relationship Id="rId26" Type="http://schemas.openxmlformats.org/officeDocument/2006/relationships/ctrlProp" Target="../ctrlProps/ctrlProp7.xml"/><Relationship Id="rId3" Type="http://schemas.openxmlformats.org/officeDocument/2006/relationships/hyperlink" Target="http://kdb-5.liu.se/liu/lith/studiehandboken/svkursplan.lasso?&amp;k_budget_year=2014&amp;k_kurskod=TDTS06" TargetMode="External"/><Relationship Id="rId21" Type="http://schemas.openxmlformats.org/officeDocument/2006/relationships/printerSettings" Target="../printerSettings/printerSettings5.bin"/><Relationship Id="rId7" Type="http://schemas.openxmlformats.org/officeDocument/2006/relationships/hyperlink" Target="http://kdb-5.liu.se/liu/lith/studiehandboken/svkursplan.lasso?&amp;k_budget_year=2014&amp;k_kurskod=TSIN02" TargetMode="External"/><Relationship Id="rId12" Type="http://schemas.openxmlformats.org/officeDocument/2006/relationships/hyperlink" Target="http://kdb-5.liu.se/liu/lith/studiehandboken/svkursplan.lasso?&amp;k_budget_year=2014&amp;k_kurskod=TSEK03" TargetMode="External"/><Relationship Id="rId17" Type="http://schemas.openxmlformats.org/officeDocument/2006/relationships/hyperlink" Target="http://kdb-5.liu.se/liu/lith/studiehandboken/svkursplan.lasso?&amp;k_budget_year=2014&amp;k_kurskod=TSKS05" TargetMode="External"/><Relationship Id="rId25" Type="http://schemas.openxmlformats.org/officeDocument/2006/relationships/image" Target="../media/image5.emf"/><Relationship Id="rId2" Type="http://schemas.openxmlformats.org/officeDocument/2006/relationships/hyperlink" Target="http://kdb-5.liu.se/liu/lith/studiehandboken/svkursplan.lasso?&amp;k_budget_year=2014&amp;k_kurskod=TSKS01" TargetMode="External"/><Relationship Id="rId16" Type="http://schemas.openxmlformats.org/officeDocument/2006/relationships/hyperlink" Target="http://kdb-5.liu.se/liu/lith/studiehandboken/svkursplan.lasso?&amp;k_budget_year=2014&amp;k_kurskod=TSKS03" TargetMode="External"/><Relationship Id="rId20" Type="http://schemas.openxmlformats.org/officeDocument/2006/relationships/hyperlink" Target="http://kdb-5.liu.se/liu/lith/studiehandboken/svkursplan.lasso?&amp;k_budget_year=2014&amp;k_kurskod=TSKS05" TargetMode="External"/><Relationship Id="rId1" Type="http://schemas.openxmlformats.org/officeDocument/2006/relationships/hyperlink" Target="http://kdb-5.liu.se/liu/lith/studiehandboken/svkursplan.lasso?&amp;k_budget_year=2014&amp;k_kurskod=TSDT14" TargetMode="External"/><Relationship Id="rId6" Type="http://schemas.openxmlformats.org/officeDocument/2006/relationships/hyperlink" Target="http://kdb-5.liu.se/liu/lith/studiehandboken/svkursplan.lasso?&amp;k_budget_year=2014&amp;k_kurskod=TSEK02" TargetMode="External"/><Relationship Id="rId11" Type="http://schemas.openxmlformats.org/officeDocument/2006/relationships/hyperlink" Target="http://kdb-5.liu.se/liu/lith/studiehandboken/svkursplan.lasso?&amp;k_budget_year=2014&amp;k_kurskod=TSBK08" TargetMode="External"/><Relationship Id="rId24" Type="http://schemas.openxmlformats.org/officeDocument/2006/relationships/control" Target="../activeX/activeX5.xml"/><Relationship Id="rId5" Type="http://schemas.openxmlformats.org/officeDocument/2006/relationships/hyperlink" Target="http://kdb-5.liu.se/liu/lith/studiehandboken/svkursplan.lasso?&amp;k_budget_year=2014&amp;k_kurskod=TSKS01" TargetMode="External"/><Relationship Id="rId15" Type="http://schemas.openxmlformats.org/officeDocument/2006/relationships/hyperlink" Target="http://kdb-5.liu.se/liu/lith/studiehandboken/svkursplan.lasso?&amp;k_budget_year=2014&amp;k_kurskod=TSDT74" TargetMode="External"/><Relationship Id="rId23" Type="http://schemas.openxmlformats.org/officeDocument/2006/relationships/vmlDrawing" Target="../drawings/vmlDrawing4.vml"/><Relationship Id="rId10" Type="http://schemas.openxmlformats.org/officeDocument/2006/relationships/hyperlink" Target="http://kdb-5.liu.se/liu/lith/studiehandboken/svkursplan.lasso?&amp;k_budget_year=2014&amp;k_kurskod=TSKS04" TargetMode="External"/><Relationship Id="rId19" Type="http://schemas.openxmlformats.org/officeDocument/2006/relationships/hyperlink" Target="http://kdb-5.liu.se/liu/lith/studiehandboken/svkursplan.lasso?&amp;k_budget_year=2014&amp;k_kurskod=TSIT03" TargetMode="External"/><Relationship Id="rId4" Type="http://schemas.openxmlformats.org/officeDocument/2006/relationships/hyperlink" Target="http://kdb-5.liu.se/liu/lith/studiehandboken/svkursplan.lasso?&amp;k_budget_year=2014&amp;k_kurskod=TSIN01" TargetMode="External"/><Relationship Id="rId9" Type="http://schemas.openxmlformats.org/officeDocument/2006/relationships/hyperlink" Target="http://kdb-5.liu.se/liu/lith/studiehandboken/svkursplan.lasso?&amp;k_budget_year=2014&amp;k_kurskod=TSRT78" TargetMode="External"/><Relationship Id="rId14" Type="http://schemas.openxmlformats.org/officeDocument/2006/relationships/hyperlink" Target="http://kdb-5.liu.se/liu/lith/studiehandboken/svkursplan.lasso?&amp;k_budget_year=2014&amp;k_kurskod=TSBK02" TargetMode="External"/><Relationship Id="rId22" Type="http://schemas.openxmlformats.org/officeDocument/2006/relationships/drawing" Target="../drawings/drawing6.xml"/><Relationship Id="rId27"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tabColor theme="6"/>
    <pageSetUpPr autoPageBreaks="0" fitToPage="1"/>
  </sheetPr>
  <dimension ref="A1:Y40"/>
  <sheetViews>
    <sheetView showGridLines="0" topLeftCell="A19" zoomScaleNormal="100" workbookViewId="0">
      <selection activeCell="B19" sqref="B19:G20"/>
    </sheetView>
  </sheetViews>
  <sheetFormatPr defaultRowHeight="18" customHeight="1" x14ac:dyDescent="0.3"/>
  <cols>
    <col min="4" max="4" width="13.875" customWidth="1"/>
    <col min="5" max="5" width="6.125" customWidth="1"/>
    <col min="6" max="6" width="16.625" customWidth="1"/>
    <col min="7" max="7" width="6" customWidth="1"/>
    <col min="8" max="8" width="3.625" customWidth="1"/>
    <col min="9" max="9" width="4.375" customWidth="1"/>
    <col min="10" max="10" width="10.125" customWidth="1"/>
    <col min="11" max="11" width="19.5" bestFit="1" customWidth="1"/>
    <col min="12" max="12" width="11.875" bestFit="1" customWidth="1"/>
    <col min="13" max="13" width="14.25" bestFit="1" customWidth="1"/>
    <col min="14" max="14" width="15.5" bestFit="1" customWidth="1"/>
    <col min="15" max="15" width="5.375" bestFit="1" customWidth="1"/>
    <col min="16" max="16" width="4.875" customWidth="1"/>
    <col min="18" max="25" width="9.75" customWidth="1"/>
  </cols>
  <sheetData>
    <row r="1" spans="1:21" ht="6.75" customHeight="1" x14ac:dyDescent="0.3">
      <c r="A1" s="1"/>
      <c r="B1" s="1"/>
      <c r="C1" s="1"/>
      <c r="D1" s="1"/>
      <c r="E1" s="1"/>
      <c r="F1" s="1"/>
      <c r="G1" s="1"/>
      <c r="H1" s="1"/>
      <c r="I1" s="1"/>
      <c r="J1" s="1"/>
      <c r="K1" s="1"/>
      <c r="L1" s="1"/>
      <c r="M1" s="1"/>
      <c r="N1" s="1"/>
      <c r="O1" s="8"/>
      <c r="P1" s="8"/>
      <c r="Q1" s="8"/>
      <c r="R1" s="8"/>
      <c r="S1" s="8"/>
      <c r="T1" s="8"/>
      <c r="U1" s="8"/>
    </row>
    <row r="2" spans="1:21" ht="51" customHeight="1" x14ac:dyDescent="0.3">
      <c r="A2" s="112" t="s">
        <v>1</v>
      </c>
      <c r="B2" s="112"/>
      <c r="C2" s="112"/>
      <c r="D2" s="112"/>
      <c r="E2" s="112"/>
      <c r="F2" s="112"/>
      <c r="G2" s="112"/>
      <c r="H2" s="112"/>
      <c r="I2" s="112"/>
      <c r="J2" s="6"/>
      <c r="K2" s="167" t="str">
        <f>'Ditt informationsblad'!$E$2</f>
        <v>Civilingenjör i Industriell Ekonomi</v>
      </c>
      <c r="L2" s="167"/>
      <c r="M2" s="167"/>
      <c r="N2" s="167"/>
      <c r="O2" s="8"/>
      <c r="P2" s="8"/>
      <c r="Q2" s="8"/>
      <c r="R2" s="8"/>
      <c r="S2" s="8"/>
      <c r="T2" s="8"/>
      <c r="U2" s="8"/>
    </row>
    <row r="3" spans="1:21" ht="6.75" customHeight="1" x14ac:dyDescent="0.3">
      <c r="A3" s="1"/>
      <c r="B3" s="1"/>
      <c r="C3" s="1"/>
      <c r="D3" s="1"/>
      <c r="E3" s="1"/>
      <c r="F3" s="1"/>
      <c r="G3" s="1"/>
      <c r="H3" s="1"/>
      <c r="I3" s="1"/>
      <c r="J3" s="1"/>
      <c r="K3" s="1"/>
      <c r="L3" s="5"/>
      <c r="M3" s="1"/>
      <c r="N3" s="1"/>
      <c r="O3" s="8"/>
      <c r="P3" s="8"/>
      <c r="Q3" s="8"/>
      <c r="R3" s="8"/>
      <c r="S3" s="8"/>
      <c r="T3" s="8"/>
      <c r="U3" s="8"/>
    </row>
    <row r="4" spans="1:21" ht="9" customHeight="1" x14ac:dyDescent="0.3">
      <c r="G4" s="113"/>
      <c r="H4" s="113"/>
      <c r="I4" s="113"/>
      <c r="J4" s="76"/>
    </row>
    <row r="5" spans="1:21" ht="22.5" customHeight="1" x14ac:dyDescent="0.3">
      <c r="G5" s="113"/>
      <c r="H5" s="113"/>
      <c r="I5" s="113"/>
      <c r="J5" s="76"/>
    </row>
    <row r="6" spans="1:21" ht="27" customHeight="1" x14ac:dyDescent="0.3">
      <c r="B6" s="114" t="s">
        <v>64</v>
      </c>
      <c r="C6" s="114"/>
      <c r="D6" s="114"/>
      <c r="E6" s="114"/>
      <c r="F6" s="114" t="s">
        <v>61</v>
      </c>
      <c r="G6" s="114"/>
      <c r="H6" s="114"/>
      <c r="K6" s="12" t="s">
        <v>3</v>
      </c>
      <c r="L6" s="13" t="s">
        <v>4</v>
      </c>
      <c r="M6" s="13" t="s">
        <v>5</v>
      </c>
      <c r="N6" s="13" t="s">
        <v>6</v>
      </c>
      <c r="O6" s="14" t="s">
        <v>0</v>
      </c>
    </row>
    <row r="7" spans="1:21" ht="21" customHeight="1" x14ac:dyDescent="0.3">
      <c r="B7" s="109" t="s">
        <v>58</v>
      </c>
      <c r="C7" s="109"/>
      <c r="D7" s="109"/>
      <c r="E7" s="75">
        <f xml:space="preserve"> SUMIF(Programplan[NIVÅ],"G1",Programplan[POÄNG]) + SUMIF(Programplan[NIVÅ],"G2",Programplan[POÄNG])</f>
        <v>176</v>
      </c>
      <c r="F7" s="65" t="s">
        <v>65</v>
      </c>
      <c r="G7">
        <f>E7-SUMIFS(Programplan[POÄNG],Programplan[NIVÅ],"G1",Programplan[BETYG],"")-SUMIFS(Programplan[POÄNG],Programplan[NIVÅ],"G2",Programplan[BETYG],"")</f>
        <v>146</v>
      </c>
      <c r="K7" s="15" t="s">
        <v>2</v>
      </c>
      <c r="L7" s="16">
        <f>VLOOKUP(Program,AvailablePrograms[],2,FALSE)</f>
        <v>300</v>
      </c>
      <c r="M7" s="16">
        <f>I11</f>
        <v>146</v>
      </c>
      <c r="N7" s="17">
        <f>IFERROR(Examenskrav[[#This Row],[SUMMA]]-Examenskrav[[#This Row],[TAGNA]],"")</f>
        <v>154</v>
      </c>
      <c r="O7" s="16">
        <f>Examenskrav[[#This Row],[KVAR ATT TA]]</f>
        <v>154</v>
      </c>
    </row>
    <row r="8" spans="1:21" ht="21" customHeight="1" x14ac:dyDescent="0.3">
      <c r="B8" s="109" t="s">
        <v>62</v>
      </c>
      <c r="C8" s="109"/>
      <c r="D8" s="109"/>
      <c r="E8" s="75">
        <f xml:space="preserve"> SUMIF(Programplan[NIVÅ],"A",Programplan[POÄNG])</f>
        <v>36</v>
      </c>
      <c r="F8" s="65" t="s">
        <v>65</v>
      </c>
      <c r="G8">
        <f>E8-SUMIFS(Programplan[POÄNG],Programplan[NIVÅ],"A",Programplan[BETYG],"")</f>
        <v>0</v>
      </c>
      <c r="K8" s="72" t="str">
        <f>IF(OR(TechSpec="",TechSpec=" Ingen"),"Profil 1",TechSpec)</f>
        <v>Profil 1</v>
      </c>
      <c r="L8" s="16">
        <f>60</f>
        <v>60</v>
      </c>
      <c r="M8" s="16">
        <f>G9</f>
        <v>0</v>
      </c>
      <c r="N8" s="17">
        <f>IFERROR(Examenskrav[[#This Row],[SUMMA]]-Examenskrav[[#This Row],[TAGNA]],"")</f>
        <v>60</v>
      </c>
      <c r="O8" s="16">
        <f>Examenskrav[[#This Row],[KVAR ATT TA]]</f>
        <v>60</v>
      </c>
    </row>
    <row r="9" spans="1:21" ht="21" customHeight="1" x14ac:dyDescent="0.3">
      <c r="B9" s="109" t="str">
        <f xml:space="preserve"> IF(TechSpec="","",CONCATENATE("Inom ", TechSpec))</f>
        <v>Inom  Ingen</v>
      </c>
      <c r="C9" s="109"/>
      <c r="D9" s="109"/>
      <c r="E9" s="75">
        <f>SUMIF(Programplan[INRIKTNING],TechSpec,Programplan[POÄNG])</f>
        <v>0</v>
      </c>
      <c r="F9" s="65" t="str">
        <f>IF(B9="","","Varav avslutade")</f>
        <v>Varav avslutade</v>
      </c>
      <c r="G9">
        <f>E9-SUMIFS(Programplan[POÄNG],Programplan[INRIKTNING],TechSpec,Programplan[BETYG],"")</f>
        <v>0</v>
      </c>
      <c r="K9" s="72" t="str">
        <f>IF(OR(EcoSpec="",EcoSpec=" Ingen"),"Profil 2",EcoSpec)</f>
        <v>Profil 2</v>
      </c>
      <c r="L9" s="16">
        <v>60</v>
      </c>
      <c r="M9" s="16" t="str">
        <f>G10</f>
        <v/>
      </c>
      <c r="N9" s="17" t="str">
        <f>IFERROR(Examenskrav[[#This Row],[SUMMA]]-Examenskrav[[#This Row],[TAGNA]],"")</f>
        <v/>
      </c>
      <c r="O9" s="16" t="str">
        <f>Examenskrav[[#This Row],[KVAR ATT TA]]</f>
        <v/>
      </c>
    </row>
    <row r="10" spans="1:21" ht="21" customHeight="1" x14ac:dyDescent="0.3">
      <c r="B10" s="109" t="str">
        <f xml:space="preserve"> IF(OR(EcoSpec=" Ingen",EcoSpec=""),"",CONCATENATE("Inom ", EcoSpec))</f>
        <v/>
      </c>
      <c r="C10" s="109"/>
      <c r="D10" s="109"/>
      <c r="E10" s="75" t="str">
        <f>IF(B10="","",SUMIF(Programplan[INRIKTNING],EcoSpec,Programplan[POÄNG]))</f>
        <v/>
      </c>
      <c r="F10" s="65" t="str">
        <f>IF(B10="","","Varav avslutade")</f>
        <v/>
      </c>
      <c r="G10" t="str">
        <f>IFERROR(E10-SUMIFS(Programplan[POÄNG],Programplan[INRIKTNING],EcoSpec,Programplan[BETYG],""),"")</f>
        <v/>
      </c>
      <c r="K10" s="72" t="s">
        <v>62</v>
      </c>
      <c r="L10" s="16">
        <v>90</v>
      </c>
      <c r="M10" s="17">
        <f>G8</f>
        <v>0</v>
      </c>
      <c r="N10" s="17">
        <f>IFERROR(Examenskrav[[#This Row],[SUMMA]]-Examenskrav[[#This Row],[TAGNA]],"")</f>
        <v>90</v>
      </c>
      <c r="O10" s="16">
        <f>Examenskrav[[#This Row],[KVAR ATT TA]]</f>
        <v>90</v>
      </c>
    </row>
    <row r="11" spans="1:21" ht="21" customHeight="1" x14ac:dyDescent="0.3">
      <c r="B11" s="110" t="s">
        <v>59</v>
      </c>
      <c r="C11" s="110"/>
      <c r="D11" s="110"/>
      <c r="E11" s="71">
        <f xml:space="preserve"> SUM(Programplan[POÄNG])</f>
        <v>212</v>
      </c>
      <c r="F11" s="111" t="s">
        <v>60</v>
      </c>
      <c r="G11" s="111"/>
      <c r="H11" s="111"/>
      <c r="I11" s="73">
        <f>SUMIFS(Programplan[POÄNG],Programplan[BETYG],"G")+SUMIFS(Programplan[POÄNG],Programplan[BETYG],"3")+SUMIFS(Programplan[POÄNG],Programplan[BETYG],"4")+SUMIFS(Programplan[POÄNG],Programplan[BETYG],"5")</f>
        <v>146</v>
      </c>
      <c r="K11" s="14"/>
      <c r="L11" s="139"/>
      <c r="M11" s="139"/>
      <c r="N11" s="139"/>
      <c r="O11" s="139"/>
    </row>
    <row r="12" spans="1:21" ht="21" customHeight="1" x14ac:dyDescent="0.3">
      <c r="G12" s="18"/>
      <c r="H12" s="18"/>
      <c r="I12" s="18"/>
      <c r="J12" s="18"/>
      <c r="K12" s="11"/>
      <c r="L12" s="11"/>
      <c r="M12" s="11"/>
      <c r="N12" s="11"/>
      <c r="O12" s="11"/>
    </row>
    <row r="13" spans="1:21" ht="30" customHeight="1" thickBot="1" x14ac:dyDescent="0.35">
      <c r="B13" s="117" t="s">
        <v>236</v>
      </c>
      <c r="C13" s="118"/>
      <c r="D13" s="165">
        <f>IFERROR(AVERAGE(Programplan[BETYG]),"")</f>
        <v>4.5909090909090908</v>
      </c>
      <c r="F13" s="169" t="s">
        <v>237</v>
      </c>
      <c r="G13" s="169"/>
      <c r="H13" s="169"/>
      <c r="I13" s="169"/>
      <c r="J13" s="18"/>
      <c r="K13" s="166" t="s">
        <v>9</v>
      </c>
      <c r="L13" s="166"/>
      <c r="M13" s="174">
        <f>Avslutade_poäng</f>
        <v>146</v>
      </c>
      <c r="N13" s="175"/>
      <c r="O13" s="177" t="str">
        <f>CONCATENATE(TEXT(M7/L7,"##%")," SLUTFÖRD!")</f>
        <v>49% SLUTFÖRD!</v>
      </c>
      <c r="P13" s="178"/>
      <c r="Q13" s="178"/>
    </row>
    <row r="14" spans="1:21" ht="30" customHeight="1" thickTop="1" x14ac:dyDescent="0.3">
      <c r="F14" s="106"/>
      <c r="G14" s="106"/>
      <c r="H14" s="106"/>
      <c r="I14" s="106"/>
      <c r="J14" s="18"/>
      <c r="K14" s="99"/>
      <c r="L14" s="99"/>
      <c r="M14" s="107"/>
      <c r="N14" s="107"/>
      <c r="O14" s="82"/>
    </row>
    <row r="15" spans="1:21" ht="9" customHeight="1" x14ac:dyDescent="0.3">
      <c r="A15" s="1"/>
      <c r="B15" s="1"/>
      <c r="C15" s="1"/>
      <c r="D15" s="1"/>
      <c r="E15" s="1"/>
      <c r="F15" s="1"/>
      <c r="G15" s="1"/>
      <c r="H15" s="1"/>
      <c r="I15" s="1"/>
      <c r="J15" s="1"/>
      <c r="K15" s="1"/>
      <c r="L15" s="1"/>
      <c r="M15" s="1"/>
      <c r="N15" s="1"/>
      <c r="O15" s="8"/>
      <c r="P15" s="8"/>
      <c r="Q15" s="8"/>
      <c r="R15" s="8"/>
      <c r="S15" s="8"/>
      <c r="T15" s="8"/>
      <c r="U15" s="8"/>
    </row>
    <row r="16" spans="1:21" ht="51" customHeight="1" x14ac:dyDescent="0.3">
      <c r="A16" s="176" t="s">
        <v>67</v>
      </c>
      <c r="B16" s="176"/>
      <c r="C16" s="176"/>
      <c r="D16" s="176"/>
      <c r="E16" s="176"/>
      <c r="F16" s="176"/>
      <c r="G16" s="115"/>
      <c r="H16" s="115"/>
      <c r="I16" s="115"/>
      <c r="J16" s="6"/>
      <c r="K16" s="172"/>
      <c r="L16" s="173"/>
      <c r="M16" s="173"/>
      <c r="N16" s="173"/>
      <c r="O16" s="173"/>
      <c r="P16" s="173"/>
      <c r="Q16" s="8"/>
      <c r="R16" s="8"/>
      <c r="S16" s="8"/>
      <c r="T16" s="8"/>
      <c r="U16" s="8"/>
    </row>
    <row r="17" spans="1:25" ht="9" customHeight="1" x14ac:dyDescent="0.3">
      <c r="A17" s="1"/>
      <c r="B17" s="1"/>
      <c r="C17" s="1"/>
      <c r="D17" s="1"/>
      <c r="E17" s="1"/>
      <c r="F17" s="1"/>
      <c r="G17" s="1"/>
      <c r="H17" s="1"/>
      <c r="I17" s="1"/>
      <c r="J17" s="1"/>
      <c r="K17" s="1"/>
      <c r="L17" s="5"/>
      <c r="M17" s="1"/>
      <c r="N17" s="1"/>
      <c r="O17" s="8"/>
      <c r="P17" s="8"/>
      <c r="Q17" s="8"/>
      <c r="R17" s="8"/>
      <c r="S17" s="8"/>
      <c r="T17" s="8"/>
      <c r="U17" s="8"/>
    </row>
    <row r="18" spans="1:25" ht="19.5" customHeight="1" x14ac:dyDescent="0.3"/>
    <row r="19" spans="1:25" ht="35.25" customHeight="1" x14ac:dyDescent="0.3">
      <c r="B19" s="170" t="s">
        <v>100</v>
      </c>
      <c r="C19" s="170"/>
      <c r="D19" s="170"/>
      <c r="E19" s="170"/>
      <c r="F19" s="170"/>
      <c r="G19" s="170"/>
      <c r="K19" s="170" t="s">
        <v>105</v>
      </c>
      <c r="L19" s="170"/>
      <c r="M19" s="170"/>
      <c r="N19" s="170"/>
      <c r="O19" s="170"/>
      <c r="P19" s="85"/>
    </row>
    <row r="20" spans="1:25" ht="90.75" customHeight="1" thickBot="1" x14ac:dyDescent="0.35">
      <c r="B20" s="171"/>
      <c r="C20" s="171"/>
      <c r="D20" s="171"/>
      <c r="E20" s="171"/>
      <c r="F20" s="171"/>
      <c r="G20" s="171"/>
      <c r="K20" s="171"/>
      <c r="L20" s="171"/>
      <c r="M20" s="171"/>
      <c r="N20" s="171"/>
      <c r="O20" s="171"/>
      <c r="P20" s="85"/>
      <c r="Q20" s="86"/>
      <c r="R20" s="87" t="s">
        <v>99</v>
      </c>
      <c r="S20" s="87"/>
      <c r="T20" s="87"/>
      <c r="U20" s="87"/>
      <c r="V20" s="87" t="s">
        <v>99</v>
      </c>
      <c r="W20" s="86"/>
      <c r="X20" s="86"/>
      <c r="Y20" s="86"/>
    </row>
    <row r="21" spans="1:25" ht="21" customHeight="1" thickTop="1" x14ac:dyDescent="0.3">
      <c r="Q21" s="86"/>
      <c r="R21" s="88">
        <v>1</v>
      </c>
      <c r="S21" s="87"/>
      <c r="T21" s="87"/>
      <c r="U21" s="87"/>
      <c r="V21" s="88">
        <v>2</v>
      </c>
      <c r="W21" s="86"/>
      <c r="X21" s="86"/>
      <c r="Y21" s="86"/>
    </row>
    <row r="22" spans="1:25" ht="30.75" customHeight="1" x14ac:dyDescent="0.2">
      <c r="K22" s="137" t="s">
        <v>63</v>
      </c>
      <c r="L22" s="137" t="s">
        <v>68</v>
      </c>
      <c r="M22" s="137" t="s">
        <v>69</v>
      </c>
      <c r="N22" s="168" t="s">
        <v>94</v>
      </c>
      <c r="O22" s="168"/>
      <c r="P22" s="168"/>
      <c r="Q22" s="86" t="s">
        <v>98</v>
      </c>
      <c r="R22" s="83">
        <v>1</v>
      </c>
      <c r="S22" s="83">
        <v>2</v>
      </c>
      <c r="T22" s="83">
        <v>3</v>
      </c>
      <c r="U22" s="83">
        <v>4</v>
      </c>
      <c r="V22" s="83">
        <v>1</v>
      </c>
      <c r="W22" s="83">
        <v>2</v>
      </c>
      <c r="X22" s="83">
        <v>3</v>
      </c>
      <c r="Y22" s="83">
        <v>4</v>
      </c>
    </row>
    <row r="23" spans="1:25" ht="27.75" customHeight="1" x14ac:dyDescent="0.3">
      <c r="K23" s="136">
        <v>1</v>
      </c>
      <c r="L23" s="135">
        <f>IFERROR(GETPIVOTDATA("Antal av KURSNAMN",Data!$H$15,"TERMIN",Konstanter!H6),"")</f>
        <v>4</v>
      </c>
      <c r="M23" s="135">
        <f>IFERROR(GETPIVOTDATA("Summa av POÄNG",Data!$H$15,"TERMIN",Konstanter!H6),"")</f>
        <v>30</v>
      </c>
      <c r="N23" s="179" t="str">
        <f>IF(COUNTIF(R23:Y23,"&gt;1")&gt;0,"Potientiella schemakrockar i denna termin.","")</f>
        <v/>
      </c>
      <c r="O23" s="179"/>
      <c r="P23" s="179"/>
      <c r="Q23" s="84" t="str">
        <f>CONCATENATE("Termin ",$K23)</f>
        <v>Termin 1</v>
      </c>
      <c r="R23" s="89">
        <f>IFERROR(GETPIVOTDATA("Antal av KURSNAMN",Data!$H$15,"Termin",$K23,"Period",$R$21,"Block",R$22),0)</f>
        <v>0</v>
      </c>
      <c r="S23" s="89">
        <f>IFERROR(GETPIVOTDATA("Antal av KURSNAMN",Data!$H$15,"Termin",$K23,"Period",$R$21,"Block",S$22),0)</f>
        <v>0</v>
      </c>
      <c r="T23" s="89">
        <f>IFERROR(GETPIVOTDATA("Antal av KURSNAMN",Data!$H$15,"Termin",$K23,"Period",$R$21,"Block",T$22),0)</f>
        <v>0</v>
      </c>
      <c r="U23" s="90">
        <f>IFERROR(GETPIVOTDATA("Antal av KURSNAMN",Data!$H$15,"Termin",$K23,"Period",$R$21,"Block",U$22),0)</f>
        <v>0</v>
      </c>
      <c r="V23" s="90">
        <f>IFERROR(GETPIVOTDATA("Antal av KURSNAMN",Data!$H$15,"Termin",$K23,"Period",$V$21,"Block",V$22),0)</f>
        <v>0</v>
      </c>
      <c r="W23" s="89">
        <f>IFERROR(GETPIVOTDATA("Antal av KURSNAMN",Data!$H$15,"Termin",$K23,"Period",$V$21,"Block",W$22),0)</f>
        <v>0</v>
      </c>
      <c r="X23" s="89">
        <f>IFERROR(GETPIVOTDATA("Antal av KURSNAMN",Data!$H$15,"Termin",$K23,"Period",$V$21,"Block",X$22),0)</f>
        <v>1</v>
      </c>
      <c r="Y23" s="89">
        <f>IFERROR(GETPIVOTDATA("Antal av KURSNAMN",Data!$H$15,"Termin",$K23,"Period",$V$21,"Block",Y$22),0)</f>
        <v>0</v>
      </c>
    </row>
    <row r="24" spans="1:25" ht="27.75" customHeight="1" x14ac:dyDescent="0.3">
      <c r="K24" s="136">
        <v>2</v>
      </c>
      <c r="L24" s="135">
        <f>IFERROR(GETPIVOTDATA("Antal av KURSNAMN",Data!$H$15,"TERMIN",Konstanter!H7),"")</f>
        <v>5</v>
      </c>
      <c r="M24" s="135">
        <f>IFERROR(GETPIVOTDATA("Summa av POÄNG",Data!$H$15,"TERMIN",Konstanter!H7),"")</f>
        <v>30</v>
      </c>
      <c r="N24" s="179" t="str">
        <f>CONCATENATE(IF(COUNTIF(R24:Y24,"&gt;1")&gt;0,"Potientiella schemakrockar i denna termin. ",""),IF(IF(SUM(M23:M24)&lt;60,SUM(M23:M24)&lt;&gt;0),"Mindre än 60 hp detta läsår",""))</f>
        <v/>
      </c>
      <c r="O24" s="179"/>
      <c r="P24" s="179"/>
      <c r="Q24" s="84" t="str">
        <f t="shared" ref="Q24:Q31" si="0">CONCATENATE("Termin ",$K24)</f>
        <v>Termin 2</v>
      </c>
      <c r="R24" s="89">
        <f>IFERROR(GETPIVOTDATA("Antal av KURSNAMN",Data!$H$15,"Termin",$K24,"Period",$R$21,"Block",R$22),0)</f>
        <v>0</v>
      </c>
      <c r="S24" s="89">
        <f>IFERROR(GETPIVOTDATA("Antal av KURSNAMN",Data!$H$15,"Termin",$K24,"Period",$R$21,"Block",S$22),0)</f>
        <v>1</v>
      </c>
      <c r="T24" s="89">
        <f>IFERROR(GETPIVOTDATA("Antal av KURSNAMN",Data!$H$15,"Termin",$K24,"Period",$R$21,"Block",T$22),0)</f>
        <v>0</v>
      </c>
      <c r="U24" s="90">
        <f>IFERROR(GETPIVOTDATA("Antal av KURSNAMN",Data!$H$15,"Termin",$K24,"Period",$R$21,"Block",U$22),0)</f>
        <v>0</v>
      </c>
      <c r="V24" s="90">
        <f>IFERROR(GETPIVOTDATA("Antal av KURSNAMN",Data!$H$15,"Termin",$K24,"Period",$V$21,"Block",V$22),0)</f>
        <v>0</v>
      </c>
      <c r="W24" s="89">
        <f>IFERROR(GETPIVOTDATA("Antal av KURSNAMN",Data!$H$15,"Termin",$K24,"Period",$V$21,"Block",W$22),0)</f>
        <v>1</v>
      </c>
      <c r="X24" s="89">
        <f>IFERROR(GETPIVOTDATA("Antal av KURSNAMN",Data!$H$15,"Termin",$K24,"Period",$V$21,"Block",X$22),0)</f>
        <v>1</v>
      </c>
      <c r="Y24" s="89">
        <f>IFERROR(GETPIVOTDATA("Antal av KURSNAMN",Data!$H$15,"Termin",$K24,"Period",$V$21,"Block",Y$22),0)</f>
        <v>0</v>
      </c>
    </row>
    <row r="25" spans="1:25" ht="27.75" customHeight="1" x14ac:dyDescent="0.3">
      <c r="K25" s="136">
        <v>3</v>
      </c>
      <c r="L25" s="135">
        <f>IFERROR(GETPIVOTDATA("Antal av KURSNAMN",Data!$H$15,"TERMIN",Konstanter!H8),"")</f>
        <v>5</v>
      </c>
      <c r="M25" s="135">
        <f>IFERROR(GETPIVOTDATA("Summa av POÄNG",Data!$H$15,"TERMIN",Konstanter!H8),"")</f>
        <v>30</v>
      </c>
      <c r="N25" s="179" t="str">
        <f t="shared" ref="N25" si="1">IF(COUNTIF(R25:Y25,"&gt;1")&gt;0,"Potientiella schemakrockar i denna termin.","")</f>
        <v/>
      </c>
      <c r="O25" s="179"/>
      <c r="P25" s="179"/>
      <c r="Q25" s="84" t="str">
        <f t="shared" si="0"/>
        <v>Termin 3</v>
      </c>
      <c r="R25" s="89">
        <f>IFERROR(GETPIVOTDATA("Antal av KURSNAMN",Data!$H$15,"Termin",$K25,"Period",$R$21,"Block",R$22),0)</f>
        <v>1</v>
      </c>
      <c r="S25" s="89">
        <f>IFERROR(GETPIVOTDATA("Antal av KURSNAMN",Data!$H$15,"Termin",$K25,"Period",$R$21,"Block",S$22),0)</f>
        <v>1</v>
      </c>
      <c r="T25" s="89">
        <f>IFERROR(GETPIVOTDATA("Antal av KURSNAMN",Data!$H$15,"Termin",$K25,"Period",$R$21,"Block",T$22),0)</f>
        <v>0</v>
      </c>
      <c r="U25" s="90">
        <f>IFERROR(GETPIVOTDATA("Antal av KURSNAMN",Data!$H$15,"Termin",$K25,"Period",$R$21,"Block",U$22),0)</f>
        <v>0</v>
      </c>
      <c r="V25" s="90">
        <f>IFERROR(GETPIVOTDATA("Antal av KURSNAMN",Data!$H$15,"Termin",$K25,"Period",$V$21,"Block",V$22),0)</f>
        <v>0</v>
      </c>
      <c r="W25" s="89">
        <f>IFERROR(GETPIVOTDATA("Antal av KURSNAMN",Data!$H$15,"Termin",$K25,"Period",$V$21,"Block",W$22),0)</f>
        <v>1</v>
      </c>
      <c r="X25" s="89">
        <f>IFERROR(GETPIVOTDATA("Antal av KURSNAMN",Data!$H$15,"Termin",$K25,"Period",$V$21,"Block",X$22),0)</f>
        <v>1</v>
      </c>
      <c r="Y25" s="89">
        <f>IFERROR(GETPIVOTDATA("Antal av KURSNAMN",Data!$H$15,"Termin",$K25,"Period",$V$21,"Block",Y$22),0)</f>
        <v>0</v>
      </c>
    </row>
    <row r="26" spans="1:25" ht="27.75" customHeight="1" x14ac:dyDescent="0.3">
      <c r="K26" s="136">
        <v>4</v>
      </c>
      <c r="L26" s="135">
        <f>IFERROR(GETPIVOTDATA("Antal av KURSNAMN",Data!$H$15,"TERMIN",Konstanter!H9),"")</f>
        <v>5</v>
      </c>
      <c r="M26" s="135">
        <f>IFERROR(GETPIVOTDATA("Summa av POÄNG",Data!$H$15,"TERMIN",Konstanter!H9),"")</f>
        <v>26</v>
      </c>
      <c r="N26" s="179" t="str">
        <f>CONCATENATE(IF(COUNTIF(R26:Y26,"&gt;1")&gt;0,"Potientiella schemakrockar i denna termin. ",""),IF(IF(SUM(M25:M26)&lt;60,SUM(M25:M26)&lt;&gt;0),"Mindre än 60 hp detta läsår",""))</f>
        <v>Mindre än 60 hp detta läsår</v>
      </c>
      <c r="O26" s="179"/>
      <c r="P26" s="179"/>
      <c r="Q26" s="84" t="str">
        <f t="shared" si="0"/>
        <v>Termin 4</v>
      </c>
      <c r="R26" s="89">
        <f>IFERROR(GETPIVOTDATA("Antal av KURSNAMN",Data!$H$15,"Termin",$K26,"Period",$R$21,"Block",R$22),0)</f>
        <v>1</v>
      </c>
      <c r="S26" s="89">
        <f>IFERROR(GETPIVOTDATA("Antal av KURSNAMN",Data!$H$15,"Termin",$K26,"Period",$R$21,"Block",S$22),0)</f>
        <v>1</v>
      </c>
      <c r="T26" s="89">
        <f>IFERROR(GETPIVOTDATA("Antal av KURSNAMN",Data!$H$15,"Termin",$K26,"Period",$R$21,"Block",T$22),0)</f>
        <v>0</v>
      </c>
      <c r="U26" s="90">
        <f>IFERROR(GETPIVOTDATA("Antal av KURSNAMN",Data!$H$15,"Termin",$K26,"Period",$R$21,"Block",U$22),0)</f>
        <v>0</v>
      </c>
      <c r="V26" s="90">
        <f>IFERROR(GETPIVOTDATA("Antal av KURSNAMN",Data!$H$15,"Termin",$K26,"Period",$V$21,"Block",V$22),0)</f>
        <v>1</v>
      </c>
      <c r="W26" s="89">
        <f>IFERROR(GETPIVOTDATA("Antal av KURSNAMN",Data!$H$15,"Termin",$K26,"Period",$V$21,"Block",W$22),0)</f>
        <v>0</v>
      </c>
      <c r="X26" s="89">
        <f>IFERROR(GETPIVOTDATA("Antal av KURSNAMN",Data!$H$15,"Termin",$K26,"Period",$V$21,"Block",X$22),0)</f>
        <v>1</v>
      </c>
      <c r="Y26" s="89">
        <f>IFERROR(GETPIVOTDATA("Antal av KURSNAMN",Data!$H$15,"Termin",$K26,"Period",$V$21,"Block",Y$22),0)</f>
        <v>1</v>
      </c>
    </row>
    <row r="27" spans="1:25" ht="27.75" customHeight="1" x14ac:dyDescent="0.3">
      <c r="K27" s="136">
        <v>5</v>
      </c>
      <c r="L27" s="135">
        <f>IFERROR(GETPIVOTDATA("Antal av KURSNAMN",Data!$H$15,"TERMIN",Konstanter!H10),"")</f>
        <v>6</v>
      </c>
      <c r="M27" s="135">
        <f>IFERROR(GETPIVOTDATA("Summa av POÄNG",Data!$H$15,"TERMIN",Konstanter!H10),"")</f>
        <v>30</v>
      </c>
      <c r="N27" s="179" t="str">
        <f t="shared" ref="N27:N29" si="2">IF(COUNTIF(R27:Y27,"&gt;1")&gt;0,"Potientiella schemakrockar i denna termin.","")</f>
        <v/>
      </c>
      <c r="O27" s="179"/>
      <c r="P27" s="179"/>
      <c r="Q27" s="84" t="str">
        <f t="shared" si="0"/>
        <v>Termin 5</v>
      </c>
      <c r="R27" s="89">
        <f>IFERROR(GETPIVOTDATA("Antal av KURSNAMN",Data!$H$15,"Termin",$K27,"Period",$R$21,"Block",R$22),0)</f>
        <v>1</v>
      </c>
      <c r="S27" s="89">
        <f>IFERROR(GETPIVOTDATA("Antal av KURSNAMN",Data!$H$15,"Termin",$K27,"Period",$R$21,"Block",S$22),0)</f>
        <v>1</v>
      </c>
      <c r="T27" s="89">
        <f>IFERROR(GETPIVOTDATA("Antal av KURSNAMN",Data!$H$15,"Termin",$K27,"Period",$R$21,"Block",T$22),0)</f>
        <v>0</v>
      </c>
      <c r="U27" s="90">
        <f>IFERROR(GETPIVOTDATA("Antal av KURSNAMN",Data!$H$15,"Termin",$K27,"Period",$R$21,"Block",U$22),0)</f>
        <v>1</v>
      </c>
      <c r="V27" s="90">
        <f>IFERROR(GETPIVOTDATA("Antal av KURSNAMN",Data!$H$15,"Termin",$K27,"Period",$V$21,"Block",V$22),0)</f>
        <v>1</v>
      </c>
      <c r="W27" s="89">
        <f>IFERROR(GETPIVOTDATA("Antal av KURSNAMN",Data!$H$15,"Termin",$K27,"Period",$V$21,"Block",W$22),0)</f>
        <v>0</v>
      </c>
      <c r="X27" s="89">
        <f>IFERROR(GETPIVOTDATA("Antal av KURSNAMN",Data!$H$15,"Termin",$K27,"Period",$V$21,"Block",X$22),0)</f>
        <v>1</v>
      </c>
      <c r="Y27" s="89">
        <f>IFERROR(GETPIVOTDATA("Antal av KURSNAMN",Data!$H$15,"Termin",$K27,"Period",$V$21,"Block",Y$22),0)</f>
        <v>1</v>
      </c>
    </row>
    <row r="28" spans="1:25" ht="27.75" customHeight="1" x14ac:dyDescent="0.3">
      <c r="K28" s="136">
        <v>6</v>
      </c>
      <c r="L28" s="135">
        <f>IFERROR(GETPIVOTDATA("Antal av KURSNAMN",Data!$H$15,"TERMIN",Konstanter!H11),"")</f>
        <v>3</v>
      </c>
      <c r="M28" s="135">
        <f>IFERROR(GETPIVOTDATA("Summa av POÄNG",Data!$H$15,"TERMIN",Konstanter!H11),"")</f>
        <v>30</v>
      </c>
      <c r="N28" s="179" t="str">
        <f>CONCATENATE(IF(COUNTIF(R28:Y28,"&gt;1")&gt;0,"Potientiella schemakrockar i denna termin. ",""),IF(IF(SUM(M27:M28)&lt;60,SUM(M27:M28)&lt;&gt;0),"Mindre än 60 hp detta läsår",""))</f>
        <v/>
      </c>
      <c r="O28" s="179"/>
      <c r="P28" s="179"/>
      <c r="Q28" s="84" t="str">
        <f t="shared" si="0"/>
        <v>Termin 6</v>
      </c>
      <c r="R28" s="89">
        <f>IFERROR(GETPIVOTDATA("Antal av KURSNAMN",Data!$H$15,"Termin",$K28,"Period",$R$21,"Block",R$22),0)</f>
        <v>0</v>
      </c>
      <c r="S28" s="89">
        <f>IFERROR(GETPIVOTDATA("Antal av KURSNAMN",Data!$H$15,"Termin",$K28,"Period",$R$21,"Block",S$22),0)</f>
        <v>0</v>
      </c>
      <c r="T28" s="89">
        <f>IFERROR(GETPIVOTDATA("Antal av KURSNAMN",Data!$H$15,"Termin",$K28,"Period",$R$21,"Block",T$22),0)</f>
        <v>0</v>
      </c>
      <c r="U28" s="90">
        <f>IFERROR(GETPIVOTDATA("Antal av KURSNAMN",Data!$H$15,"Termin",$K28,"Period",$R$21,"Block",U$22),0)</f>
        <v>1</v>
      </c>
      <c r="V28" s="90">
        <f>IFERROR(GETPIVOTDATA("Antal av KURSNAMN",Data!$H$15,"Termin",$K28,"Period",$V$21,"Block",V$22),0)</f>
        <v>0</v>
      </c>
      <c r="W28" s="89">
        <f>IFERROR(GETPIVOTDATA("Antal av KURSNAMN",Data!$H$15,"Termin",$K28,"Period",$V$21,"Block",W$22),0)</f>
        <v>0</v>
      </c>
      <c r="X28" s="89">
        <f>IFERROR(GETPIVOTDATA("Antal av KURSNAMN",Data!$H$15,"Termin",$K28,"Period",$V$21,"Block",X$22),0)</f>
        <v>0</v>
      </c>
      <c r="Y28" s="89">
        <f>IFERROR(GETPIVOTDATA("Antal av KURSNAMN",Data!$H$15,"Termin",$K28,"Period",$V$21,"Block",Y$22),0)</f>
        <v>0</v>
      </c>
    </row>
    <row r="29" spans="1:25" ht="27.75" customHeight="1" x14ac:dyDescent="0.3">
      <c r="K29" s="136">
        <v>7</v>
      </c>
      <c r="L29" s="135">
        <f>IFERROR(GETPIVOTDATA("Antal av KURSNAMN",Data!$H$15,"TERMIN",Konstanter!H12),"")</f>
        <v>3</v>
      </c>
      <c r="M29" s="135">
        <f>IFERROR(GETPIVOTDATA("Summa av POÄNG",Data!$H$15,"TERMIN",Konstanter!H12),"")</f>
        <v>18</v>
      </c>
      <c r="N29" s="179" t="str">
        <f t="shared" si="2"/>
        <v/>
      </c>
      <c r="O29" s="179"/>
      <c r="P29" s="179"/>
      <c r="Q29" s="84" t="str">
        <f t="shared" si="0"/>
        <v>Termin 7</v>
      </c>
      <c r="R29" s="89">
        <f>IFERROR(GETPIVOTDATA("Antal av KURSNAMN",Data!$H$15,"Termin",$K29,"Period",$R$21,"Block",R$22),0)</f>
        <v>0</v>
      </c>
      <c r="S29" s="89">
        <f>IFERROR(GETPIVOTDATA("Antal av KURSNAMN",Data!$H$15,"Termin",$K29,"Period",$R$21,"Block",S$22),0)</f>
        <v>1</v>
      </c>
      <c r="T29" s="89">
        <f>IFERROR(GETPIVOTDATA("Antal av KURSNAMN",Data!$H$15,"Termin",$K29,"Period",$R$21,"Block",T$22),0)</f>
        <v>1</v>
      </c>
      <c r="U29" s="90">
        <f>IFERROR(GETPIVOTDATA("Antal av KURSNAMN",Data!$H$15,"Termin",$K29,"Period",$R$21,"Block",U$22),0)</f>
        <v>0</v>
      </c>
      <c r="V29" s="90">
        <f>IFERROR(GETPIVOTDATA("Antal av KURSNAMN",Data!$H$15,"Termin",$K29,"Period",$V$21,"Block",V$22),0)</f>
        <v>1</v>
      </c>
      <c r="W29" s="89">
        <f>IFERROR(GETPIVOTDATA("Antal av KURSNAMN",Data!$H$15,"Termin",$K29,"Period",$V$21,"Block",W$22),0)</f>
        <v>0</v>
      </c>
      <c r="X29" s="89">
        <f>IFERROR(GETPIVOTDATA("Antal av KURSNAMN",Data!$H$15,"Termin",$K29,"Period",$V$21,"Block",X$22),0)</f>
        <v>0</v>
      </c>
      <c r="Y29" s="89">
        <f>IFERROR(GETPIVOTDATA("Antal av KURSNAMN",Data!$H$15,"Termin",$K29,"Period",$V$21,"Block",Y$22),0)</f>
        <v>0</v>
      </c>
    </row>
    <row r="30" spans="1:25" ht="27.75" customHeight="1" x14ac:dyDescent="0.3">
      <c r="K30" s="136">
        <v>8</v>
      </c>
      <c r="L30" s="135">
        <f>IFERROR(GETPIVOTDATA("Antal av KURSNAMN",Data!$H$15,"TERMIN",Konstanter!H13),"")</f>
        <v>2</v>
      </c>
      <c r="M30" s="135">
        <f>IFERROR(GETPIVOTDATA("Summa av POÄNG",Data!$H$15,"TERMIN",Konstanter!H13),"")</f>
        <v>18</v>
      </c>
      <c r="N30" s="179" t="str">
        <f>CONCATENATE(IF(COUNTIF(R30:Y30,"&gt;1")&gt;0,"Potientiella schemakrockar i denna termin. ",""),IF(IF(SUM(M29:M30)&lt;60,SUM(M29:M30)&lt;&gt;0),"Mindre än 60 hp detta läsår",""))</f>
        <v>Mindre än 60 hp detta läsår</v>
      </c>
      <c r="O30" s="179"/>
      <c r="P30" s="179"/>
      <c r="Q30" s="84" t="str">
        <f t="shared" si="0"/>
        <v>Termin 8</v>
      </c>
      <c r="R30" s="89">
        <f>IFERROR(GETPIVOTDATA("Antal av KURSNAMN",Data!$H$15,"Termin",$K30,"Period",$R$21,"Block",R$22),0)</f>
        <v>0</v>
      </c>
      <c r="S30" s="89">
        <f>IFERROR(GETPIVOTDATA("Antal av KURSNAMN",Data!$H$15,"Termin",$K30,"Period",$R$21,"Block",S$22),0)</f>
        <v>0</v>
      </c>
      <c r="T30" s="89">
        <f>IFERROR(GETPIVOTDATA("Antal av KURSNAMN",Data!$H$15,"Termin",$K30,"Period",$R$21,"Block",T$22),0)</f>
        <v>0</v>
      </c>
      <c r="U30" s="90">
        <f>IFERROR(GETPIVOTDATA("Antal av KURSNAMN",Data!$H$15,"Termin",$K30,"Period",$R$21,"Block",U$22),0)</f>
        <v>0</v>
      </c>
      <c r="V30" s="90">
        <f>IFERROR(GETPIVOTDATA("Antal av KURSNAMN",Data!$H$15,"Termin",$K30,"Period",$V$21,"Block",V$22),0)</f>
        <v>0</v>
      </c>
      <c r="W30" s="89">
        <f>IFERROR(GETPIVOTDATA("Antal av KURSNAMN",Data!$H$15,"Termin",$K30,"Period",$V$21,"Block",W$22),0)</f>
        <v>0</v>
      </c>
      <c r="X30" s="89">
        <f>IFERROR(GETPIVOTDATA("Antal av KURSNAMN",Data!$H$15,"Termin",$K30,"Period",$V$21,"Block",X$22),0)</f>
        <v>0</v>
      </c>
      <c r="Y30" s="89">
        <f>IFERROR(GETPIVOTDATA("Antal av KURSNAMN",Data!$H$15,"Termin",$K30,"Period",$V$21,"Block",Y$22),0)</f>
        <v>0</v>
      </c>
    </row>
    <row r="31" spans="1:25" ht="27.75" customHeight="1" x14ac:dyDescent="0.3">
      <c r="K31" s="136">
        <v>9</v>
      </c>
      <c r="L31" s="135" t="str">
        <f>IFERROR(GETPIVOTDATA("Antal av KURSNAMN",Data!$H$15,"TERMIN",Konstanter!H14),"")</f>
        <v/>
      </c>
      <c r="M31" s="135" t="str">
        <f>IFERROR(GETPIVOTDATA("Summa av POÄNG",Data!$H$15,"TERMIN",Konstanter!H14),"")</f>
        <v/>
      </c>
      <c r="N31" s="179" t="str">
        <f t="shared" ref="N31" si="3">IF(COUNTIF(R31:Y31,"&gt;1")&gt;0,"Potientiella schemakrockar i denna termin.","")</f>
        <v/>
      </c>
      <c r="O31" s="179"/>
      <c r="P31" s="179"/>
      <c r="Q31" s="84" t="str">
        <f t="shared" si="0"/>
        <v>Termin 9</v>
      </c>
      <c r="R31" s="89">
        <f>IFERROR(GETPIVOTDATA("Antal av KURSNAMN",Data!$H$15,"Termin",$K31,"Period",$R$21,"Block",R$22),0)</f>
        <v>0</v>
      </c>
      <c r="S31" s="89">
        <f>IFERROR(GETPIVOTDATA("Antal av KURSNAMN",Data!$H$15,"Termin",$K31,"Period",$R$21,"Block",S$22),0)</f>
        <v>0</v>
      </c>
      <c r="T31" s="89">
        <f>IFERROR(GETPIVOTDATA("Antal av KURSNAMN",Data!$H$15,"Termin",$K31,"Period",$R$21,"Block",T$22),0)</f>
        <v>0</v>
      </c>
      <c r="U31" s="90">
        <f>IFERROR(GETPIVOTDATA("Antal av KURSNAMN",Data!$H$15,"Termin",$K31,"Period",$R$21,"Block",U$22),0)</f>
        <v>0</v>
      </c>
      <c r="V31" s="90">
        <f>IFERROR(GETPIVOTDATA("Antal av KURSNAMN",Data!$H$15,"Termin",$K31,"Period",$V$21,"Block",V$22),0)</f>
        <v>0</v>
      </c>
      <c r="W31" s="89">
        <f>IFERROR(GETPIVOTDATA("Antal av KURSNAMN",Data!$H$15,"Termin",$K31,"Period",$V$21,"Block",W$22),0)</f>
        <v>0</v>
      </c>
      <c r="X31" s="89">
        <f>IFERROR(GETPIVOTDATA("Antal av KURSNAMN",Data!$H$15,"Termin",$K31,"Period",$V$21,"Block",X$22),0)</f>
        <v>0</v>
      </c>
      <c r="Y31" s="89">
        <f>IFERROR(GETPIVOTDATA("Antal av KURSNAMN",Data!$H$15,"Termin",$K31,"Period",$V$21,"Block",Y$22),0)</f>
        <v>0</v>
      </c>
    </row>
    <row r="32" spans="1:25" ht="27.75" customHeight="1" x14ac:dyDescent="0.3">
      <c r="K32" s="136">
        <v>10</v>
      </c>
      <c r="L32" s="135" t="str">
        <f>IFERROR(GETPIVOTDATA("Antal av KURSNAMN",Data!$H$15,"TERMIN",Konstanter!H15),"")</f>
        <v/>
      </c>
      <c r="M32" s="135" t="str">
        <f>IFERROR(GETPIVOTDATA("Summa av POÄNG",Data!$H$15,"TERMIN",Konstanter!H15),"")</f>
        <v/>
      </c>
      <c r="N32" s="179" t="str">
        <f>CONCATENATE(IF(COUNTIF(R32:Y32,"&gt;1")&gt;0,"Potientiella schemakrockar i denna termin. ",""),IF(IF(SUM(M31:M32)&lt;60,SUM(M31:M32)&lt;&gt;0),"Mindre än 60 hp detta läsår",""))</f>
        <v/>
      </c>
      <c r="O32" s="179"/>
      <c r="P32" s="179"/>
      <c r="Q32" s="84" t="str">
        <f>CONCATENATE("Termin ",$K32)</f>
        <v>Termin 10</v>
      </c>
      <c r="R32" s="89">
        <f>IFERROR(GETPIVOTDATA("Antal av KURSNAMN",Data!$H$15,"Termin",$K32,"Period",$R$21,"Block",R$22),0)</f>
        <v>0</v>
      </c>
      <c r="S32" s="89">
        <f>IFERROR(GETPIVOTDATA("Antal av KURSNAMN",Data!$H$15,"Termin",$K32,"Period",$R$21,"Block",S$22),0)</f>
        <v>0</v>
      </c>
      <c r="T32" s="89">
        <f>IFERROR(GETPIVOTDATA("Antal av KURSNAMN",Data!$H$15,"Termin",$K32,"Period",$R$21,"Block",T$22),0)</f>
        <v>0</v>
      </c>
      <c r="U32" s="90">
        <f>IFERROR(GETPIVOTDATA("Antal av KURSNAMN",Data!$H$15,"Termin",$K32,"Period",$R$21,"Block",U$22),0)</f>
        <v>0</v>
      </c>
      <c r="V32" s="90">
        <f>IFERROR(GETPIVOTDATA("Antal av KURSNAMN",Data!$H$15,"Termin",$K32,"Period",$V$21,"Block",V$22),0)</f>
        <v>0</v>
      </c>
      <c r="W32" s="89">
        <f>IFERROR(GETPIVOTDATA("Antal av KURSNAMN",Data!$H$15,"Termin",$K32,"Period",$V$21,"Block",W$22),0)</f>
        <v>0</v>
      </c>
      <c r="X32" s="89">
        <f>IFERROR(GETPIVOTDATA("Antal av KURSNAMN",Data!$H$15,"Termin",$K32,"Period",$V$21,"Block",X$22),0)</f>
        <v>0</v>
      </c>
      <c r="Y32" s="89">
        <f>IFERROR(GETPIVOTDATA("Antal av KURSNAMN",Data!$H$15,"Termin",$K32,"Period",$V$21,"Block",Y$22),0)</f>
        <v>0</v>
      </c>
    </row>
    <row r="33" spans="6:17" ht="18" customHeight="1" x14ac:dyDescent="0.3">
      <c r="F33" s="2"/>
      <c r="G33" s="2"/>
      <c r="H33" s="75"/>
      <c r="I33" s="75"/>
      <c r="J33" s="75"/>
      <c r="Q33" s="74"/>
    </row>
    <row r="34" spans="6:17" ht="18" customHeight="1" x14ac:dyDescent="0.3">
      <c r="G34" s="75"/>
      <c r="H34" s="75"/>
      <c r="I34" s="75"/>
      <c r="J34" s="75"/>
      <c r="N34" t="str">
        <f t="array" ref="N34">IF(R23:U23&gt;2,"Det finns en schemakonflikt i period 1. Det finns mer än 1 kurs i block","")</f>
        <v/>
      </c>
      <c r="Q34" s="74"/>
    </row>
    <row r="35" spans="6:17" ht="18" customHeight="1" x14ac:dyDescent="0.3">
      <c r="G35" s="75"/>
      <c r="H35" s="75"/>
      <c r="I35" s="75"/>
      <c r="J35" s="75"/>
      <c r="M35" t="str">
        <f>IF(R23&gt;2,"Det finns en schemakonflikt i period 1. Det finns mer än 1 kurs i block","")</f>
        <v/>
      </c>
      <c r="Q35" s="74"/>
    </row>
    <row r="36" spans="6:17" ht="18" customHeight="1" x14ac:dyDescent="0.3">
      <c r="G36" s="75"/>
      <c r="H36" s="75"/>
      <c r="I36" s="75"/>
      <c r="J36" s="75"/>
      <c r="Q36" s="74"/>
    </row>
    <row r="37" spans="6:17" ht="18" customHeight="1" x14ac:dyDescent="0.3">
      <c r="G37" s="75"/>
      <c r="H37" s="75"/>
      <c r="I37" s="75"/>
      <c r="J37" s="75"/>
      <c r="Q37" s="74"/>
    </row>
    <row r="38" spans="6:17" ht="18" customHeight="1" x14ac:dyDescent="0.3">
      <c r="G38" s="75"/>
      <c r="H38" s="75"/>
      <c r="I38" s="75"/>
      <c r="J38" s="75"/>
    </row>
    <row r="39" spans="6:17" ht="18" customHeight="1" x14ac:dyDescent="0.3">
      <c r="G39" s="75"/>
      <c r="H39" s="75"/>
      <c r="I39" s="75"/>
      <c r="J39" s="75"/>
    </row>
    <row r="40" spans="6:17" ht="18" customHeight="1" x14ac:dyDescent="0.3">
      <c r="G40" s="40"/>
      <c r="H40" s="40"/>
      <c r="I40" s="40"/>
      <c r="J40" s="63"/>
      <c r="K40" s="63"/>
    </row>
  </sheetData>
  <mergeCells count="20">
    <mergeCell ref="N23:P23"/>
    <mergeCell ref="N24:P24"/>
    <mergeCell ref="N25:P25"/>
    <mergeCell ref="N26:P26"/>
    <mergeCell ref="N27:P27"/>
    <mergeCell ref="N28:P28"/>
    <mergeCell ref="N29:P29"/>
    <mergeCell ref="N30:P30"/>
    <mergeCell ref="N31:P31"/>
    <mergeCell ref="N32:P32"/>
    <mergeCell ref="K13:L13"/>
    <mergeCell ref="K2:N2"/>
    <mergeCell ref="N22:P22"/>
    <mergeCell ref="F13:I13"/>
    <mergeCell ref="B19:G20"/>
    <mergeCell ref="K16:P16"/>
    <mergeCell ref="M13:N13"/>
    <mergeCell ref="A16:F16"/>
    <mergeCell ref="O13:Q13"/>
    <mergeCell ref="K19:O20"/>
  </mergeCells>
  <conditionalFormatting sqref="M7">
    <cfRule type="dataBar" priority="15">
      <dataBar>
        <cfvo type="num" val="0"/>
        <cfvo type="num" val="$L$7"/>
        <color theme="4"/>
      </dataBar>
      <extLst>
        <ext xmlns:x14="http://schemas.microsoft.com/office/spreadsheetml/2009/9/main" uri="{B025F937-C7B1-47D3-B67F-A62EFF666E3E}">
          <x14:id>{441F2552-7088-4550-9457-3B58280E2DBC}</x14:id>
        </ext>
      </extLst>
    </cfRule>
  </conditionalFormatting>
  <conditionalFormatting sqref="M8">
    <cfRule type="dataBar" priority="14">
      <dataBar>
        <cfvo type="num" val="0"/>
        <cfvo type="num" val="$L$8"/>
        <color theme="4"/>
      </dataBar>
      <extLst>
        <ext xmlns:x14="http://schemas.microsoft.com/office/spreadsheetml/2009/9/main" uri="{B025F937-C7B1-47D3-B67F-A62EFF666E3E}">
          <x14:id>{9593B8BC-3718-4747-9E78-F8B7C881F22C}</x14:id>
        </ext>
      </extLst>
    </cfRule>
  </conditionalFormatting>
  <conditionalFormatting sqref="M9">
    <cfRule type="dataBar" priority="13">
      <dataBar>
        <cfvo type="num" val="0"/>
        <cfvo type="num" val="$L$9"/>
        <color theme="4"/>
      </dataBar>
      <extLst>
        <ext xmlns:x14="http://schemas.microsoft.com/office/spreadsheetml/2009/9/main" uri="{B025F937-C7B1-47D3-B67F-A62EFF666E3E}">
          <x14:id>{5305A619-4F89-47F2-AD30-3062E725E2DF}</x14:id>
        </ext>
      </extLst>
    </cfRule>
  </conditionalFormatting>
  <conditionalFormatting sqref="M10">
    <cfRule type="dataBar" priority="12">
      <dataBar>
        <cfvo type="num" val="0"/>
        <cfvo type="num" val="$L$10"/>
        <color theme="4"/>
      </dataBar>
      <extLst>
        <ext xmlns:x14="http://schemas.microsoft.com/office/spreadsheetml/2009/9/main" uri="{B025F937-C7B1-47D3-B67F-A62EFF666E3E}">
          <x14:id>{85CD9A35-E870-4275-913B-838A4F09F192}</x14:id>
        </ext>
      </extLst>
    </cfRule>
  </conditionalFormatting>
  <conditionalFormatting sqref="M13:M14">
    <cfRule type="dataBar" priority="7">
      <dataBar showValue="0">
        <cfvo type="num" val="0"/>
        <cfvo type="formula" val="Kurspoäng_som_krävs"/>
        <color theme="4"/>
      </dataBar>
      <extLst>
        <ext xmlns:x14="http://schemas.microsoft.com/office/spreadsheetml/2009/9/main" uri="{B025F937-C7B1-47D3-B67F-A62EFF666E3E}">
          <x14:id>{7638AA57-3DBF-439B-8AC0-72C19C3CFC94}</x14:id>
        </ext>
      </extLst>
    </cfRule>
  </conditionalFormatting>
  <conditionalFormatting sqref="M13:M14">
    <cfRule type="dataBar" priority="23">
      <dataBar>
        <cfvo type="num" val="0"/>
        <cfvo type="num" val="$L$7"/>
        <color theme="4"/>
      </dataBar>
      <extLst>
        <ext xmlns:x14="http://schemas.microsoft.com/office/spreadsheetml/2009/9/main" uri="{B025F937-C7B1-47D3-B67F-A62EFF666E3E}">
          <x14:id>{AD4AE96E-58F0-44E8-8FDA-DD75CDB38D17}</x14:id>
        </ext>
      </extLst>
    </cfRule>
    <cfRule type="dataBar" priority="24">
      <dataBar>
        <cfvo type="percent" val="0"/>
        <cfvo type="percent" val="100"/>
        <color theme="4"/>
      </dataBar>
      <extLst>
        <ext xmlns:x14="http://schemas.microsoft.com/office/spreadsheetml/2009/9/main" uri="{B025F937-C7B1-47D3-B67F-A62EFF666E3E}">
          <x14:id>{A3156B49-4E70-4B9B-A8C6-8E29A24BBC4A}</x14:id>
        </ext>
      </extLst>
    </cfRule>
    <cfRule type="dataBar" priority="25">
      <dataBar>
        <cfvo type="min"/>
        <cfvo type="max"/>
        <color rgb="FFFFB628"/>
      </dataBar>
      <extLst>
        <ext xmlns:x14="http://schemas.microsoft.com/office/spreadsheetml/2009/9/main" uri="{B025F937-C7B1-47D3-B67F-A62EFF666E3E}">
          <x14:id>{76309163-D934-4406-8A4B-038689215D44}</x14:id>
        </ext>
      </extLst>
    </cfRule>
  </conditionalFormatting>
  <conditionalFormatting sqref="M13:N13">
    <cfRule type="dataBar" priority="1">
      <dataBar>
        <cfvo type="num" val="0"/>
        <cfvo type="num" val="$L$7"/>
        <color theme="4"/>
      </dataBar>
      <extLst>
        <ext xmlns:x14="http://schemas.microsoft.com/office/spreadsheetml/2009/9/main" uri="{B025F937-C7B1-47D3-B67F-A62EFF666E3E}">
          <x14:id>{10B42EE6-A197-4392-86AC-C3266CE5CB36}</x14:id>
        </ext>
      </extLst>
    </cfRule>
    <cfRule type="dataBar" priority="2">
      <dataBar>
        <cfvo type="min"/>
        <cfvo type="max"/>
        <color rgb="FF638EC6"/>
      </dataBar>
      <extLst>
        <ext xmlns:x14="http://schemas.microsoft.com/office/spreadsheetml/2009/9/main" uri="{B025F937-C7B1-47D3-B67F-A62EFF666E3E}">
          <x14:id>{A3D36D7B-016E-4016-9CBA-2DF75A58F3C4}</x14:id>
        </ext>
      </extLst>
    </cfRule>
    <cfRule type="dataBar" priority="3">
      <dataBar>
        <cfvo type="num" val="0"/>
        <cfvo type="num" val="&quot;$M$7&quot;"/>
        <color theme="4"/>
      </dataBar>
      <extLst>
        <ext xmlns:x14="http://schemas.microsoft.com/office/spreadsheetml/2009/9/main" uri="{B025F937-C7B1-47D3-B67F-A62EFF666E3E}">
          <x14:id>{8DB9956E-DDC8-49E9-B3DB-23D131A016AD}</x14:id>
        </ext>
      </extLst>
    </cfRule>
  </conditionalFormatting>
  <printOptions horizontalCentered="1"/>
  <pageMargins left="0.25" right="0.25" top="0.75" bottom="0.75" header="0.3" footer="0.3"/>
  <pageSetup scale="66" fitToHeight="0" orientation="portrait" r:id="rId1"/>
  <headerFooter differentFirst="1">
    <oddFooter>Page &amp;P of &amp;N</oddFooter>
  </headerFooter>
  <ignoredErrors>
    <ignoredError sqref="M8:M10 M7" calculatedColumn="1"/>
    <ignoredError sqref="N24:N31" 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441F2552-7088-4550-9457-3B58280E2DBC}">
            <x14:dataBar minLength="0" maxLength="100" gradient="0">
              <x14:cfvo type="num">
                <xm:f>0</xm:f>
              </x14:cfvo>
              <x14:cfvo type="num">
                <xm:f>$L$7</xm:f>
              </x14:cfvo>
              <x14:negativeFillColor rgb="FFFF0000"/>
              <x14:axisColor rgb="FF000000"/>
            </x14:dataBar>
          </x14:cfRule>
          <xm:sqref>M7</xm:sqref>
        </x14:conditionalFormatting>
        <x14:conditionalFormatting xmlns:xm="http://schemas.microsoft.com/office/excel/2006/main">
          <x14:cfRule type="dataBar" id="{9593B8BC-3718-4747-9E78-F8B7C881F22C}">
            <x14:dataBar minLength="0" maxLength="100" gradient="0">
              <x14:cfvo type="num">
                <xm:f>0</xm:f>
              </x14:cfvo>
              <x14:cfvo type="num">
                <xm:f>$L$8</xm:f>
              </x14:cfvo>
              <x14:negativeFillColor rgb="FFFF0000"/>
              <x14:axisColor rgb="FF000000"/>
            </x14:dataBar>
          </x14:cfRule>
          <xm:sqref>M8</xm:sqref>
        </x14:conditionalFormatting>
        <x14:conditionalFormatting xmlns:xm="http://schemas.microsoft.com/office/excel/2006/main">
          <x14:cfRule type="dataBar" id="{5305A619-4F89-47F2-AD30-3062E725E2DF}">
            <x14:dataBar minLength="0" maxLength="100" gradient="0">
              <x14:cfvo type="num">
                <xm:f>0</xm:f>
              </x14:cfvo>
              <x14:cfvo type="num">
                <xm:f>$L$9</xm:f>
              </x14:cfvo>
              <x14:negativeFillColor rgb="FFFF0000"/>
              <x14:axisColor rgb="FF000000"/>
            </x14:dataBar>
          </x14:cfRule>
          <xm:sqref>M9</xm:sqref>
        </x14:conditionalFormatting>
        <x14:conditionalFormatting xmlns:xm="http://schemas.microsoft.com/office/excel/2006/main">
          <x14:cfRule type="dataBar" id="{85CD9A35-E870-4275-913B-838A4F09F192}">
            <x14:dataBar minLength="0" maxLength="100" gradient="0">
              <x14:cfvo type="num">
                <xm:f>0</xm:f>
              </x14:cfvo>
              <x14:cfvo type="num">
                <xm:f>$L$10</xm:f>
              </x14:cfvo>
              <x14:negativeFillColor rgb="FFFF0000"/>
              <x14:axisColor rgb="FF000000"/>
            </x14:dataBar>
          </x14:cfRule>
          <xm:sqref>M10</xm:sqref>
        </x14:conditionalFormatting>
        <x14:conditionalFormatting xmlns:xm="http://schemas.microsoft.com/office/excel/2006/main">
          <x14:cfRule type="dataBar" id="{7638AA57-3DBF-439B-8AC0-72C19C3CFC94}">
            <x14:dataBar minLength="0" maxLength="100" gradient="0">
              <x14:cfvo type="num">
                <xm:f>0</xm:f>
              </x14:cfvo>
              <x14:cfvo type="formula">
                <xm:f>Kurspoäng_som_krävs</xm:f>
              </x14:cfvo>
              <x14:negativeFillColor rgb="FFFF0000"/>
              <x14:axisColor rgb="FF000000"/>
            </x14:dataBar>
          </x14:cfRule>
          <xm:sqref>M13:M14</xm:sqref>
        </x14:conditionalFormatting>
        <x14:conditionalFormatting xmlns:xm="http://schemas.microsoft.com/office/excel/2006/main">
          <x14:cfRule type="dataBar" id="{AD4AE96E-58F0-44E8-8FDA-DD75CDB38D17}">
            <x14:dataBar minLength="0" maxLength="100" gradient="0">
              <x14:cfvo type="num">
                <xm:f>0</xm:f>
              </x14:cfvo>
              <x14:cfvo type="num">
                <xm:f>$L$7</xm:f>
              </x14:cfvo>
              <x14:negativeFillColor rgb="FFFF0000"/>
              <x14:axisColor rgb="FF000000"/>
            </x14:dataBar>
          </x14:cfRule>
          <x14:cfRule type="dataBar" id="{A3156B49-4E70-4B9B-A8C6-8E29A24BBC4A}">
            <x14:dataBar minLength="0" maxLength="100" gradient="0">
              <x14:cfvo type="percent">
                <xm:f>0</xm:f>
              </x14:cfvo>
              <x14:cfvo type="percent">
                <xm:f>100</xm:f>
              </x14:cfvo>
              <x14:negativeFillColor rgb="FFFF0000"/>
              <x14:axisColor rgb="FF000000"/>
            </x14:dataBar>
          </x14:cfRule>
          <x14:cfRule type="dataBar" id="{76309163-D934-4406-8A4B-038689215D44}">
            <x14:dataBar minLength="0" maxLength="100" gradient="0">
              <x14:cfvo type="autoMin"/>
              <x14:cfvo type="autoMax"/>
              <x14:negativeFillColor rgb="FFFF0000"/>
              <x14:axisColor rgb="FF000000"/>
            </x14:dataBar>
          </x14:cfRule>
          <xm:sqref>M13:M14</xm:sqref>
        </x14:conditionalFormatting>
        <x14:conditionalFormatting xmlns:xm="http://schemas.microsoft.com/office/excel/2006/main">
          <x14:cfRule type="dataBar" id="{10B42EE6-A197-4392-86AC-C3266CE5CB36}">
            <x14:dataBar minLength="0" maxLength="100" gradient="0">
              <x14:cfvo type="num">
                <xm:f>0</xm:f>
              </x14:cfvo>
              <x14:cfvo type="num">
                <xm:f>$L$7</xm:f>
              </x14:cfvo>
              <x14:negativeFillColor rgb="FFFF0000"/>
              <x14:axisColor rgb="FF000000"/>
            </x14:dataBar>
          </x14:cfRule>
          <x14:cfRule type="dataBar" id="{A3D36D7B-016E-4016-9CBA-2DF75A58F3C4}">
            <x14:dataBar minLength="0" maxLength="100" gradient="0" axisPosition="none">
              <x14:cfvo type="autoMin"/>
              <x14:cfvo type="autoMax"/>
              <x14:negativeFillColor rgb="FFFF0000"/>
            </x14:dataBar>
          </x14:cfRule>
          <x14:cfRule type="dataBar" id="{8DB9956E-DDC8-49E9-B3DB-23D131A016AD}">
            <x14:dataBar minLength="0" maxLength="100" gradient="0" direction="leftToRight">
              <x14:cfvo type="num">
                <xm:f>0</xm:f>
              </x14:cfvo>
              <x14:cfvo type="num">
                <xm:f>"$M$7"</xm:f>
              </x14:cfvo>
              <x14:negativeFillColor rgb="FFFF0000"/>
              <x14:axisColor rgb="FF000000"/>
            </x14:dataBar>
          </x14:cfRule>
          <xm:sqref>M13:N13</xm:sqref>
        </x14:conditionalFormatting>
        <x14:conditionalFormatting xmlns:xm="http://schemas.microsoft.com/office/excel/2006/main">
          <x14:cfRule type="iconSet" priority="22" id="{B809C01C-2A41-44F9-A3C9-F1E22D7B83B0}">
            <x14:iconSet custom="1">
              <x14:cfvo type="percent">
                <xm:f>0</xm:f>
              </x14:cfvo>
              <x14:cfvo type="num">
                <xm:f>1</xm:f>
              </x14:cfvo>
              <x14:cfvo type="num">
                <xm:f>2</xm:f>
              </x14:cfvo>
              <x14:cfIcon iconSet="3Symbols2" iconId="2"/>
              <x14:cfIcon iconSet="NoIcons" iconId="0"/>
              <x14:cfIcon iconSet="NoIcons" iconId="0"/>
            </x14:iconSet>
          </x14:cfRule>
          <xm:sqref>O7:O10</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tabColor theme="6"/>
    <pageSetUpPr autoPageBreaks="0" fitToPage="1"/>
  </sheetPr>
  <dimension ref="A1:U217"/>
  <sheetViews>
    <sheetView showGridLines="0" topLeftCell="A8" zoomScaleNormal="100" workbookViewId="0">
      <selection activeCell="C12" sqref="C12"/>
    </sheetView>
  </sheetViews>
  <sheetFormatPr defaultRowHeight="18" customHeight="1" x14ac:dyDescent="0.3"/>
  <cols>
    <col min="1" max="1" width="9" style="47"/>
    <col min="2" max="2" width="52" style="47" customWidth="1"/>
    <col min="3" max="3" width="11.375" style="47" customWidth="1"/>
    <col min="4" max="4" width="13.75" style="47" bestFit="1" customWidth="1"/>
    <col min="5" max="5" width="21.5" style="47" customWidth="1"/>
    <col min="6" max="6" width="9.125" style="47" bestFit="1" customWidth="1"/>
    <col min="7" max="7" width="11.625" style="47" bestFit="1" customWidth="1"/>
    <col min="8" max="8" width="13.75" style="47" bestFit="1" customWidth="1"/>
    <col min="9" max="9" width="12.5" style="47" bestFit="1" customWidth="1"/>
    <col min="10" max="10" width="12.125" style="47" bestFit="1" customWidth="1"/>
    <col min="11" max="11" width="11.375" style="47" bestFit="1" customWidth="1"/>
    <col min="12" max="13" width="13.25" style="47" customWidth="1"/>
    <col min="14" max="20" width="9" style="47"/>
    <col min="21" max="21" width="11.375" style="47" bestFit="1" customWidth="1"/>
    <col min="22" max="16384" width="9" style="47"/>
  </cols>
  <sheetData>
    <row r="1" spans="1:21" ht="6.75" customHeight="1" x14ac:dyDescent="0.3">
      <c r="A1" s="45"/>
      <c r="B1" s="45"/>
      <c r="C1" s="45"/>
      <c r="D1" s="45"/>
      <c r="E1" s="45"/>
      <c r="F1" s="45"/>
      <c r="G1" s="45"/>
      <c r="H1" s="45"/>
      <c r="I1" s="45"/>
      <c r="J1" s="46"/>
      <c r="K1" s="46"/>
    </row>
    <row r="2" spans="1:21" ht="51" customHeight="1" x14ac:dyDescent="0.45">
      <c r="A2" s="237" t="s">
        <v>26</v>
      </c>
      <c r="B2" s="237"/>
      <c r="C2" s="48"/>
      <c r="D2" s="49"/>
      <c r="E2" s="183" t="str">
        <f xml:space="preserve"> CONCATENATE(Program,IF(TechSpec=" Ingen","",CONCATENATE("                                                                                                                                 med inriktning ",TechSpec)),IF(OR(EcoSpec=" Ingen",EcoSpec=""),"",CONCATENATE(" och ",EcoSpec)))</f>
        <v>Civilingenjör i Industriell Ekonomi</v>
      </c>
      <c r="F2" s="184"/>
      <c r="G2" s="184"/>
      <c r="H2" s="184"/>
      <c r="I2" s="184"/>
      <c r="J2" s="184"/>
      <c r="K2" s="69"/>
      <c r="L2" s="51"/>
      <c r="M2" s="51"/>
      <c r="N2" s="51"/>
      <c r="O2" s="51"/>
      <c r="P2" s="51"/>
      <c r="Q2" s="51"/>
      <c r="R2" s="51"/>
      <c r="S2" s="51"/>
      <c r="T2" s="51"/>
      <c r="U2" s="51"/>
    </row>
    <row r="3" spans="1:21" ht="6.75" customHeight="1" x14ac:dyDescent="0.3">
      <c r="A3" s="45"/>
      <c r="B3" s="45"/>
      <c r="C3" s="45"/>
      <c r="D3" s="45"/>
      <c r="E3" s="45"/>
      <c r="F3" s="50"/>
      <c r="G3" s="45"/>
      <c r="H3" s="45"/>
      <c r="I3" s="45"/>
      <c r="J3" s="46"/>
      <c r="K3" s="46"/>
      <c r="L3" s="51"/>
      <c r="M3" s="51"/>
      <c r="N3" s="51"/>
      <c r="O3" s="51"/>
      <c r="P3" s="51"/>
      <c r="Q3" s="51"/>
      <c r="R3" s="51"/>
      <c r="S3" s="51"/>
      <c r="T3" s="51"/>
      <c r="U3" s="51"/>
    </row>
    <row r="4" spans="1:21" ht="9" customHeight="1" x14ac:dyDescent="0.3">
      <c r="B4" s="180"/>
      <c r="C4" s="180"/>
      <c r="D4" s="180"/>
      <c r="L4" s="51"/>
      <c r="M4" s="51"/>
      <c r="N4" s="51"/>
      <c r="O4" s="51"/>
      <c r="P4" s="51"/>
      <c r="Q4" s="51"/>
      <c r="R4" s="51"/>
      <c r="S4" s="51"/>
      <c r="T4" s="51"/>
      <c r="U4" s="51"/>
    </row>
    <row r="5" spans="1:21" ht="26.25" customHeight="1" x14ac:dyDescent="0.3">
      <c r="B5" s="79" t="s">
        <v>14</v>
      </c>
      <c r="C5" s="94"/>
      <c r="D5" s="193" t="s">
        <v>40</v>
      </c>
      <c r="E5" s="194"/>
      <c r="F5" s="188" t="s">
        <v>254</v>
      </c>
      <c r="G5" s="189"/>
      <c r="H5" s="189"/>
      <c r="I5" s="190"/>
      <c r="J5" s="52"/>
      <c r="K5" s="52"/>
      <c r="L5" s="53"/>
      <c r="M5" s="53"/>
      <c r="N5" s="51"/>
      <c r="O5" s="51"/>
      <c r="P5" s="51"/>
      <c r="Q5" s="51"/>
      <c r="R5" s="51"/>
      <c r="S5" s="51"/>
      <c r="T5" s="51"/>
      <c r="U5" s="51"/>
    </row>
    <row r="6" spans="1:21" ht="26.25" customHeight="1" x14ac:dyDescent="0.3">
      <c r="B6" s="79" t="s">
        <v>15</v>
      </c>
      <c r="C6" s="94" t="s">
        <v>20</v>
      </c>
      <c r="D6" s="51"/>
      <c r="E6" s="61"/>
      <c r="F6" s="32"/>
      <c r="G6" s="32"/>
      <c r="H6" s="32"/>
      <c r="I6" s="32"/>
      <c r="J6" s="52"/>
      <c r="K6" s="52"/>
      <c r="L6" s="53"/>
      <c r="M6" s="53"/>
      <c r="N6" s="51" t="s">
        <v>115</v>
      </c>
      <c r="O6" s="51" t="s">
        <v>108</v>
      </c>
      <c r="P6" s="51" t="s">
        <v>109</v>
      </c>
      <c r="Q6" s="51" t="s">
        <v>110</v>
      </c>
      <c r="R6" s="51" t="s">
        <v>111</v>
      </c>
      <c r="S6" s="51" t="s">
        <v>112</v>
      </c>
      <c r="T6" s="51" t="s">
        <v>113</v>
      </c>
      <c r="U6" s="51" t="s">
        <v>114</v>
      </c>
    </row>
    <row r="7" spans="1:21" ht="26.25" customHeight="1" x14ac:dyDescent="0.3">
      <c r="B7" s="79" t="s">
        <v>96</v>
      </c>
      <c r="C7" s="94" t="s">
        <v>233</v>
      </c>
      <c r="D7" s="51"/>
      <c r="E7" s="60" t="s">
        <v>41</v>
      </c>
      <c r="F7" s="185" t="str">
        <f>IFERROR(IF(LEN(SearchField)&lt;3,"",VLOOKUP(L7,SearchTable[],3,FALSE)),"Ingen matchning")</f>
        <v>Ingen matchning</v>
      </c>
      <c r="G7" s="186"/>
      <c r="H7" s="186"/>
      <c r="I7" s="187"/>
      <c r="J7" s="146"/>
      <c r="K7" s="70"/>
      <c r="L7" s="53">
        <v>1</v>
      </c>
      <c r="M7" s="53"/>
      <c r="N7" s="108" t="e">
        <f>VLOOKUP(SearchResult,ProgramKurser[],10,FALSE)</f>
        <v>#N/A</v>
      </c>
      <c r="O7" s="108" t="e">
        <f>VLOOKUP(SearchResult,ProgramKurser[],3,FALSE)</f>
        <v>#N/A</v>
      </c>
      <c r="P7" s="108" t="e">
        <f>VLOOKUP(SearchResult,ProgramKurser[],4,FALSE)</f>
        <v>#N/A</v>
      </c>
      <c r="Q7" s="108" t="e">
        <f>VLOOKUP(SearchResult,ProgramKurser[],5,FALSE)</f>
        <v>#N/A</v>
      </c>
      <c r="R7" s="108" t="e">
        <f>VLOOKUP(SearchResult,ProgramKurser[],9,FALSE)</f>
        <v>#N/A</v>
      </c>
      <c r="S7" s="108" t="e">
        <f>VLOOKUP(SearchResult,ProgramKurser[],6,FALSE)</f>
        <v>#N/A</v>
      </c>
      <c r="T7" s="108" t="e">
        <f>VLOOKUP(SearchResult,ProgramKurser[],7,FALSE)</f>
        <v>#N/A</v>
      </c>
      <c r="U7" s="51" t="e">
        <f>VLOOKUP(SearchResult,ProgramKurser[],9,FALSE)</f>
        <v>#N/A</v>
      </c>
    </row>
    <row r="8" spans="1:21" ht="26.25" customHeight="1" x14ac:dyDescent="0.3">
      <c r="B8" s="79" t="s">
        <v>97</v>
      </c>
      <c r="C8" s="94" t="s">
        <v>233</v>
      </c>
      <c r="D8" s="51"/>
      <c r="E8" s="77"/>
      <c r="F8" s="191"/>
      <c r="G8" s="191"/>
      <c r="H8" s="191"/>
      <c r="I8" s="191"/>
      <c r="J8" s="33"/>
      <c r="K8" s="70"/>
      <c r="L8" s="53">
        <v>2</v>
      </c>
      <c r="M8" s="53"/>
      <c r="N8" s="51"/>
      <c r="O8" s="51"/>
      <c r="P8" s="51"/>
      <c r="Q8" s="51"/>
      <c r="R8" s="51"/>
      <c r="S8" s="51"/>
      <c r="T8" s="51"/>
      <c r="U8" s="51"/>
    </row>
    <row r="9" spans="1:21" ht="26.25" customHeight="1" thickBot="1" x14ac:dyDescent="0.35">
      <c r="B9" s="54"/>
      <c r="C9" s="95"/>
      <c r="D9" s="51"/>
      <c r="E9" s="53"/>
      <c r="F9" s="192" t="s">
        <v>232</v>
      </c>
      <c r="G9" s="192"/>
      <c r="H9" s="192"/>
      <c r="I9" s="192"/>
      <c r="J9" s="33"/>
      <c r="K9" s="70"/>
      <c r="L9" s="53">
        <v>3</v>
      </c>
      <c r="M9" s="53"/>
      <c r="N9" s="51"/>
      <c r="O9" s="51"/>
      <c r="P9" s="51"/>
      <c r="Q9" s="51"/>
      <c r="R9" s="51"/>
      <c r="S9" s="51"/>
      <c r="T9" s="51"/>
      <c r="U9" s="51"/>
    </row>
    <row r="10" spans="1:21" ht="26.25" customHeight="1" thickTop="1" x14ac:dyDescent="0.3">
      <c r="B10" s="238" t="s">
        <v>336</v>
      </c>
      <c r="C10" s="95"/>
      <c r="D10" s="51"/>
      <c r="E10" s="53"/>
      <c r="F10" s="236"/>
      <c r="G10" s="236"/>
      <c r="H10" s="236"/>
      <c r="I10" s="236"/>
      <c r="J10" s="153"/>
      <c r="K10" s="153"/>
      <c r="L10" s="53"/>
      <c r="M10" s="53"/>
      <c r="N10" s="51"/>
      <c r="O10" s="51"/>
      <c r="P10" s="51"/>
      <c r="Q10" s="51"/>
      <c r="R10" s="51"/>
      <c r="S10" s="51"/>
      <c r="T10" s="51"/>
      <c r="U10" s="51"/>
    </row>
    <row r="11" spans="1:21" ht="66.75" customHeight="1" thickBot="1" x14ac:dyDescent="0.35">
      <c r="B11" s="239" t="s">
        <v>335</v>
      </c>
      <c r="C11" s="95"/>
      <c r="D11" s="51"/>
      <c r="E11" s="53"/>
      <c r="F11" s="236"/>
      <c r="G11" s="236"/>
      <c r="H11" s="236"/>
      <c r="I11" s="236"/>
      <c r="J11" s="153"/>
      <c r="K11" s="153"/>
      <c r="L11" s="53"/>
      <c r="M11" s="53"/>
      <c r="N11" s="51"/>
      <c r="O11" s="51"/>
      <c r="P11" s="51"/>
      <c r="Q11" s="51"/>
      <c r="R11" s="51"/>
      <c r="S11" s="51"/>
      <c r="T11" s="51"/>
      <c r="U11" s="51"/>
    </row>
    <row r="12" spans="1:21" ht="18.75" customHeight="1" thickTop="1" x14ac:dyDescent="0.3">
      <c r="L12" s="51"/>
      <c r="M12" s="51"/>
      <c r="N12" s="51"/>
      <c r="O12" s="51"/>
      <c r="P12" s="51"/>
      <c r="Q12" s="51"/>
      <c r="R12" s="51"/>
      <c r="S12" s="51"/>
      <c r="T12" s="51"/>
      <c r="U12" s="51"/>
    </row>
    <row r="13" spans="1:21" ht="18.75" customHeight="1" x14ac:dyDescent="0.3">
      <c r="B13" s="240" t="s">
        <v>309</v>
      </c>
      <c r="L13" s="51"/>
      <c r="M13" s="51"/>
      <c r="N13" s="51"/>
      <c r="O13" s="51"/>
      <c r="P13" s="51"/>
      <c r="Q13" s="51"/>
      <c r="R13" s="51"/>
      <c r="S13" s="51"/>
      <c r="T13" s="51"/>
      <c r="U13" s="51"/>
    </row>
    <row r="14" spans="1:21" ht="18.75" customHeight="1" x14ac:dyDescent="0.3">
      <c r="B14" s="241" t="s">
        <v>337</v>
      </c>
      <c r="C14" s="47" t="s">
        <v>310</v>
      </c>
      <c r="L14" s="51"/>
      <c r="M14" s="51"/>
      <c r="N14" s="51"/>
      <c r="O14" s="51"/>
      <c r="P14" s="51"/>
      <c r="Q14" s="51"/>
      <c r="R14" s="51"/>
      <c r="S14" s="51"/>
      <c r="T14" s="51"/>
      <c r="U14" s="51"/>
    </row>
    <row r="15" spans="1:21" ht="18.75" customHeight="1" x14ac:dyDescent="0.3">
      <c r="L15" s="51"/>
      <c r="M15" s="51"/>
      <c r="N15" s="51"/>
      <c r="O15" s="51"/>
      <c r="P15" s="51"/>
      <c r="Q15" s="51"/>
      <c r="R15" s="51"/>
      <c r="S15" s="51"/>
      <c r="T15" s="51"/>
      <c r="U15" s="51"/>
    </row>
    <row r="16" spans="1:21" ht="9.75" customHeight="1" x14ac:dyDescent="0.45">
      <c r="A16" s="49"/>
      <c r="B16" s="49"/>
      <c r="C16" s="49"/>
      <c r="D16" s="49"/>
      <c r="E16" s="49"/>
      <c r="F16" s="49"/>
      <c r="G16" s="49"/>
      <c r="H16" s="49"/>
      <c r="I16" s="49"/>
      <c r="J16" s="49"/>
      <c r="K16" s="49"/>
      <c r="L16" s="93"/>
      <c r="M16" s="93"/>
      <c r="N16" s="93"/>
    </row>
    <row r="17" spans="1:14" ht="50.25" customHeight="1" x14ac:dyDescent="0.3">
      <c r="A17" s="237" t="s">
        <v>106</v>
      </c>
      <c r="B17" s="237"/>
      <c r="C17" s="48"/>
      <c r="D17" s="55"/>
      <c r="E17" s="181" t="s">
        <v>101</v>
      </c>
      <c r="F17" s="182"/>
      <c r="G17" s="182"/>
      <c r="H17" s="68"/>
      <c r="I17" s="45"/>
      <c r="J17" s="46"/>
      <c r="K17" s="46"/>
      <c r="L17" s="93"/>
      <c r="M17" s="93"/>
      <c r="N17" s="93"/>
    </row>
    <row r="18" spans="1:14" ht="9" customHeight="1" x14ac:dyDescent="0.45">
      <c r="A18" s="49"/>
      <c r="B18" s="49"/>
      <c r="C18" s="49"/>
      <c r="D18" s="49"/>
      <c r="E18" s="44"/>
      <c r="F18" s="49"/>
      <c r="G18" s="49"/>
      <c r="H18" s="49"/>
      <c r="I18" s="49"/>
      <c r="J18" s="49"/>
      <c r="K18" s="49"/>
      <c r="L18" s="93"/>
      <c r="M18" s="93"/>
      <c r="N18" s="93"/>
    </row>
    <row r="19" spans="1:14" ht="9" customHeight="1" x14ac:dyDescent="0.3">
      <c r="A19" s="93"/>
      <c r="B19" s="93"/>
      <c r="C19" s="93"/>
      <c r="D19" s="93"/>
      <c r="E19" s="93"/>
      <c r="F19" s="93"/>
      <c r="G19" s="93"/>
      <c r="H19" s="93"/>
      <c r="I19" s="93"/>
      <c r="J19" s="93"/>
      <c r="K19" s="93"/>
      <c r="L19" s="93"/>
      <c r="M19" s="93"/>
      <c r="N19" s="93"/>
    </row>
    <row r="20" spans="1:14" ht="18" customHeight="1" x14ac:dyDescent="0.3">
      <c r="B20" s="56" t="s">
        <v>11</v>
      </c>
      <c r="C20" s="58" t="s">
        <v>55</v>
      </c>
      <c r="D20" s="57" t="s">
        <v>12</v>
      </c>
      <c r="E20" s="57" t="s">
        <v>23</v>
      </c>
      <c r="F20" s="57" t="s">
        <v>13</v>
      </c>
      <c r="G20" s="58" t="s">
        <v>49</v>
      </c>
      <c r="H20" s="58" t="s">
        <v>48</v>
      </c>
      <c r="I20" s="58" t="s">
        <v>8</v>
      </c>
      <c r="J20" s="59" t="s">
        <v>32</v>
      </c>
      <c r="K20" s="59" t="s">
        <v>50</v>
      </c>
      <c r="L20" s="93"/>
      <c r="M20" s="93"/>
      <c r="N20" s="93"/>
    </row>
    <row r="21" spans="1:14" ht="19.5" customHeight="1" x14ac:dyDescent="0.3">
      <c r="B21" s="47" t="s">
        <v>164</v>
      </c>
      <c r="C21" s="37">
        <v>5</v>
      </c>
      <c r="D21" s="47" t="s">
        <v>163</v>
      </c>
      <c r="E21" s="47" t="s">
        <v>42</v>
      </c>
      <c r="F21" s="47" t="s">
        <v>122</v>
      </c>
      <c r="G21" s="37">
        <v>6</v>
      </c>
      <c r="H21" s="37">
        <v>1</v>
      </c>
      <c r="I21" s="37">
        <v>1</v>
      </c>
      <c r="J21" s="37">
        <v>2</v>
      </c>
      <c r="K21" s="37">
        <v>3</v>
      </c>
      <c r="L21" s="93"/>
      <c r="M21" s="93"/>
      <c r="N21" s="93"/>
    </row>
    <row r="22" spans="1:14" ht="19.5" customHeight="1" x14ac:dyDescent="0.3">
      <c r="B22" s="47" t="s">
        <v>160</v>
      </c>
      <c r="C22" s="37">
        <v>5</v>
      </c>
      <c r="D22" s="47" t="s">
        <v>159</v>
      </c>
      <c r="E22" s="47" t="s">
        <v>42</v>
      </c>
      <c r="F22" s="47" t="s">
        <v>122</v>
      </c>
      <c r="G22" s="37">
        <v>8</v>
      </c>
      <c r="H22" s="37">
        <v>1</v>
      </c>
      <c r="I22" s="37">
        <v>1</v>
      </c>
      <c r="J22" s="37" t="s">
        <v>132</v>
      </c>
      <c r="K22" s="37" t="s">
        <v>134</v>
      </c>
      <c r="L22" s="93"/>
      <c r="M22" s="93"/>
      <c r="N22" s="93"/>
    </row>
    <row r="23" spans="1:14" ht="19.5" customHeight="1" x14ac:dyDescent="0.3">
      <c r="B23" s="47" t="s">
        <v>158</v>
      </c>
      <c r="C23" s="37">
        <v>5</v>
      </c>
      <c r="D23" s="47" t="s">
        <v>157</v>
      </c>
      <c r="E23" s="47" t="s">
        <v>42</v>
      </c>
      <c r="F23" s="47" t="s">
        <v>122</v>
      </c>
      <c r="G23" s="37">
        <v>6</v>
      </c>
      <c r="H23" s="37">
        <v>1</v>
      </c>
      <c r="I23" s="37">
        <v>1</v>
      </c>
      <c r="J23" s="37" t="s">
        <v>198</v>
      </c>
      <c r="K23" s="37" t="s">
        <v>199</v>
      </c>
      <c r="L23" s="93"/>
      <c r="M23" s="93"/>
      <c r="N23" s="93"/>
    </row>
    <row r="24" spans="1:14" ht="19.5" customHeight="1" x14ac:dyDescent="0.3">
      <c r="B24" s="47" t="s">
        <v>166</v>
      </c>
      <c r="C24" s="37">
        <v>5</v>
      </c>
      <c r="D24" s="47" t="s">
        <v>165</v>
      </c>
      <c r="E24" s="47" t="s">
        <v>42</v>
      </c>
      <c r="F24" s="47" t="s">
        <v>122</v>
      </c>
      <c r="G24" s="37">
        <v>6</v>
      </c>
      <c r="H24" s="37">
        <v>1</v>
      </c>
      <c r="I24" s="37">
        <v>2</v>
      </c>
      <c r="J24" s="37">
        <v>1</v>
      </c>
      <c r="K24" s="37">
        <v>2</v>
      </c>
      <c r="L24" s="93"/>
      <c r="M24" s="93"/>
      <c r="N24" s="93"/>
    </row>
    <row r="25" spans="1:14" ht="19.5" customHeight="1" x14ac:dyDescent="0.3">
      <c r="B25" s="47" t="s">
        <v>168</v>
      </c>
      <c r="C25" s="37">
        <v>5</v>
      </c>
      <c r="D25" s="47" t="s">
        <v>167</v>
      </c>
      <c r="E25" s="47" t="s">
        <v>42</v>
      </c>
      <c r="F25" s="47" t="s">
        <v>122</v>
      </c>
      <c r="G25" s="37">
        <v>8</v>
      </c>
      <c r="H25" s="37">
        <v>1</v>
      </c>
      <c r="I25" s="37">
        <v>2</v>
      </c>
      <c r="J25" s="37" t="s">
        <v>132</v>
      </c>
      <c r="K25" s="37" t="s">
        <v>133</v>
      </c>
      <c r="L25" s="93"/>
      <c r="M25" s="93"/>
      <c r="N25" s="93"/>
    </row>
    <row r="26" spans="1:14" ht="19.5" customHeight="1" x14ac:dyDescent="0.3">
      <c r="B26" s="47" t="s">
        <v>180</v>
      </c>
      <c r="C26" s="37">
        <v>5</v>
      </c>
      <c r="D26" s="47" t="s">
        <v>179</v>
      </c>
      <c r="E26" s="47" t="s">
        <v>42</v>
      </c>
      <c r="F26" s="47" t="s">
        <v>122</v>
      </c>
      <c r="G26" s="37">
        <v>4</v>
      </c>
      <c r="H26" s="37">
        <v>2</v>
      </c>
      <c r="I26" s="37">
        <v>3</v>
      </c>
      <c r="J26" s="37">
        <v>1</v>
      </c>
      <c r="K26" s="37">
        <v>2</v>
      </c>
      <c r="L26" s="93"/>
      <c r="M26" s="93"/>
      <c r="N26" s="93"/>
    </row>
    <row r="27" spans="1:14" ht="19.5" customHeight="1" x14ac:dyDescent="0.3">
      <c r="B27" s="47" t="s">
        <v>178</v>
      </c>
      <c r="C27" s="37">
        <v>5</v>
      </c>
      <c r="D27" s="47" t="s">
        <v>177</v>
      </c>
      <c r="E27" s="47" t="s">
        <v>42</v>
      </c>
      <c r="F27" s="47" t="s">
        <v>122</v>
      </c>
      <c r="G27" s="37">
        <v>10</v>
      </c>
      <c r="H27" s="37">
        <v>2</v>
      </c>
      <c r="I27" s="37">
        <v>3</v>
      </c>
      <c r="J27" s="37" t="s">
        <v>132</v>
      </c>
      <c r="K27" s="37" t="s">
        <v>133</v>
      </c>
      <c r="L27" s="93"/>
      <c r="M27" s="93"/>
      <c r="N27" s="93"/>
    </row>
    <row r="28" spans="1:14" ht="19.5" customHeight="1" x14ac:dyDescent="0.3">
      <c r="B28" s="47" t="s">
        <v>176</v>
      </c>
      <c r="C28" s="37">
        <v>5</v>
      </c>
      <c r="D28" s="47" t="s">
        <v>175</v>
      </c>
      <c r="E28" s="47" t="s">
        <v>42</v>
      </c>
      <c r="F28" s="47" t="s">
        <v>122</v>
      </c>
      <c r="G28" s="37">
        <v>6</v>
      </c>
      <c r="H28" s="37">
        <v>2</v>
      </c>
      <c r="I28" s="37">
        <v>3</v>
      </c>
      <c r="J28" s="37">
        <v>1</v>
      </c>
      <c r="K28" s="37">
        <v>1</v>
      </c>
      <c r="L28" s="93"/>
      <c r="M28" s="93"/>
      <c r="N28" s="93"/>
    </row>
    <row r="29" spans="1:14" ht="19.5" customHeight="1" x14ac:dyDescent="0.3">
      <c r="B29" s="47" t="s">
        <v>186</v>
      </c>
      <c r="C29" s="37">
        <v>5</v>
      </c>
      <c r="D29" s="47" t="s">
        <v>185</v>
      </c>
      <c r="E29" s="47" t="s">
        <v>42</v>
      </c>
      <c r="F29" s="47" t="s">
        <v>123</v>
      </c>
      <c r="G29" s="37">
        <v>4</v>
      </c>
      <c r="H29" s="37">
        <v>2</v>
      </c>
      <c r="I29" s="37">
        <v>4</v>
      </c>
      <c r="J29" s="37">
        <v>1</v>
      </c>
      <c r="K29" s="37">
        <v>1</v>
      </c>
      <c r="L29" s="93"/>
      <c r="M29" s="93"/>
      <c r="N29" s="93"/>
    </row>
    <row r="30" spans="1:14" ht="19.5" customHeight="1" x14ac:dyDescent="0.3">
      <c r="B30" s="47" t="s">
        <v>188</v>
      </c>
      <c r="C30" s="37">
        <v>5</v>
      </c>
      <c r="D30" s="47" t="s">
        <v>187</v>
      </c>
      <c r="E30" s="47" t="s">
        <v>42</v>
      </c>
      <c r="F30" s="47" t="s">
        <v>123</v>
      </c>
      <c r="G30" s="37">
        <v>6</v>
      </c>
      <c r="H30" s="37">
        <v>2</v>
      </c>
      <c r="I30" s="37">
        <v>4</v>
      </c>
      <c r="J30" s="37">
        <v>2</v>
      </c>
      <c r="K30" s="37">
        <v>4</v>
      </c>
      <c r="L30" s="93"/>
      <c r="M30" s="93"/>
      <c r="N30" s="93"/>
    </row>
    <row r="31" spans="1:14" ht="19.5" customHeight="1" x14ac:dyDescent="0.3">
      <c r="B31" s="47" t="s">
        <v>192</v>
      </c>
      <c r="C31" s="37">
        <v>5</v>
      </c>
      <c r="D31" s="47" t="s">
        <v>191</v>
      </c>
      <c r="E31" s="47" t="s">
        <v>42</v>
      </c>
      <c r="F31" s="47" t="s">
        <v>123</v>
      </c>
      <c r="G31" s="37">
        <v>6</v>
      </c>
      <c r="H31" s="37">
        <v>3</v>
      </c>
      <c r="I31" s="37">
        <v>5</v>
      </c>
      <c r="J31" s="37">
        <v>1</v>
      </c>
      <c r="K31" s="37">
        <v>1</v>
      </c>
      <c r="L31" s="93"/>
      <c r="M31" s="93"/>
      <c r="N31" s="93"/>
    </row>
    <row r="32" spans="1:14" ht="19.5" customHeight="1" x14ac:dyDescent="0.3">
      <c r="B32" s="47" t="s">
        <v>53</v>
      </c>
      <c r="C32" s="37">
        <v>5</v>
      </c>
      <c r="D32" s="47" t="s">
        <v>193</v>
      </c>
      <c r="E32" s="47" t="s">
        <v>42</v>
      </c>
      <c r="F32" s="47" t="s">
        <v>123</v>
      </c>
      <c r="G32" s="37">
        <v>6</v>
      </c>
      <c r="H32" s="37">
        <v>3</v>
      </c>
      <c r="I32" s="37">
        <v>5</v>
      </c>
      <c r="J32" s="37">
        <v>1</v>
      </c>
      <c r="K32" s="37">
        <v>4</v>
      </c>
      <c r="L32" s="93"/>
      <c r="M32" s="93"/>
      <c r="N32" s="93"/>
    </row>
    <row r="33" spans="2:14" ht="19.5" customHeight="1" x14ac:dyDescent="0.3">
      <c r="B33" s="47" t="s">
        <v>162</v>
      </c>
      <c r="C33" s="37">
        <v>4</v>
      </c>
      <c r="D33" s="47" t="s">
        <v>161</v>
      </c>
      <c r="E33" s="47" t="s">
        <v>42</v>
      </c>
      <c r="F33" s="47" t="s">
        <v>122</v>
      </c>
      <c r="G33" s="37">
        <v>10</v>
      </c>
      <c r="H33" s="37">
        <v>1</v>
      </c>
      <c r="I33" s="37">
        <v>1</v>
      </c>
      <c r="J33" s="37" t="s">
        <v>132</v>
      </c>
      <c r="K33" s="37" t="s">
        <v>136</v>
      </c>
      <c r="L33" s="93"/>
      <c r="M33" s="93"/>
      <c r="N33" s="93"/>
    </row>
    <row r="34" spans="2:14" ht="19.5" customHeight="1" x14ac:dyDescent="0.3">
      <c r="B34" s="47" t="s">
        <v>170</v>
      </c>
      <c r="C34" s="37">
        <v>4</v>
      </c>
      <c r="D34" s="47" t="s">
        <v>169</v>
      </c>
      <c r="E34" s="47" t="s">
        <v>42</v>
      </c>
      <c r="F34" s="47" t="s">
        <v>123</v>
      </c>
      <c r="G34" s="37">
        <v>6</v>
      </c>
      <c r="H34" s="37">
        <v>1</v>
      </c>
      <c r="I34" s="37">
        <v>2</v>
      </c>
      <c r="J34" s="37" t="s">
        <v>132</v>
      </c>
      <c r="K34" s="37" t="s">
        <v>136</v>
      </c>
      <c r="L34" s="93"/>
      <c r="M34" s="93"/>
      <c r="N34" s="93"/>
    </row>
    <row r="35" spans="2:14" ht="19.5" customHeight="1" x14ac:dyDescent="0.3">
      <c r="B35" s="47" t="s">
        <v>184</v>
      </c>
      <c r="C35" s="37">
        <v>4</v>
      </c>
      <c r="D35" s="47" t="s">
        <v>183</v>
      </c>
      <c r="E35" s="47" t="s">
        <v>42</v>
      </c>
      <c r="F35" s="47" t="s">
        <v>122</v>
      </c>
      <c r="G35" s="37">
        <v>6</v>
      </c>
      <c r="H35" s="37">
        <v>2</v>
      </c>
      <c r="I35" s="37">
        <v>3</v>
      </c>
      <c r="J35" s="37">
        <v>2</v>
      </c>
      <c r="K35" s="37">
        <v>2</v>
      </c>
      <c r="L35" s="93"/>
      <c r="M35" s="93"/>
      <c r="N35" s="93"/>
    </row>
    <row r="36" spans="2:14" ht="19.5" customHeight="1" x14ac:dyDescent="0.3">
      <c r="B36" s="47" t="s">
        <v>182</v>
      </c>
      <c r="C36" s="37">
        <v>4</v>
      </c>
      <c r="D36" s="47" t="s">
        <v>181</v>
      </c>
      <c r="E36" s="47" t="s">
        <v>42</v>
      </c>
      <c r="F36" s="47" t="s">
        <v>122</v>
      </c>
      <c r="G36" s="37">
        <v>4</v>
      </c>
      <c r="H36" s="37">
        <v>2</v>
      </c>
      <c r="I36" s="37">
        <v>3</v>
      </c>
      <c r="J36" s="37">
        <v>2</v>
      </c>
      <c r="K36" s="37">
        <v>3</v>
      </c>
      <c r="L36" s="93"/>
      <c r="M36" s="93"/>
      <c r="N36" s="93"/>
    </row>
    <row r="37" spans="2:14" ht="19.5" customHeight="1" x14ac:dyDescent="0.3">
      <c r="B37" s="47" t="s">
        <v>190</v>
      </c>
      <c r="C37" s="37">
        <v>4</v>
      </c>
      <c r="D37" s="47" t="s">
        <v>189</v>
      </c>
      <c r="E37" s="47" t="s">
        <v>42</v>
      </c>
      <c r="F37" s="47" t="s">
        <v>123</v>
      </c>
      <c r="G37" s="37">
        <v>6</v>
      </c>
      <c r="H37" s="37">
        <v>2</v>
      </c>
      <c r="I37" s="37">
        <v>4</v>
      </c>
      <c r="J37" s="37">
        <v>2</v>
      </c>
      <c r="K37" s="37">
        <v>3</v>
      </c>
      <c r="L37" s="93"/>
      <c r="M37" s="93"/>
      <c r="N37" s="93"/>
    </row>
    <row r="38" spans="2:14" ht="19.5" customHeight="1" x14ac:dyDescent="0.3">
      <c r="B38" s="47" t="s">
        <v>197</v>
      </c>
      <c r="C38" s="37">
        <v>4</v>
      </c>
      <c r="D38" s="47" t="s">
        <v>196</v>
      </c>
      <c r="E38" s="47" t="s">
        <v>42</v>
      </c>
      <c r="F38" s="47" t="s">
        <v>123</v>
      </c>
      <c r="G38" s="37">
        <v>6</v>
      </c>
      <c r="H38" s="37">
        <v>3</v>
      </c>
      <c r="I38" s="37">
        <v>6</v>
      </c>
      <c r="J38" s="37">
        <v>1</v>
      </c>
      <c r="K38" s="37">
        <v>4</v>
      </c>
      <c r="L38" s="93"/>
      <c r="M38" s="93"/>
      <c r="N38" s="93"/>
    </row>
    <row r="39" spans="2:14" ht="19.5" customHeight="1" x14ac:dyDescent="0.3">
      <c r="B39" s="47" t="s">
        <v>172</v>
      </c>
      <c r="C39" s="37">
        <v>3</v>
      </c>
      <c r="D39" s="47" t="s">
        <v>171</v>
      </c>
      <c r="E39" s="47" t="s">
        <v>42</v>
      </c>
      <c r="F39" s="47" t="s">
        <v>122</v>
      </c>
      <c r="G39" s="37">
        <v>8</v>
      </c>
      <c r="H39" s="37">
        <v>1</v>
      </c>
      <c r="I39" s="37">
        <v>2</v>
      </c>
      <c r="J39" s="37">
        <v>2</v>
      </c>
      <c r="K39" s="37">
        <v>2</v>
      </c>
      <c r="L39" s="93"/>
      <c r="M39" s="93"/>
      <c r="N39" s="93"/>
    </row>
    <row r="40" spans="2:14" ht="19.5" customHeight="1" x14ac:dyDescent="0.3">
      <c r="B40" s="47" t="s">
        <v>174</v>
      </c>
      <c r="C40" s="37" t="s">
        <v>57</v>
      </c>
      <c r="D40" s="47" t="s">
        <v>173</v>
      </c>
      <c r="E40" s="47" t="s">
        <v>42</v>
      </c>
      <c r="F40" s="47" t="s">
        <v>122</v>
      </c>
      <c r="G40" s="37">
        <v>2</v>
      </c>
      <c r="H40" s="37">
        <v>1</v>
      </c>
      <c r="I40" s="37">
        <v>2</v>
      </c>
      <c r="J40" s="37">
        <v>2</v>
      </c>
      <c r="K40" s="37">
        <v>3</v>
      </c>
      <c r="L40" s="93"/>
      <c r="M40" s="93"/>
      <c r="N40" s="93"/>
    </row>
    <row r="41" spans="2:14" ht="19.5" customHeight="1" x14ac:dyDescent="0.3">
      <c r="B41" s="47" t="s">
        <v>195</v>
      </c>
      <c r="C41" s="37"/>
      <c r="D41" s="47" t="s">
        <v>194</v>
      </c>
      <c r="E41" s="47" t="s">
        <v>42</v>
      </c>
      <c r="F41" s="47" t="s">
        <v>123</v>
      </c>
      <c r="G41" s="37">
        <v>6</v>
      </c>
      <c r="H41" s="37">
        <v>3</v>
      </c>
      <c r="I41" s="37">
        <v>5</v>
      </c>
      <c r="J41" s="37">
        <v>2</v>
      </c>
      <c r="K41" s="37">
        <v>4</v>
      </c>
      <c r="L41" s="93"/>
      <c r="M41" s="93"/>
      <c r="N41" s="93"/>
    </row>
    <row r="42" spans="2:14" ht="19.5" customHeight="1" x14ac:dyDescent="0.3">
      <c r="B42" s="47" t="s">
        <v>227</v>
      </c>
      <c r="C42" s="37"/>
      <c r="D42" s="47" t="s">
        <v>226</v>
      </c>
      <c r="E42" s="47" t="s">
        <v>42</v>
      </c>
      <c r="F42" s="47" t="s">
        <v>130</v>
      </c>
      <c r="G42" s="37">
        <v>6</v>
      </c>
      <c r="H42" s="37">
        <v>4</v>
      </c>
      <c r="I42" s="37">
        <v>8</v>
      </c>
      <c r="J42" s="37" t="s">
        <v>132</v>
      </c>
      <c r="K42" s="37" t="s">
        <v>135</v>
      </c>
      <c r="L42" s="93"/>
      <c r="M42" s="93"/>
      <c r="N42" s="93"/>
    </row>
    <row r="43" spans="2:14" ht="19.5" customHeight="1" x14ac:dyDescent="0.3">
      <c r="B43" s="47" t="s">
        <v>140</v>
      </c>
      <c r="C43" s="37">
        <v>4</v>
      </c>
      <c r="D43" s="47" t="s">
        <v>139</v>
      </c>
      <c r="E43" s="47" t="s">
        <v>25</v>
      </c>
      <c r="F43" s="47" t="s">
        <v>122</v>
      </c>
      <c r="G43" s="37">
        <v>4</v>
      </c>
      <c r="H43" s="37">
        <v>2</v>
      </c>
      <c r="I43" s="37">
        <v>4</v>
      </c>
      <c r="J43" s="37">
        <v>2</v>
      </c>
      <c r="K43" s="37">
        <v>1</v>
      </c>
      <c r="L43" s="93"/>
      <c r="M43" s="93"/>
      <c r="N43" s="93"/>
    </row>
    <row r="44" spans="2:14" ht="19.5" customHeight="1" x14ac:dyDescent="0.3">
      <c r="B44" s="47" t="s">
        <v>138</v>
      </c>
      <c r="C44" s="37">
        <v>5</v>
      </c>
      <c r="D44" s="47" t="s">
        <v>137</v>
      </c>
      <c r="E44" s="47" t="s">
        <v>25</v>
      </c>
      <c r="F44" s="47" t="s">
        <v>123</v>
      </c>
      <c r="G44" s="37">
        <v>6</v>
      </c>
      <c r="H44" s="37">
        <v>2</v>
      </c>
      <c r="I44" s="37">
        <v>4</v>
      </c>
      <c r="J44" s="37">
        <v>1</v>
      </c>
      <c r="K44" s="37">
        <v>2</v>
      </c>
      <c r="L44" s="93"/>
      <c r="M44" s="93"/>
      <c r="N44" s="93"/>
    </row>
    <row r="45" spans="2:14" ht="19.5" customHeight="1" x14ac:dyDescent="0.3">
      <c r="B45" s="47" t="s">
        <v>144</v>
      </c>
      <c r="C45" s="37" t="s">
        <v>57</v>
      </c>
      <c r="D45" s="47" t="s">
        <v>143</v>
      </c>
      <c r="E45" s="47" t="s">
        <v>25</v>
      </c>
      <c r="F45" s="47" t="s">
        <v>123</v>
      </c>
      <c r="G45" s="37">
        <v>2</v>
      </c>
      <c r="H45" s="37">
        <v>3</v>
      </c>
      <c r="I45" s="37">
        <v>5</v>
      </c>
      <c r="J45" s="37">
        <v>2</v>
      </c>
      <c r="K45" s="37">
        <v>1</v>
      </c>
      <c r="L45" s="93"/>
      <c r="M45" s="93"/>
      <c r="N45" s="93"/>
    </row>
    <row r="46" spans="2:14" ht="19.5" customHeight="1" x14ac:dyDescent="0.3">
      <c r="B46" s="47" t="s">
        <v>146</v>
      </c>
      <c r="C46" s="37">
        <v>5</v>
      </c>
      <c r="D46" s="47" t="s">
        <v>145</v>
      </c>
      <c r="E46" s="47" t="s">
        <v>25</v>
      </c>
      <c r="F46" s="47" t="s">
        <v>122</v>
      </c>
      <c r="G46" s="37">
        <v>6</v>
      </c>
      <c r="H46" s="37">
        <v>3</v>
      </c>
      <c r="I46" s="37">
        <v>5</v>
      </c>
      <c r="J46" s="37">
        <v>2</v>
      </c>
      <c r="K46" s="37">
        <v>3</v>
      </c>
      <c r="L46" s="93"/>
      <c r="M46" s="93"/>
      <c r="N46" s="93"/>
    </row>
    <row r="47" spans="2:14" ht="19.5" customHeight="1" x14ac:dyDescent="0.3">
      <c r="B47" s="47" t="s">
        <v>142</v>
      </c>
      <c r="C47" s="37" t="s">
        <v>57</v>
      </c>
      <c r="D47" s="47" t="s">
        <v>141</v>
      </c>
      <c r="E47" s="47" t="s">
        <v>25</v>
      </c>
      <c r="F47" s="47" t="s">
        <v>122</v>
      </c>
      <c r="G47" s="37">
        <v>4</v>
      </c>
      <c r="H47" s="37">
        <v>3</v>
      </c>
      <c r="I47" s="37">
        <v>5</v>
      </c>
      <c r="J47" s="37">
        <v>1</v>
      </c>
      <c r="K47" s="37">
        <v>2</v>
      </c>
      <c r="L47" s="93"/>
      <c r="M47" s="93"/>
      <c r="N47" s="93"/>
    </row>
    <row r="48" spans="2:14" ht="19.5" customHeight="1" x14ac:dyDescent="0.3">
      <c r="B48" s="47" t="s">
        <v>150</v>
      </c>
      <c r="C48" s="37"/>
      <c r="D48" s="47" t="s">
        <v>149</v>
      </c>
      <c r="E48" s="47" t="s">
        <v>25</v>
      </c>
      <c r="F48" s="47" t="s">
        <v>123</v>
      </c>
      <c r="G48" s="37">
        <v>6</v>
      </c>
      <c r="H48" s="37">
        <v>3</v>
      </c>
      <c r="I48" s="37">
        <v>6</v>
      </c>
      <c r="J48" s="37" t="s">
        <v>132</v>
      </c>
      <c r="K48" s="37" t="s">
        <v>134</v>
      </c>
      <c r="L48" s="93"/>
      <c r="M48" s="93"/>
      <c r="N48" s="93"/>
    </row>
    <row r="49" spans="2:14" ht="19.5" customHeight="1" x14ac:dyDescent="0.3">
      <c r="B49" s="47" t="s">
        <v>148</v>
      </c>
      <c r="C49" s="37"/>
      <c r="D49" s="47" t="s">
        <v>147</v>
      </c>
      <c r="E49" s="47" t="s">
        <v>25</v>
      </c>
      <c r="F49" s="47" t="s">
        <v>123</v>
      </c>
      <c r="G49" s="37">
        <v>18</v>
      </c>
      <c r="H49" s="37">
        <v>3</v>
      </c>
      <c r="I49" s="37">
        <v>6</v>
      </c>
      <c r="J49" s="37" t="s">
        <v>132</v>
      </c>
      <c r="K49" s="37" t="s">
        <v>133</v>
      </c>
      <c r="L49" s="93"/>
      <c r="M49" s="93"/>
      <c r="N49" s="93"/>
    </row>
    <row r="50" spans="2:14" ht="19.5" customHeight="1" x14ac:dyDescent="0.3">
      <c r="B50" s="47" t="s">
        <v>274</v>
      </c>
      <c r="C50" s="37"/>
      <c r="D50" s="47" t="s">
        <v>273</v>
      </c>
      <c r="E50" s="47" t="s">
        <v>270</v>
      </c>
      <c r="F50" s="47" t="s">
        <v>130</v>
      </c>
      <c r="G50" s="37">
        <v>6</v>
      </c>
      <c r="H50" s="37">
        <v>4</v>
      </c>
      <c r="I50" s="37">
        <v>7</v>
      </c>
      <c r="J50" s="37">
        <v>2</v>
      </c>
      <c r="K50" s="37">
        <v>1</v>
      </c>
      <c r="L50" s="93"/>
      <c r="M50" s="93"/>
      <c r="N50" s="93"/>
    </row>
    <row r="51" spans="2:14" ht="19.5" customHeight="1" x14ac:dyDescent="0.3">
      <c r="B51" s="47" t="s">
        <v>272</v>
      </c>
      <c r="C51" s="37"/>
      <c r="D51" s="47" t="s">
        <v>271</v>
      </c>
      <c r="E51" s="47" t="s">
        <v>270</v>
      </c>
      <c r="F51" s="47" t="s">
        <v>130</v>
      </c>
      <c r="G51" s="37">
        <v>6</v>
      </c>
      <c r="H51" s="37">
        <v>4</v>
      </c>
      <c r="I51" s="37">
        <v>7</v>
      </c>
      <c r="J51" s="37">
        <v>1</v>
      </c>
      <c r="K51" s="37">
        <v>3</v>
      </c>
      <c r="L51" s="93"/>
      <c r="M51" s="93"/>
      <c r="N51" s="93"/>
    </row>
    <row r="52" spans="2:14" ht="19.5" customHeight="1" x14ac:dyDescent="0.3">
      <c r="B52" s="47" t="s">
        <v>152</v>
      </c>
      <c r="C52" s="37"/>
      <c r="D52" s="47" t="s">
        <v>151</v>
      </c>
      <c r="E52" s="47" t="s">
        <v>270</v>
      </c>
      <c r="F52" s="47" t="s">
        <v>130</v>
      </c>
      <c r="G52" s="37">
        <v>6</v>
      </c>
      <c r="H52" s="37">
        <v>4</v>
      </c>
      <c r="I52" s="37">
        <v>7</v>
      </c>
      <c r="J52" s="37">
        <v>1</v>
      </c>
      <c r="K52" s="37">
        <v>2</v>
      </c>
      <c r="L52" s="93"/>
      <c r="M52" s="93"/>
      <c r="N52" s="93"/>
    </row>
    <row r="53" spans="2:14" ht="19.5" customHeight="1" x14ac:dyDescent="0.3">
      <c r="B53" s="47" t="s">
        <v>286</v>
      </c>
      <c r="C53" s="37"/>
      <c r="D53" s="47" t="s">
        <v>285</v>
      </c>
      <c r="E53" s="47" t="s">
        <v>270</v>
      </c>
      <c r="F53" s="47" t="s">
        <v>130</v>
      </c>
      <c r="G53" s="37">
        <v>12</v>
      </c>
      <c r="H53" s="37">
        <v>4</v>
      </c>
      <c r="I53" s="37">
        <v>8</v>
      </c>
      <c r="J53" s="37" t="s">
        <v>327</v>
      </c>
      <c r="K53" s="37" t="s">
        <v>328</v>
      </c>
      <c r="L53" s="93"/>
      <c r="M53" s="93"/>
      <c r="N53" s="93"/>
    </row>
    <row r="54" spans="2:14" ht="19.5" customHeight="1" x14ac:dyDescent="0.3">
      <c r="C54" s="37"/>
      <c r="G54" s="37"/>
      <c r="H54" s="37"/>
      <c r="I54" s="37"/>
      <c r="J54" s="37"/>
      <c r="K54" s="37"/>
      <c r="L54" s="93"/>
      <c r="M54" s="93"/>
      <c r="N54" s="93"/>
    </row>
    <row r="55" spans="2:14" ht="19.5" customHeight="1" x14ac:dyDescent="0.3">
      <c r="C55" s="37"/>
      <c r="G55" s="37"/>
      <c r="H55" s="37"/>
      <c r="I55" s="37"/>
      <c r="J55" s="37"/>
      <c r="K55" s="37"/>
      <c r="L55" s="93"/>
      <c r="M55" s="93"/>
      <c r="N55" s="93"/>
    </row>
    <row r="56" spans="2:14" ht="19.5" customHeight="1" x14ac:dyDescent="0.3">
      <c r="C56" s="37"/>
      <c r="G56" s="37"/>
      <c r="H56" s="37"/>
      <c r="I56" s="37"/>
      <c r="J56" s="37"/>
      <c r="K56" s="37"/>
      <c r="L56" s="93"/>
      <c r="M56" s="93"/>
      <c r="N56" s="93"/>
    </row>
    <row r="57" spans="2:14" ht="19.5" customHeight="1" x14ac:dyDescent="0.3">
      <c r="C57" s="37"/>
      <c r="G57" s="37"/>
      <c r="H57" s="37"/>
      <c r="I57" s="37"/>
      <c r="J57" s="37"/>
      <c r="K57" s="37"/>
      <c r="L57" s="93"/>
      <c r="M57" s="93"/>
      <c r="N57" s="93"/>
    </row>
    <row r="58" spans="2:14" ht="19.5" customHeight="1" x14ac:dyDescent="0.3">
      <c r="C58" s="37"/>
      <c r="G58" s="37"/>
      <c r="H58" s="37"/>
      <c r="I58" s="37"/>
      <c r="J58" s="37"/>
      <c r="K58" s="37"/>
      <c r="L58" s="93"/>
      <c r="M58" s="93"/>
      <c r="N58" s="93"/>
    </row>
    <row r="59" spans="2:14" ht="19.5" customHeight="1" x14ac:dyDescent="0.3">
      <c r="C59" s="37"/>
      <c r="G59" s="37"/>
      <c r="H59" s="37"/>
      <c r="I59" s="37"/>
      <c r="J59" s="37"/>
      <c r="K59" s="37"/>
      <c r="L59" s="93"/>
      <c r="M59" s="93"/>
      <c r="N59" s="93"/>
    </row>
    <row r="60" spans="2:14" ht="19.5" customHeight="1" x14ac:dyDescent="0.3">
      <c r="C60" s="37"/>
      <c r="G60" s="37"/>
      <c r="H60" s="37"/>
      <c r="I60" s="37"/>
      <c r="J60" s="37"/>
      <c r="K60" s="37"/>
      <c r="L60" s="93"/>
      <c r="M60" s="93"/>
      <c r="N60" s="93"/>
    </row>
    <row r="61" spans="2:14" ht="19.5" customHeight="1" x14ac:dyDescent="0.3">
      <c r="C61" s="37"/>
      <c r="G61" s="37"/>
      <c r="H61" s="37"/>
      <c r="I61" s="37"/>
      <c r="J61" s="37"/>
      <c r="K61" s="37"/>
      <c r="L61" s="93"/>
      <c r="M61" s="93"/>
      <c r="N61" s="93"/>
    </row>
    <row r="62" spans="2:14" ht="19.5" customHeight="1" x14ac:dyDescent="0.3">
      <c r="C62" s="37"/>
      <c r="G62" s="37"/>
      <c r="H62" s="37"/>
      <c r="I62" s="37"/>
      <c r="J62" s="37"/>
      <c r="K62" s="37"/>
      <c r="L62" s="93"/>
      <c r="M62" s="93"/>
      <c r="N62" s="93"/>
    </row>
    <row r="63" spans="2:14" ht="19.5" customHeight="1" x14ac:dyDescent="0.3">
      <c r="C63" s="37"/>
      <c r="G63" s="37"/>
      <c r="H63" s="37"/>
      <c r="I63" s="37"/>
      <c r="J63" s="37"/>
      <c r="K63" s="37"/>
      <c r="L63" s="93"/>
      <c r="M63" s="93"/>
      <c r="N63" s="93"/>
    </row>
    <row r="64" spans="2:14" ht="19.5" customHeight="1" x14ac:dyDescent="0.3">
      <c r="C64" s="37"/>
      <c r="G64" s="37"/>
      <c r="H64" s="37"/>
      <c r="I64" s="37"/>
      <c r="J64" s="37"/>
      <c r="K64" s="37"/>
      <c r="L64" s="93"/>
      <c r="M64" s="93"/>
      <c r="N64" s="93"/>
    </row>
    <row r="65" spans="3:14" ht="19.5" customHeight="1" x14ac:dyDescent="0.3">
      <c r="C65" s="37"/>
      <c r="G65" s="37"/>
      <c r="H65" s="37"/>
      <c r="I65" s="37"/>
      <c r="J65" s="37"/>
      <c r="K65" s="37"/>
      <c r="L65" s="93"/>
      <c r="M65" s="93"/>
      <c r="N65" s="93"/>
    </row>
    <row r="66" spans="3:14" ht="19.5" customHeight="1" x14ac:dyDescent="0.3">
      <c r="C66" s="37"/>
      <c r="G66" s="37"/>
      <c r="H66" s="37"/>
      <c r="I66" s="37"/>
      <c r="J66" s="37"/>
      <c r="K66" s="37"/>
      <c r="L66" s="93"/>
      <c r="M66" s="93"/>
      <c r="N66" s="93"/>
    </row>
    <row r="67" spans="3:14" ht="19.5" customHeight="1" x14ac:dyDescent="0.3">
      <c r="C67" s="37"/>
      <c r="G67" s="37"/>
      <c r="H67" s="37"/>
      <c r="I67" s="37"/>
      <c r="J67" s="37"/>
      <c r="K67" s="37"/>
      <c r="L67" s="93"/>
      <c r="M67" s="93"/>
      <c r="N67" s="93"/>
    </row>
    <row r="68" spans="3:14" ht="19.5" customHeight="1" x14ac:dyDescent="0.3">
      <c r="C68" s="37"/>
      <c r="G68" s="37"/>
      <c r="H68" s="37"/>
      <c r="I68" s="37"/>
      <c r="J68" s="37"/>
      <c r="K68" s="37"/>
      <c r="L68" s="93"/>
      <c r="M68" s="93"/>
      <c r="N68" s="93"/>
    </row>
    <row r="69" spans="3:14" ht="19.5" customHeight="1" x14ac:dyDescent="0.3">
      <c r="C69" s="37"/>
      <c r="G69" s="37"/>
      <c r="H69" s="37"/>
      <c r="I69" s="37"/>
      <c r="J69" s="37"/>
      <c r="K69" s="37"/>
      <c r="L69" s="93"/>
      <c r="M69" s="93"/>
      <c r="N69" s="93"/>
    </row>
    <row r="70" spans="3:14" ht="19.5" customHeight="1" x14ac:dyDescent="0.3">
      <c r="C70" s="37"/>
      <c r="G70" s="37"/>
      <c r="H70" s="37"/>
      <c r="I70" s="37"/>
      <c r="J70" s="37"/>
      <c r="K70" s="37"/>
      <c r="L70" s="93"/>
      <c r="M70" s="93"/>
      <c r="N70" s="93"/>
    </row>
    <row r="71" spans="3:14" ht="18" customHeight="1" x14ac:dyDescent="0.3">
      <c r="C71" s="37"/>
      <c r="G71" s="37"/>
      <c r="H71" s="37"/>
      <c r="I71" s="37"/>
      <c r="J71" s="37"/>
      <c r="K71" s="37"/>
      <c r="L71" s="93"/>
      <c r="M71" s="93"/>
      <c r="N71" s="93"/>
    </row>
    <row r="72" spans="3:14" ht="18" customHeight="1" x14ac:dyDescent="0.3">
      <c r="C72" s="37"/>
      <c r="G72" s="37"/>
      <c r="H72" s="37"/>
      <c r="I72" s="37"/>
      <c r="J72" s="37"/>
      <c r="K72" s="37"/>
      <c r="L72" s="93"/>
      <c r="M72" s="93"/>
      <c r="N72" s="93"/>
    </row>
    <row r="73" spans="3:14" ht="18" customHeight="1" x14ac:dyDescent="0.3">
      <c r="C73" s="37"/>
      <c r="G73" s="37"/>
      <c r="H73" s="37"/>
      <c r="I73" s="37"/>
      <c r="J73" s="37"/>
      <c r="K73" s="37"/>
      <c r="L73" s="93"/>
      <c r="M73" s="93"/>
      <c r="N73" s="93"/>
    </row>
    <row r="74" spans="3:14" ht="18" customHeight="1" x14ac:dyDescent="0.3">
      <c r="C74" s="37"/>
      <c r="G74" s="37"/>
      <c r="H74" s="37"/>
      <c r="I74" s="37"/>
      <c r="J74" s="37"/>
      <c r="K74" s="37"/>
      <c r="L74" s="93"/>
      <c r="M74" s="93"/>
      <c r="N74" s="93"/>
    </row>
    <row r="75" spans="3:14" ht="18" customHeight="1" x14ac:dyDescent="0.3">
      <c r="C75" s="37"/>
      <c r="G75" s="37"/>
      <c r="H75" s="37"/>
      <c r="I75" s="37"/>
      <c r="J75" s="37"/>
      <c r="K75" s="37"/>
      <c r="L75" s="93"/>
      <c r="M75" s="93"/>
      <c r="N75" s="93"/>
    </row>
    <row r="76" spans="3:14" ht="18" customHeight="1" x14ac:dyDescent="0.3">
      <c r="C76" s="37"/>
      <c r="G76" s="37"/>
      <c r="H76" s="37"/>
      <c r="I76" s="37"/>
      <c r="J76" s="37"/>
      <c r="K76" s="37"/>
      <c r="L76" s="93"/>
      <c r="M76" s="93"/>
      <c r="N76" s="93"/>
    </row>
    <row r="77" spans="3:14" ht="18" customHeight="1" x14ac:dyDescent="0.3">
      <c r="C77" s="37"/>
      <c r="G77" s="37"/>
      <c r="H77" s="37"/>
      <c r="I77" s="37"/>
      <c r="J77" s="37"/>
      <c r="K77" s="37"/>
      <c r="L77"/>
      <c r="M77"/>
    </row>
    <row r="78" spans="3:14" ht="18" customHeight="1" x14ac:dyDescent="0.3">
      <c r="C78" s="37"/>
      <c r="G78" s="37"/>
      <c r="H78" s="37"/>
      <c r="I78" s="37"/>
      <c r="J78" s="37"/>
      <c r="K78" s="37"/>
      <c r="L78"/>
      <c r="M78"/>
    </row>
    <row r="79" spans="3:14" ht="18" customHeight="1" x14ac:dyDescent="0.3">
      <c r="C79" s="37"/>
      <c r="G79" s="37"/>
      <c r="H79" s="37"/>
      <c r="I79" s="37"/>
      <c r="J79" s="37"/>
      <c r="K79" s="37"/>
      <c r="L79"/>
      <c r="M79"/>
    </row>
    <row r="80" spans="3:14" ht="18" customHeight="1" x14ac:dyDescent="0.3">
      <c r="C80" s="37"/>
      <c r="G80" s="37"/>
      <c r="H80" s="37"/>
      <c r="I80" s="37"/>
      <c r="J80" s="37"/>
      <c r="K80" s="37"/>
      <c r="L80"/>
      <c r="M80"/>
    </row>
    <row r="81" spans="3:13" ht="18" customHeight="1" x14ac:dyDescent="0.3">
      <c r="C81" s="37"/>
      <c r="G81" s="37"/>
      <c r="H81" s="37"/>
      <c r="I81" s="37"/>
      <c r="J81" s="37"/>
      <c r="K81" s="37"/>
      <c r="L81"/>
      <c r="M81"/>
    </row>
    <row r="82" spans="3:13" ht="18" customHeight="1" x14ac:dyDescent="0.3">
      <c r="C82" s="37"/>
      <c r="G82" s="37"/>
      <c r="H82" s="37"/>
      <c r="I82" s="37"/>
      <c r="J82" s="37"/>
      <c r="K82" s="37"/>
      <c r="L82"/>
      <c r="M82"/>
    </row>
    <row r="83" spans="3:13" ht="18" customHeight="1" x14ac:dyDescent="0.3">
      <c r="C83" s="37"/>
      <c r="G83" s="37"/>
      <c r="H83" s="37"/>
      <c r="I83" s="37"/>
      <c r="J83" s="37"/>
      <c r="K83" s="37"/>
      <c r="L83"/>
      <c r="M83"/>
    </row>
    <row r="84" spans="3:13" ht="18" customHeight="1" x14ac:dyDescent="0.3">
      <c r="C84" s="37"/>
      <c r="G84" s="37"/>
      <c r="H84" s="37"/>
      <c r="I84" s="37"/>
      <c r="J84" s="37"/>
      <c r="K84" s="37"/>
      <c r="L84"/>
      <c r="M84"/>
    </row>
    <row r="85" spans="3:13" ht="18" customHeight="1" x14ac:dyDescent="0.3">
      <c r="C85" s="37"/>
      <c r="G85" s="37"/>
      <c r="H85" s="37"/>
      <c r="I85" s="37"/>
      <c r="J85" s="37"/>
      <c r="K85" s="37"/>
      <c r="L85"/>
      <c r="M85"/>
    </row>
    <row r="86" spans="3:13" ht="18" customHeight="1" x14ac:dyDescent="0.3">
      <c r="C86" s="37"/>
      <c r="G86" s="37"/>
      <c r="H86" s="37"/>
      <c r="I86" s="37"/>
      <c r="J86" s="37"/>
      <c r="K86" s="37"/>
      <c r="L86"/>
      <c r="M86"/>
    </row>
    <row r="87" spans="3:13" ht="18" customHeight="1" x14ac:dyDescent="0.3">
      <c r="C87" s="37"/>
      <c r="G87" s="37"/>
      <c r="H87" s="37"/>
      <c r="I87" s="37"/>
      <c r="J87" s="37"/>
      <c r="K87" s="37"/>
      <c r="L87"/>
      <c r="M87"/>
    </row>
    <row r="88" spans="3:13" ht="18" customHeight="1" x14ac:dyDescent="0.3">
      <c r="C88" s="37"/>
      <c r="G88" s="37"/>
      <c r="H88" s="37"/>
      <c r="I88" s="37"/>
      <c r="J88" s="37"/>
      <c r="K88" s="37"/>
      <c r="L88"/>
      <c r="M88"/>
    </row>
    <row r="89" spans="3:13" ht="18" customHeight="1" x14ac:dyDescent="0.3">
      <c r="C89" s="37"/>
      <c r="G89" s="37"/>
      <c r="H89" s="37"/>
      <c r="I89" s="37"/>
      <c r="J89" s="37"/>
      <c r="K89" s="37"/>
      <c r="L89"/>
      <c r="M89"/>
    </row>
    <row r="90" spans="3:13" ht="18" customHeight="1" x14ac:dyDescent="0.3">
      <c r="C90" s="37"/>
      <c r="G90" s="37"/>
      <c r="H90" s="37"/>
      <c r="I90" s="37"/>
      <c r="J90" s="37"/>
      <c r="K90" s="37"/>
      <c r="L90"/>
      <c r="M90"/>
    </row>
    <row r="91" spans="3:13" ht="18" customHeight="1" x14ac:dyDescent="0.3">
      <c r="C91" s="37"/>
      <c r="G91" s="37"/>
      <c r="H91" s="37"/>
      <c r="I91" s="37"/>
      <c r="J91" s="37"/>
      <c r="K91" s="37"/>
      <c r="L91"/>
      <c r="M91"/>
    </row>
    <row r="92" spans="3:13" ht="18" customHeight="1" x14ac:dyDescent="0.3">
      <c r="C92" s="37"/>
      <c r="G92" s="37"/>
      <c r="H92" s="37"/>
      <c r="I92" s="37"/>
      <c r="J92" s="37"/>
      <c r="K92" s="37"/>
      <c r="L92"/>
      <c r="M92"/>
    </row>
    <row r="93" spans="3:13" ht="18" customHeight="1" x14ac:dyDescent="0.3">
      <c r="C93" s="37"/>
      <c r="G93" s="37"/>
      <c r="H93" s="37"/>
      <c r="I93" s="37"/>
      <c r="J93" s="37"/>
      <c r="K93" s="37"/>
      <c r="L93"/>
      <c r="M93"/>
    </row>
    <row r="94" spans="3:13" ht="18" customHeight="1" x14ac:dyDescent="0.3">
      <c r="C94" s="37"/>
      <c r="G94" s="37"/>
      <c r="H94" s="37"/>
      <c r="I94" s="37"/>
      <c r="J94" s="37"/>
      <c r="K94" s="37"/>
      <c r="L94"/>
      <c r="M94"/>
    </row>
    <row r="95" spans="3:13" ht="18" customHeight="1" x14ac:dyDescent="0.3">
      <c r="C95" s="37"/>
      <c r="G95" s="37"/>
      <c r="H95" s="37"/>
      <c r="I95" s="37"/>
      <c r="J95" s="37"/>
      <c r="K95" s="37"/>
      <c r="L95"/>
      <c r="M95"/>
    </row>
    <row r="96" spans="3:13" ht="18" customHeight="1" x14ac:dyDescent="0.3">
      <c r="C96" s="37"/>
      <c r="G96" s="37"/>
      <c r="H96" s="37"/>
      <c r="I96" s="37"/>
      <c r="J96" s="37"/>
      <c r="K96" s="37"/>
      <c r="L96"/>
      <c r="M96"/>
    </row>
    <row r="97" spans="2:13" ht="18" customHeight="1" x14ac:dyDescent="0.3">
      <c r="C97" s="37"/>
      <c r="G97" s="37"/>
      <c r="H97" s="37"/>
      <c r="I97" s="37"/>
      <c r="J97" s="37"/>
      <c r="K97" s="37"/>
      <c r="L97"/>
      <c r="M97"/>
    </row>
    <row r="98" spans="2:13" ht="18" customHeight="1" x14ac:dyDescent="0.3">
      <c r="C98" s="37"/>
      <c r="G98" s="37"/>
      <c r="H98" s="37"/>
      <c r="I98" s="37"/>
      <c r="J98" s="37"/>
      <c r="K98" s="37"/>
      <c r="L98"/>
      <c r="M98"/>
    </row>
    <row r="99" spans="2:13" ht="18" customHeight="1" x14ac:dyDescent="0.3">
      <c r="C99" s="37"/>
      <c r="G99" s="37"/>
      <c r="H99" s="37"/>
      <c r="I99" s="37"/>
      <c r="J99" s="37"/>
      <c r="K99" s="37"/>
      <c r="L99"/>
      <c r="M99"/>
    </row>
    <row r="100" spans="2:13" ht="18" customHeight="1" x14ac:dyDescent="0.3">
      <c r="G100" s="37"/>
      <c r="H100" s="37"/>
      <c r="I100" s="37"/>
      <c r="J100" s="37"/>
      <c r="K100" s="37"/>
      <c r="L100" s="64"/>
      <c r="M100" s="64"/>
    </row>
    <row r="101" spans="2:13" ht="18" customHeight="1" x14ac:dyDescent="0.3">
      <c r="B101" s="62"/>
      <c r="C101" s="62"/>
      <c r="D101" s="62"/>
      <c r="E101" s="62"/>
      <c r="F101" s="62"/>
      <c r="G101" s="64"/>
      <c r="H101" s="64"/>
      <c r="I101" s="64"/>
      <c r="J101" s="64"/>
      <c r="K101" s="64"/>
      <c r="L101" s="64"/>
      <c r="M101" s="64"/>
    </row>
    <row r="102" spans="2:13" ht="18" customHeight="1" x14ac:dyDescent="0.3">
      <c r="B102" s="62"/>
      <c r="C102" s="62"/>
      <c r="D102" s="62"/>
      <c r="E102" s="62"/>
      <c r="F102" s="62"/>
      <c r="G102" s="64"/>
      <c r="H102" s="64"/>
      <c r="I102" s="64"/>
      <c r="J102" s="64"/>
      <c r="K102" s="64"/>
      <c r="L102" s="64"/>
      <c r="M102" s="64"/>
    </row>
    <row r="103" spans="2:13" ht="18" customHeight="1" x14ac:dyDescent="0.3">
      <c r="B103" s="62"/>
      <c r="C103" s="62"/>
      <c r="D103" s="62"/>
      <c r="E103" s="62"/>
      <c r="F103" s="62"/>
      <c r="G103" s="64"/>
      <c r="H103" s="64"/>
      <c r="I103" s="64"/>
      <c r="J103" s="64"/>
      <c r="K103" s="64"/>
      <c r="L103" s="64"/>
      <c r="M103" s="64"/>
    </row>
    <row r="104" spans="2:13" ht="18" customHeight="1" x14ac:dyDescent="0.3">
      <c r="B104" s="62"/>
      <c r="C104" s="62"/>
      <c r="D104" s="62"/>
      <c r="E104" s="62"/>
      <c r="F104" s="62"/>
      <c r="G104" s="64"/>
      <c r="H104" s="64"/>
      <c r="I104" s="64"/>
      <c r="J104" s="64"/>
      <c r="K104" s="64"/>
      <c r="L104" s="64"/>
      <c r="M104" s="64"/>
    </row>
    <row r="105" spans="2:13" ht="18" customHeight="1" x14ac:dyDescent="0.3">
      <c r="B105" s="62"/>
      <c r="C105" s="62"/>
      <c r="D105" s="62"/>
      <c r="E105" s="62"/>
      <c r="F105" s="62"/>
      <c r="G105" s="64"/>
      <c r="H105" s="64"/>
      <c r="I105" s="64"/>
      <c r="J105" s="64"/>
      <c r="K105" s="64"/>
      <c r="L105" s="64"/>
      <c r="M105" s="64"/>
    </row>
    <row r="106" spans="2:13" ht="18" customHeight="1" x14ac:dyDescent="0.3">
      <c r="B106" s="62"/>
      <c r="C106" s="62"/>
      <c r="D106" s="62"/>
      <c r="E106" s="62"/>
      <c r="F106" s="62"/>
      <c r="G106" s="64"/>
      <c r="H106" s="64"/>
      <c r="I106" s="64"/>
      <c r="J106" s="64"/>
      <c r="K106" s="64"/>
      <c r="L106" s="64"/>
      <c r="M106" s="64"/>
    </row>
    <row r="107" spans="2:13" ht="18" customHeight="1" x14ac:dyDescent="0.3">
      <c r="B107" s="62"/>
      <c r="C107" s="62"/>
      <c r="D107" s="62"/>
      <c r="E107" s="62"/>
      <c r="F107" s="62"/>
      <c r="G107" s="64"/>
      <c r="H107" s="64"/>
      <c r="I107" s="64"/>
      <c r="J107" s="64"/>
      <c r="K107" s="64"/>
      <c r="L107" s="64"/>
      <c r="M107" s="64"/>
    </row>
    <row r="108" spans="2:13" ht="18" customHeight="1" x14ac:dyDescent="0.3">
      <c r="B108" s="62"/>
      <c r="C108" s="62"/>
      <c r="D108" s="62"/>
      <c r="E108" s="62"/>
      <c r="F108" s="62"/>
      <c r="G108" s="64"/>
      <c r="H108" s="64"/>
      <c r="I108" s="64"/>
      <c r="J108" s="64"/>
      <c r="K108" s="64"/>
      <c r="L108" s="64"/>
      <c r="M108" s="64"/>
    </row>
    <row r="109" spans="2:13" ht="18" customHeight="1" x14ac:dyDescent="0.3">
      <c r="B109" s="62"/>
      <c r="C109" s="62"/>
      <c r="D109" s="62"/>
      <c r="E109" s="62"/>
      <c r="F109" s="62"/>
      <c r="G109" s="64"/>
      <c r="H109" s="64"/>
      <c r="I109" s="64"/>
      <c r="J109" s="64"/>
      <c r="K109" s="64"/>
      <c r="L109" s="64"/>
      <c r="M109" s="64"/>
    </row>
    <row r="110" spans="2:13" ht="18" customHeight="1" x14ac:dyDescent="0.3">
      <c r="B110" s="62"/>
      <c r="C110" s="62"/>
      <c r="D110" s="62"/>
      <c r="E110" s="62"/>
      <c r="F110" s="62"/>
      <c r="G110" s="64"/>
      <c r="H110" s="64"/>
      <c r="I110" s="64"/>
      <c r="J110" s="64"/>
      <c r="K110" s="64"/>
      <c r="L110" s="64"/>
      <c r="M110" s="64"/>
    </row>
    <row r="111" spans="2:13" ht="18" customHeight="1" x14ac:dyDescent="0.3">
      <c r="B111" s="62"/>
      <c r="C111" s="62"/>
      <c r="D111" s="62"/>
      <c r="E111" s="62"/>
      <c r="F111" s="62"/>
      <c r="G111" s="64"/>
      <c r="H111" s="64"/>
      <c r="I111" s="64"/>
      <c r="J111" s="64"/>
      <c r="K111" s="64"/>
      <c r="L111" s="64"/>
      <c r="M111" s="64"/>
    </row>
    <row r="112" spans="2:13" ht="18" customHeight="1" x14ac:dyDescent="0.3">
      <c r="B112" s="62"/>
      <c r="C112" s="62"/>
      <c r="D112" s="62"/>
      <c r="E112" s="62"/>
      <c r="F112" s="62"/>
      <c r="G112" s="64"/>
      <c r="H112" s="64"/>
      <c r="I112" s="64"/>
      <c r="J112" s="64"/>
      <c r="K112" s="64"/>
      <c r="L112" s="64"/>
      <c r="M112" s="64"/>
    </row>
    <row r="113" spans="2:13" ht="18" customHeight="1" x14ac:dyDescent="0.3">
      <c r="B113" s="62"/>
      <c r="C113" s="62"/>
      <c r="D113" s="62"/>
      <c r="E113" s="62"/>
      <c r="F113" s="62"/>
      <c r="G113" s="64"/>
      <c r="H113" s="64"/>
      <c r="I113" s="64"/>
      <c r="J113" s="64"/>
      <c r="K113" s="64"/>
      <c r="L113" s="64"/>
      <c r="M113" s="64"/>
    </row>
    <row r="114" spans="2:13" ht="18" customHeight="1" x14ac:dyDescent="0.3">
      <c r="B114" s="62"/>
      <c r="C114" s="62"/>
      <c r="D114" s="62"/>
      <c r="E114" s="62"/>
      <c r="F114" s="62"/>
      <c r="G114" s="64"/>
      <c r="H114" s="64"/>
      <c r="I114" s="64"/>
      <c r="J114" s="64"/>
      <c r="K114" s="64"/>
      <c r="L114" s="64"/>
      <c r="M114" s="64"/>
    </row>
    <row r="115" spans="2:13" ht="18" customHeight="1" x14ac:dyDescent="0.3">
      <c r="B115" s="62"/>
      <c r="C115" s="62"/>
      <c r="D115" s="62"/>
      <c r="E115" s="62"/>
      <c r="F115" s="62"/>
      <c r="G115" s="64"/>
      <c r="H115" s="64"/>
      <c r="I115" s="64"/>
      <c r="J115" s="64"/>
      <c r="K115" s="64"/>
      <c r="L115" s="64"/>
      <c r="M115" s="64"/>
    </row>
    <row r="116" spans="2:13" ht="18" customHeight="1" x14ac:dyDescent="0.3">
      <c r="B116" s="62"/>
      <c r="C116" s="62"/>
      <c r="D116" s="62"/>
      <c r="E116" s="62"/>
      <c r="F116" s="62"/>
      <c r="G116" s="64"/>
      <c r="H116" s="64"/>
      <c r="I116" s="64"/>
      <c r="J116" s="64"/>
      <c r="K116" s="64"/>
      <c r="L116" s="64"/>
      <c r="M116" s="64"/>
    </row>
    <row r="117" spans="2:13" ht="18" customHeight="1" x14ac:dyDescent="0.3">
      <c r="B117" s="62"/>
      <c r="C117" s="62"/>
      <c r="D117" s="62"/>
      <c r="E117" s="62"/>
      <c r="F117" s="62"/>
      <c r="G117" s="64"/>
      <c r="H117" s="64"/>
      <c r="I117" s="64"/>
      <c r="J117" s="64"/>
      <c r="K117" s="64"/>
      <c r="L117" s="64"/>
      <c r="M117" s="64"/>
    </row>
    <row r="118" spans="2:13" ht="18" customHeight="1" x14ac:dyDescent="0.3">
      <c r="B118" s="62"/>
      <c r="C118" s="62"/>
      <c r="D118" s="62"/>
      <c r="E118" s="62"/>
      <c r="F118" s="62"/>
      <c r="G118" s="64"/>
      <c r="H118" s="64"/>
      <c r="I118" s="64"/>
      <c r="J118" s="64"/>
      <c r="K118" s="64"/>
      <c r="L118" s="64"/>
      <c r="M118" s="64"/>
    </row>
    <row r="119" spans="2:13" ht="18" customHeight="1" x14ac:dyDescent="0.3">
      <c r="B119" s="62"/>
      <c r="C119" s="62"/>
      <c r="D119" s="62"/>
      <c r="E119" s="62"/>
      <c r="F119" s="62"/>
      <c r="G119" s="64"/>
      <c r="H119" s="64"/>
      <c r="I119" s="64"/>
      <c r="J119" s="64"/>
      <c r="K119" s="64"/>
      <c r="L119" s="64"/>
      <c r="M119" s="64"/>
    </row>
    <row r="120" spans="2:13" ht="18" customHeight="1" x14ac:dyDescent="0.3">
      <c r="B120" s="62"/>
      <c r="C120" s="62"/>
      <c r="D120" s="62"/>
      <c r="E120" s="62"/>
      <c r="F120" s="62"/>
      <c r="G120" s="64"/>
      <c r="H120" s="64"/>
      <c r="I120" s="64"/>
      <c r="J120" s="64"/>
      <c r="K120" s="64"/>
      <c r="L120" s="64"/>
      <c r="M120" s="64"/>
    </row>
    <row r="121" spans="2:13" ht="18" customHeight="1" x14ac:dyDescent="0.3">
      <c r="B121" s="62"/>
      <c r="C121" s="62"/>
      <c r="D121" s="62"/>
      <c r="E121" s="62"/>
      <c r="F121" s="62"/>
      <c r="G121" s="64"/>
      <c r="H121" s="64"/>
      <c r="I121" s="64"/>
      <c r="J121" s="64"/>
      <c r="K121" s="64"/>
      <c r="L121" s="37"/>
      <c r="M121" s="37"/>
    </row>
    <row r="122" spans="2:13" ht="18" customHeight="1" x14ac:dyDescent="0.3">
      <c r="G122" s="37"/>
      <c r="H122" s="37"/>
      <c r="I122" s="37"/>
      <c r="J122" s="37"/>
      <c r="K122" s="37"/>
      <c r="L122" s="37"/>
      <c r="M122" s="37"/>
    </row>
    <row r="123" spans="2:13" ht="18" customHeight="1" x14ac:dyDescent="0.3">
      <c r="G123" s="37"/>
      <c r="H123" s="37"/>
      <c r="I123" s="37"/>
      <c r="J123" s="37"/>
      <c r="K123" s="37"/>
      <c r="L123" s="37"/>
      <c r="M123" s="37"/>
    </row>
    <row r="124" spans="2:13" ht="18" customHeight="1" x14ac:dyDescent="0.3">
      <c r="G124" s="37"/>
      <c r="H124" s="37"/>
      <c r="I124" s="37"/>
      <c r="J124" s="37"/>
      <c r="K124" s="37"/>
      <c r="L124" s="37"/>
      <c r="M124" s="37"/>
    </row>
    <row r="125" spans="2:13" ht="18" customHeight="1" x14ac:dyDescent="0.3">
      <c r="G125" s="37"/>
      <c r="H125" s="37"/>
      <c r="I125" s="37"/>
      <c r="J125" s="37"/>
      <c r="K125" s="37"/>
      <c r="L125" s="37"/>
      <c r="M125" s="37"/>
    </row>
    <row r="126" spans="2:13" ht="18" customHeight="1" x14ac:dyDescent="0.3">
      <c r="G126" s="37"/>
      <c r="H126" s="37"/>
      <c r="I126" s="37"/>
      <c r="J126" s="37"/>
      <c r="K126" s="37"/>
      <c r="L126"/>
      <c r="M126"/>
    </row>
    <row r="127" spans="2:13" ht="18" customHeight="1" x14ac:dyDescent="0.3">
      <c r="B127"/>
      <c r="C127"/>
      <c r="D127"/>
      <c r="E127"/>
      <c r="F127"/>
      <c r="G127"/>
      <c r="H127"/>
      <c r="I127"/>
      <c r="J127"/>
      <c r="K127"/>
      <c r="L127" s="37"/>
      <c r="M127" s="37"/>
    </row>
    <row r="128" spans="2:13" ht="18" customHeight="1" x14ac:dyDescent="0.3">
      <c r="G128" s="37"/>
      <c r="H128" s="37"/>
      <c r="I128" s="37"/>
      <c r="J128" s="37"/>
      <c r="K128" s="37"/>
      <c r="L128" s="64"/>
      <c r="M128" s="64"/>
    </row>
    <row r="129" spans="2:13" ht="18" customHeight="1" x14ac:dyDescent="0.3">
      <c r="B129" s="62"/>
      <c r="C129" s="62"/>
      <c r="D129" s="62"/>
      <c r="E129" s="62"/>
      <c r="F129" s="62"/>
      <c r="G129" s="64"/>
      <c r="H129" s="64"/>
      <c r="I129" s="64"/>
      <c r="J129" s="64"/>
      <c r="K129" s="64"/>
      <c r="L129" s="64"/>
      <c r="M129" s="64"/>
    </row>
    <row r="130" spans="2:13" ht="18" customHeight="1" x14ac:dyDescent="0.3">
      <c r="B130" s="62"/>
      <c r="C130" s="62"/>
      <c r="D130" s="62"/>
      <c r="E130" s="62"/>
      <c r="F130" s="62"/>
      <c r="G130" s="64"/>
      <c r="H130" s="64"/>
      <c r="I130" s="64"/>
      <c r="J130" s="64"/>
      <c r="K130" s="64"/>
      <c r="L130" s="64"/>
      <c r="M130" s="64"/>
    </row>
    <row r="131" spans="2:13" ht="18" customHeight="1" x14ac:dyDescent="0.3">
      <c r="B131" s="62"/>
      <c r="C131" s="62"/>
      <c r="D131" s="62"/>
      <c r="E131" s="62"/>
      <c r="F131" s="62"/>
      <c r="G131" s="64"/>
      <c r="H131" s="64"/>
      <c r="I131" s="64"/>
      <c r="J131" s="64"/>
      <c r="K131" s="64"/>
      <c r="L131" s="64"/>
      <c r="M131" s="64"/>
    </row>
    <row r="132" spans="2:13" ht="18" customHeight="1" x14ac:dyDescent="0.3">
      <c r="B132" s="62"/>
      <c r="C132" s="62"/>
      <c r="D132" s="62"/>
      <c r="E132" s="62"/>
      <c r="F132" s="62"/>
      <c r="G132" s="64"/>
      <c r="H132" s="64"/>
      <c r="I132" s="64"/>
      <c r="J132" s="64"/>
      <c r="K132" s="64"/>
      <c r="L132" s="37"/>
      <c r="M132" s="37"/>
    </row>
    <row r="133" spans="2:13" ht="18" customHeight="1" x14ac:dyDescent="0.3">
      <c r="G133" s="37"/>
      <c r="H133" s="37"/>
      <c r="I133" s="37"/>
      <c r="J133" s="37"/>
      <c r="K133" s="37"/>
      <c r="L133" s="37"/>
      <c r="M133" s="37"/>
    </row>
    <row r="134" spans="2:13" ht="18" customHeight="1" x14ac:dyDescent="0.3">
      <c r="G134" s="37"/>
      <c r="H134" s="37"/>
      <c r="I134" s="37"/>
      <c r="J134" s="37"/>
      <c r="K134" s="37"/>
      <c r="L134" s="37"/>
      <c r="M134" s="37"/>
    </row>
    <row r="135" spans="2:13" ht="18" customHeight="1" x14ac:dyDescent="0.3">
      <c r="G135" s="37"/>
      <c r="H135" s="37"/>
      <c r="I135" s="37"/>
      <c r="J135" s="37"/>
      <c r="K135" s="37"/>
      <c r="L135" s="37"/>
      <c r="M135" s="37"/>
    </row>
    <row r="136" spans="2:13" ht="18" customHeight="1" x14ac:dyDescent="0.3">
      <c r="G136" s="37"/>
      <c r="H136" s="37"/>
      <c r="I136" s="37"/>
      <c r="J136" s="37"/>
      <c r="K136" s="37"/>
      <c r="L136" s="37"/>
      <c r="M136" s="37"/>
    </row>
    <row r="137" spans="2:13" ht="18" customHeight="1" x14ac:dyDescent="0.3">
      <c r="G137" s="37"/>
      <c r="H137" s="37"/>
      <c r="I137" s="37"/>
      <c r="J137" s="37"/>
      <c r="K137" s="37"/>
      <c r="L137" s="37"/>
      <c r="M137" s="37"/>
    </row>
    <row r="138" spans="2:13" ht="18" customHeight="1" x14ac:dyDescent="0.3">
      <c r="G138" s="37"/>
      <c r="H138" s="37"/>
      <c r="I138" s="37"/>
      <c r="J138" s="37"/>
      <c r="K138" s="37"/>
      <c r="L138" s="37"/>
      <c r="M138" s="37"/>
    </row>
    <row r="139" spans="2:13" ht="18" customHeight="1" x14ac:dyDescent="0.3">
      <c r="G139" s="37"/>
      <c r="H139" s="37"/>
      <c r="I139" s="37"/>
      <c r="J139" s="37"/>
      <c r="K139" s="37"/>
      <c r="L139" s="37"/>
      <c r="M139" s="37"/>
    </row>
    <row r="140" spans="2:13" ht="18" customHeight="1" x14ac:dyDescent="0.3">
      <c r="G140" s="37"/>
      <c r="H140" s="37"/>
      <c r="I140" s="37"/>
      <c r="J140" s="37"/>
      <c r="K140" s="37"/>
      <c r="L140" s="37"/>
      <c r="M140" s="37"/>
    </row>
    <row r="141" spans="2:13" ht="18" customHeight="1" x14ac:dyDescent="0.3">
      <c r="G141" s="37"/>
      <c r="H141" s="37"/>
      <c r="I141" s="37"/>
      <c r="J141" s="37"/>
      <c r="K141" s="37"/>
      <c r="L141" s="37"/>
      <c r="M141" s="37"/>
    </row>
    <row r="142" spans="2:13" ht="18" customHeight="1" x14ac:dyDescent="0.3">
      <c r="G142" s="37"/>
      <c r="H142" s="37"/>
      <c r="I142" s="37"/>
      <c r="J142" s="37"/>
      <c r="K142" s="37"/>
      <c r="L142" s="37"/>
      <c r="M142" s="37"/>
    </row>
    <row r="143" spans="2:13" ht="18" customHeight="1" x14ac:dyDescent="0.3">
      <c r="G143" s="37"/>
      <c r="H143" s="37"/>
      <c r="I143" s="37"/>
      <c r="J143" s="37"/>
      <c r="K143" s="37"/>
      <c r="L143" s="37"/>
      <c r="M143" s="37"/>
    </row>
    <row r="144" spans="2:13" ht="18" customHeight="1" x14ac:dyDescent="0.3">
      <c r="G144" s="37"/>
      <c r="H144" s="37"/>
      <c r="I144" s="37"/>
      <c r="J144" s="37"/>
      <c r="K144" s="37"/>
      <c r="L144" s="64"/>
      <c r="M144" s="64"/>
    </row>
    <row r="145" spans="2:13" ht="18" customHeight="1" x14ac:dyDescent="0.3">
      <c r="B145" s="62"/>
      <c r="C145" s="62"/>
      <c r="D145" s="62"/>
      <c r="E145" s="62"/>
      <c r="F145" s="62"/>
      <c r="G145" s="64"/>
      <c r="H145" s="64"/>
      <c r="I145" s="64"/>
      <c r="J145" s="64"/>
      <c r="K145" s="64"/>
      <c r="L145" s="64"/>
      <c r="M145" s="64"/>
    </row>
    <row r="146" spans="2:13" ht="18" customHeight="1" x14ac:dyDescent="0.3">
      <c r="B146" s="62"/>
      <c r="C146" s="62"/>
      <c r="D146" s="62"/>
      <c r="E146" s="62"/>
      <c r="F146" s="62"/>
      <c r="G146" s="64"/>
      <c r="H146" s="64"/>
      <c r="I146" s="64"/>
      <c r="J146" s="64"/>
      <c r="K146" s="64"/>
      <c r="L146" s="64"/>
      <c r="M146" s="64"/>
    </row>
    <row r="147" spans="2:13" ht="18" customHeight="1" x14ac:dyDescent="0.3">
      <c r="B147" s="62"/>
      <c r="C147" s="62"/>
      <c r="D147" s="62"/>
      <c r="E147" s="62"/>
      <c r="F147" s="62"/>
      <c r="G147" s="64"/>
      <c r="H147" s="64"/>
      <c r="I147" s="64"/>
      <c r="J147" s="64"/>
      <c r="K147" s="64"/>
      <c r="L147" s="64"/>
      <c r="M147" s="64"/>
    </row>
    <row r="148" spans="2:13" ht="18" customHeight="1" x14ac:dyDescent="0.3">
      <c r="B148" s="62"/>
      <c r="C148" s="62"/>
      <c r="D148" s="62"/>
      <c r="E148" s="62"/>
      <c r="F148" s="62"/>
      <c r="G148" s="64"/>
      <c r="H148" s="64"/>
      <c r="I148" s="64"/>
      <c r="J148" s="64"/>
      <c r="K148" s="64"/>
      <c r="L148"/>
      <c r="M148"/>
    </row>
    <row r="149" spans="2:13" ht="18" customHeight="1" x14ac:dyDescent="0.3">
      <c r="B149"/>
      <c r="C149"/>
      <c r="D149"/>
      <c r="E149"/>
      <c r="F149"/>
      <c r="G149"/>
      <c r="H149"/>
      <c r="I149"/>
      <c r="J149"/>
      <c r="K149"/>
      <c r="L149" s="64"/>
      <c r="M149" s="64"/>
    </row>
    <row r="150" spans="2:13" ht="18" customHeight="1" x14ac:dyDescent="0.3">
      <c r="B150" s="62"/>
      <c r="C150" s="62"/>
      <c r="D150" s="62"/>
      <c r="E150" s="62"/>
      <c r="F150" s="62"/>
      <c r="G150" s="64"/>
      <c r="H150" s="64"/>
      <c r="I150" s="64"/>
      <c r="J150" s="64"/>
      <c r="K150" s="64"/>
      <c r="L150" s="64"/>
      <c r="M150" s="64"/>
    </row>
    <row r="151" spans="2:13" ht="18" customHeight="1" x14ac:dyDescent="0.3">
      <c r="B151" s="62"/>
      <c r="C151" s="62"/>
      <c r="D151" s="62"/>
      <c r="E151" s="62"/>
      <c r="F151" s="62"/>
      <c r="G151" s="64"/>
      <c r="H151" s="64"/>
      <c r="I151" s="64"/>
      <c r="J151" s="64"/>
      <c r="K151" s="64"/>
      <c r="L151" s="37"/>
      <c r="M151" s="37"/>
    </row>
    <row r="152" spans="2:13" ht="18" customHeight="1" x14ac:dyDescent="0.3">
      <c r="G152" s="37"/>
      <c r="H152" s="37"/>
      <c r="I152" s="37"/>
      <c r="J152" s="37"/>
      <c r="K152" s="37"/>
      <c r="L152" s="37"/>
      <c r="M152" s="37"/>
    </row>
    <row r="153" spans="2:13" ht="18" customHeight="1" x14ac:dyDescent="0.3">
      <c r="G153" s="37"/>
      <c r="H153" s="37"/>
      <c r="I153" s="37"/>
      <c r="J153" s="37"/>
      <c r="K153" s="37"/>
      <c r="L153" s="37"/>
      <c r="M153" s="37"/>
    </row>
    <row r="154" spans="2:13" ht="18" customHeight="1" x14ac:dyDescent="0.3">
      <c r="G154" s="37"/>
      <c r="H154" s="37"/>
      <c r="I154" s="37"/>
      <c r="J154" s="37"/>
      <c r="K154" s="37"/>
      <c r="L154" s="37"/>
      <c r="M154" s="37"/>
    </row>
    <row r="155" spans="2:13" ht="18" customHeight="1" x14ac:dyDescent="0.3">
      <c r="G155" s="37"/>
      <c r="H155" s="37"/>
      <c r="I155" s="37"/>
      <c r="J155" s="37"/>
      <c r="K155" s="37"/>
      <c r="L155" s="37"/>
      <c r="M155" s="37"/>
    </row>
    <row r="156" spans="2:13" ht="18" customHeight="1" x14ac:dyDescent="0.3">
      <c r="G156" s="37"/>
      <c r="H156" s="37"/>
      <c r="I156" s="37"/>
      <c r="J156" s="37"/>
      <c r="K156" s="37"/>
      <c r="L156" s="37"/>
      <c r="M156" s="37"/>
    </row>
    <row r="157" spans="2:13" ht="18" customHeight="1" x14ac:dyDescent="0.3">
      <c r="G157" s="37"/>
      <c r="H157" s="37"/>
      <c r="I157" s="37"/>
      <c r="J157" s="37"/>
      <c r="K157" s="37"/>
      <c r="L157" s="37"/>
      <c r="M157" s="37"/>
    </row>
    <row r="158" spans="2:13" ht="18" customHeight="1" x14ac:dyDescent="0.3">
      <c r="G158" s="37"/>
      <c r="H158" s="37"/>
      <c r="I158" s="37"/>
      <c r="J158" s="37"/>
      <c r="K158" s="37"/>
      <c r="L158" s="37"/>
      <c r="M158" s="37"/>
    </row>
    <row r="159" spans="2:13" ht="18" customHeight="1" x14ac:dyDescent="0.3">
      <c r="G159" s="37"/>
      <c r="H159" s="37"/>
      <c r="I159" s="37"/>
      <c r="J159" s="37"/>
      <c r="K159" s="37"/>
      <c r="L159" s="37"/>
      <c r="M159" s="37"/>
    </row>
    <row r="160" spans="2:13" ht="18" customHeight="1" x14ac:dyDescent="0.3">
      <c r="G160" s="37"/>
      <c r="H160" s="37"/>
      <c r="I160" s="37"/>
      <c r="J160" s="37"/>
      <c r="K160" s="37"/>
      <c r="L160" s="37"/>
      <c r="M160" s="37"/>
    </row>
    <row r="161" spans="7:13" ht="18" customHeight="1" x14ac:dyDescent="0.3">
      <c r="G161" s="37"/>
      <c r="H161" s="37"/>
      <c r="I161" s="37"/>
      <c r="J161" s="37"/>
      <c r="K161" s="37"/>
      <c r="L161" s="37"/>
      <c r="M161" s="37"/>
    </row>
    <row r="162" spans="7:13" ht="18" customHeight="1" x14ac:dyDescent="0.3">
      <c r="G162" s="37"/>
      <c r="H162" s="37"/>
      <c r="I162" s="37"/>
      <c r="J162" s="37"/>
      <c r="K162" s="37"/>
      <c r="L162" s="37"/>
      <c r="M162" s="37"/>
    </row>
    <row r="163" spans="7:13" ht="18" customHeight="1" x14ac:dyDescent="0.3">
      <c r="G163" s="37"/>
      <c r="H163" s="37"/>
      <c r="I163" s="37"/>
      <c r="J163" s="37"/>
      <c r="K163" s="37"/>
      <c r="L163" s="37"/>
      <c r="M163" s="37"/>
    </row>
    <row r="164" spans="7:13" ht="18" customHeight="1" x14ac:dyDescent="0.3">
      <c r="G164" s="37"/>
      <c r="H164" s="37"/>
      <c r="I164" s="37"/>
      <c r="J164" s="37"/>
      <c r="K164" s="37"/>
      <c r="L164" s="37"/>
      <c r="M164" s="37"/>
    </row>
    <row r="165" spans="7:13" ht="18" customHeight="1" x14ac:dyDescent="0.3">
      <c r="G165" s="37"/>
      <c r="H165" s="37"/>
      <c r="I165" s="37"/>
      <c r="J165" s="37"/>
      <c r="K165" s="37"/>
      <c r="L165" s="37"/>
      <c r="M165" s="37"/>
    </row>
    <row r="166" spans="7:13" ht="18" customHeight="1" x14ac:dyDescent="0.3">
      <c r="G166" s="37"/>
      <c r="H166" s="37"/>
      <c r="I166" s="37"/>
      <c r="J166" s="37"/>
      <c r="K166" s="37"/>
      <c r="L166" s="37"/>
      <c r="M166" s="37"/>
    </row>
    <row r="167" spans="7:13" ht="18" customHeight="1" x14ac:dyDescent="0.3">
      <c r="G167" s="37"/>
      <c r="H167" s="37"/>
      <c r="I167" s="37"/>
      <c r="J167" s="37"/>
      <c r="K167" s="37"/>
      <c r="L167" s="37"/>
      <c r="M167" s="37"/>
    </row>
    <row r="168" spans="7:13" ht="18" customHeight="1" x14ac:dyDescent="0.3">
      <c r="G168" s="37"/>
      <c r="H168" s="37"/>
      <c r="I168" s="37"/>
      <c r="J168" s="37"/>
      <c r="K168" s="37"/>
      <c r="L168" s="37"/>
      <c r="M168" s="37"/>
    </row>
    <row r="169" spans="7:13" ht="18" customHeight="1" x14ac:dyDescent="0.3">
      <c r="G169" s="37"/>
      <c r="H169" s="37"/>
      <c r="I169" s="37"/>
      <c r="J169" s="37"/>
      <c r="K169" s="37"/>
      <c r="L169" s="37"/>
      <c r="M169" s="37"/>
    </row>
    <row r="170" spans="7:13" ht="18" customHeight="1" x14ac:dyDescent="0.3">
      <c r="G170" s="37"/>
      <c r="H170" s="37"/>
      <c r="I170" s="37"/>
      <c r="J170" s="37"/>
      <c r="K170" s="37"/>
      <c r="L170" s="37"/>
      <c r="M170" s="37"/>
    </row>
    <row r="171" spans="7:13" ht="18" customHeight="1" x14ac:dyDescent="0.3">
      <c r="G171" s="37"/>
      <c r="H171" s="37"/>
      <c r="I171" s="37"/>
      <c r="J171" s="37"/>
      <c r="K171" s="37"/>
      <c r="L171" s="37"/>
      <c r="M171" s="37"/>
    </row>
    <row r="172" spans="7:13" ht="18" customHeight="1" x14ac:dyDescent="0.3">
      <c r="G172" s="37"/>
      <c r="H172" s="37"/>
      <c r="I172" s="37"/>
      <c r="J172" s="37"/>
      <c r="K172" s="37"/>
      <c r="L172" s="37"/>
      <c r="M172" s="37"/>
    </row>
    <row r="173" spans="7:13" ht="18" customHeight="1" x14ac:dyDescent="0.3">
      <c r="G173" s="37"/>
      <c r="H173" s="37"/>
      <c r="I173" s="37"/>
      <c r="J173" s="37"/>
      <c r="K173" s="37"/>
      <c r="L173" s="37"/>
      <c r="M173" s="37"/>
    </row>
    <row r="174" spans="7:13" ht="18" customHeight="1" x14ac:dyDescent="0.3">
      <c r="G174" s="37"/>
      <c r="H174" s="37"/>
      <c r="I174" s="37"/>
      <c r="J174" s="37"/>
      <c r="K174" s="37"/>
      <c r="L174" s="37"/>
      <c r="M174" s="37"/>
    </row>
    <row r="175" spans="7:13" ht="18" customHeight="1" x14ac:dyDescent="0.3">
      <c r="G175" s="37"/>
      <c r="H175" s="37"/>
      <c r="I175" s="37"/>
      <c r="J175" s="37"/>
      <c r="K175" s="37"/>
      <c r="L175" s="37"/>
      <c r="M175" s="37"/>
    </row>
    <row r="176" spans="7:13" ht="18" customHeight="1" x14ac:dyDescent="0.3">
      <c r="G176" s="37"/>
      <c r="H176" s="37"/>
      <c r="I176" s="37"/>
      <c r="J176" s="37"/>
      <c r="K176" s="37"/>
      <c r="L176" s="37"/>
      <c r="M176" s="37"/>
    </row>
    <row r="177" spans="7:13" ht="18" customHeight="1" x14ac:dyDescent="0.3">
      <c r="G177" s="37"/>
      <c r="H177" s="37"/>
      <c r="I177" s="37"/>
      <c r="J177" s="37"/>
      <c r="K177" s="37"/>
      <c r="L177" s="37"/>
      <c r="M177" s="37"/>
    </row>
    <row r="178" spans="7:13" ht="18" customHeight="1" x14ac:dyDescent="0.3">
      <c r="G178" s="37"/>
      <c r="H178" s="37"/>
      <c r="I178" s="37"/>
      <c r="J178" s="37"/>
      <c r="K178" s="37"/>
      <c r="L178" s="37"/>
      <c r="M178" s="37"/>
    </row>
    <row r="179" spans="7:13" ht="18" customHeight="1" x14ac:dyDescent="0.3">
      <c r="G179" s="37"/>
      <c r="H179" s="37"/>
      <c r="I179" s="37"/>
      <c r="J179" s="37"/>
      <c r="K179" s="37"/>
      <c r="L179" s="37"/>
      <c r="M179" s="37"/>
    </row>
    <row r="180" spans="7:13" ht="18" customHeight="1" x14ac:dyDescent="0.3">
      <c r="G180" s="37"/>
      <c r="H180" s="37"/>
      <c r="I180" s="37"/>
      <c r="J180" s="37"/>
      <c r="K180" s="37"/>
      <c r="L180" s="37"/>
      <c r="M180" s="37"/>
    </row>
    <row r="181" spans="7:13" ht="18" customHeight="1" x14ac:dyDescent="0.3">
      <c r="G181" s="37"/>
      <c r="H181" s="37"/>
      <c r="I181" s="37"/>
      <c r="J181" s="37"/>
      <c r="K181" s="37"/>
      <c r="L181" s="37"/>
      <c r="M181" s="37"/>
    </row>
    <row r="182" spans="7:13" ht="18" customHeight="1" x14ac:dyDescent="0.3">
      <c r="G182" s="37"/>
      <c r="H182" s="37"/>
      <c r="I182" s="37"/>
      <c r="J182" s="37"/>
      <c r="K182" s="37"/>
      <c r="L182" s="37"/>
      <c r="M182" s="37"/>
    </row>
    <row r="183" spans="7:13" ht="18" customHeight="1" x14ac:dyDescent="0.3">
      <c r="G183" s="37"/>
      <c r="H183" s="37"/>
      <c r="I183" s="37"/>
      <c r="J183" s="37"/>
      <c r="K183" s="37"/>
      <c r="L183" s="37"/>
      <c r="M183" s="37"/>
    </row>
    <row r="184" spans="7:13" ht="18" customHeight="1" x14ac:dyDescent="0.3">
      <c r="G184" s="37"/>
      <c r="H184" s="37"/>
      <c r="I184" s="37"/>
      <c r="J184" s="37"/>
      <c r="K184" s="37"/>
      <c r="L184" s="37"/>
      <c r="M184" s="37"/>
    </row>
    <row r="185" spans="7:13" ht="18" customHeight="1" x14ac:dyDescent="0.3">
      <c r="G185" s="37"/>
      <c r="H185" s="37"/>
      <c r="I185" s="37"/>
      <c r="J185" s="37"/>
      <c r="K185" s="37"/>
      <c r="L185" s="37"/>
      <c r="M185" s="37"/>
    </row>
    <row r="186" spans="7:13" ht="18" customHeight="1" x14ac:dyDescent="0.3">
      <c r="G186" s="37"/>
      <c r="H186" s="37"/>
      <c r="I186" s="37"/>
      <c r="J186" s="37"/>
      <c r="K186" s="37"/>
      <c r="L186" s="37"/>
      <c r="M186" s="37"/>
    </row>
    <row r="187" spans="7:13" ht="18" customHeight="1" x14ac:dyDescent="0.3">
      <c r="G187" s="37"/>
      <c r="H187" s="37"/>
      <c r="I187" s="37"/>
      <c r="J187" s="37"/>
      <c r="K187" s="37"/>
      <c r="L187" s="37"/>
      <c r="M187" s="37"/>
    </row>
    <row r="188" spans="7:13" ht="18" customHeight="1" x14ac:dyDescent="0.3">
      <c r="G188" s="37"/>
      <c r="H188" s="37"/>
      <c r="I188" s="37"/>
      <c r="J188" s="37"/>
      <c r="K188" s="37"/>
      <c r="L188" s="37"/>
      <c r="M188" s="37"/>
    </row>
    <row r="189" spans="7:13" ht="18" customHeight="1" x14ac:dyDescent="0.3">
      <c r="G189" s="37"/>
      <c r="H189" s="37"/>
      <c r="I189" s="37"/>
      <c r="J189" s="37"/>
      <c r="K189" s="37"/>
      <c r="L189" s="37"/>
      <c r="M189" s="37"/>
    </row>
    <row r="190" spans="7:13" ht="18" customHeight="1" x14ac:dyDescent="0.3">
      <c r="G190" s="37"/>
      <c r="H190" s="37"/>
      <c r="I190" s="37"/>
      <c r="J190" s="37"/>
      <c r="K190" s="37"/>
      <c r="L190" s="37"/>
      <c r="M190" s="37"/>
    </row>
    <row r="191" spans="7:13" ht="18" customHeight="1" x14ac:dyDescent="0.3">
      <c r="G191" s="37"/>
      <c r="H191" s="37"/>
      <c r="I191" s="37"/>
      <c r="J191" s="37"/>
      <c r="K191" s="37"/>
      <c r="L191" s="37"/>
      <c r="M191" s="37"/>
    </row>
    <row r="192" spans="7:13" ht="18" customHeight="1" x14ac:dyDescent="0.3">
      <c r="G192" s="37"/>
      <c r="H192" s="37"/>
      <c r="I192" s="37"/>
      <c r="J192" s="37"/>
      <c r="K192" s="37"/>
      <c r="L192" s="37"/>
      <c r="M192" s="37"/>
    </row>
    <row r="193" spans="7:13" ht="18" customHeight="1" x14ac:dyDescent="0.3">
      <c r="G193" s="37"/>
      <c r="H193" s="37"/>
      <c r="I193" s="37"/>
      <c r="J193" s="37"/>
      <c r="K193" s="37"/>
      <c r="L193" s="37"/>
      <c r="M193" s="37"/>
    </row>
    <row r="194" spans="7:13" ht="18" customHeight="1" x14ac:dyDescent="0.3">
      <c r="G194" s="37"/>
      <c r="H194" s="37"/>
      <c r="I194" s="37"/>
      <c r="J194" s="37"/>
      <c r="K194" s="37"/>
      <c r="L194" s="37"/>
      <c r="M194" s="37"/>
    </row>
    <row r="195" spans="7:13" ht="18" customHeight="1" x14ac:dyDescent="0.3">
      <c r="G195" s="37"/>
      <c r="H195" s="37"/>
      <c r="I195" s="37"/>
      <c r="J195" s="37"/>
      <c r="K195" s="37"/>
      <c r="L195" s="37"/>
      <c r="M195" s="37"/>
    </row>
    <row r="196" spans="7:13" ht="18" customHeight="1" x14ac:dyDescent="0.3">
      <c r="G196" s="37"/>
      <c r="H196" s="37"/>
      <c r="I196" s="37"/>
      <c r="J196" s="37"/>
      <c r="K196" s="37"/>
      <c r="L196" s="37"/>
      <c r="M196" s="37"/>
    </row>
    <row r="197" spans="7:13" ht="18" customHeight="1" x14ac:dyDescent="0.3">
      <c r="G197" s="37"/>
      <c r="H197" s="37"/>
      <c r="I197" s="37"/>
      <c r="J197" s="37"/>
      <c r="K197" s="37"/>
      <c r="L197" s="37"/>
      <c r="M197" s="37"/>
    </row>
    <row r="198" spans="7:13" ht="18" customHeight="1" x14ac:dyDescent="0.3">
      <c r="G198" s="37"/>
      <c r="H198" s="37"/>
      <c r="I198" s="37"/>
      <c r="J198" s="37"/>
      <c r="K198" s="37"/>
      <c r="L198" s="37"/>
      <c r="M198" s="37"/>
    </row>
    <row r="199" spans="7:13" ht="18" customHeight="1" x14ac:dyDescent="0.3">
      <c r="G199" s="37"/>
      <c r="H199" s="37"/>
      <c r="I199" s="37"/>
      <c r="J199" s="37"/>
      <c r="K199" s="37"/>
      <c r="L199" s="37"/>
      <c r="M199" s="37"/>
    </row>
    <row r="200" spans="7:13" ht="18" customHeight="1" x14ac:dyDescent="0.3">
      <c r="G200" s="37"/>
      <c r="H200" s="37"/>
      <c r="I200" s="37"/>
      <c r="J200" s="37"/>
      <c r="K200" s="37"/>
      <c r="L200" s="37"/>
      <c r="M200" s="37"/>
    </row>
    <row r="201" spans="7:13" ht="18" customHeight="1" x14ac:dyDescent="0.3">
      <c r="G201" s="37"/>
      <c r="H201" s="37"/>
      <c r="I201" s="37"/>
      <c r="J201" s="37"/>
      <c r="K201" s="37"/>
      <c r="L201" s="37"/>
      <c r="M201" s="37"/>
    </row>
    <row r="202" spans="7:13" ht="18" customHeight="1" x14ac:dyDescent="0.3">
      <c r="G202" s="37"/>
      <c r="H202" s="37"/>
      <c r="I202" s="37"/>
      <c r="J202" s="37"/>
      <c r="K202" s="37"/>
      <c r="L202" s="37"/>
      <c r="M202" s="37"/>
    </row>
    <row r="203" spans="7:13" ht="18" customHeight="1" x14ac:dyDescent="0.3">
      <c r="G203" s="37"/>
      <c r="H203" s="37"/>
      <c r="I203" s="37"/>
      <c r="J203" s="37"/>
      <c r="K203" s="37"/>
      <c r="L203" s="37"/>
      <c r="M203" s="37"/>
    </row>
    <row r="204" spans="7:13" ht="18" customHeight="1" x14ac:dyDescent="0.3">
      <c r="G204" s="37"/>
      <c r="H204" s="37"/>
      <c r="I204" s="37"/>
      <c r="J204" s="37"/>
      <c r="K204" s="37"/>
      <c r="L204" s="37"/>
      <c r="M204" s="37"/>
    </row>
    <row r="205" spans="7:13" ht="18" customHeight="1" x14ac:dyDescent="0.3">
      <c r="G205" s="37"/>
      <c r="H205" s="37"/>
      <c r="I205" s="37"/>
      <c r="J205" s="37"/>
      <c r="K205" s="37"/>
      <c r="L205" s="37"/>
      <c r="M205" s="37"/>
    </row>
    <row r="206" spans="7:13" ht="18" customHeight="1" x14ac:dyDescent="0.3">
      <c r="G206" s="37"/>
      <c r="H206" s="37"/>
      <c r="I206" s="37"/>
      <c r="J206" s="37"/>
      <c r="K206" s="37"/>
      <c r="L206" s="37"/>
      <c r="M206" s="37"/>
    </row>
    <row r="207" spans="7:13" ht="18" customHeight="1" x14ac:dyDescent="0.3">
      <c r="G207" s="37"/>
      <c r="H207" s="37"/>
      <c r="I207" s="37"/>
      <c r="J207" s="37"/>
      <c r="K207" s="37"/>
      <c r="L207" s="37"/>
      <c r="M207" s="37"/>
    </row>
    <row r="208" spans="7:13" ht="18" customHeight="1" x14ac:dyDescent="0.3">
      <c r="G208" s="37"/>
      <c r="H208" s="37"/>
      <c r="I208" s="37"/>
      <c r="J208" s="37"/>
      <c r="K208" s="37"/>
      <c r="L208" s="37"/>
      <c r="M208" s="37"/>
    </row>
    <row r="209" spans="2:11" ht="18" customHeight="1" x14ac:dyDescent="0.3">
      <c r="G209" s="37"/>
      <c r="H209" s="37"/>
      <c r="I209" s="37"/>
      <c r="J209" s="37"/>
      <c r="K209" s="37"/>
    </row>
    <row r="210" spans="2:11" ht="18" customHeight="1" x14ac:dyDescent="0.3">
      <c r="G210" s="37"/>
      <c r="H210" s="37"/>
      <c r="I210" s="37"/>
      <c r="J210" s="37"/>
      <c r="K210" s="37"/>
    </row>
    <row r="211" spans="2:11" ht="18" customHeight="1" x14ac:dyDescent="0.3">
      <c r="B211" s="62"/>
      <c r="C211" s="62"/>
      <c r="D211" s="62"/>
      <c r="E211" s="62"/>
      <c r="F211" s="62"/>
      <c r="G211" s="62"/>
      <c r="H211" s="62"/>
      <c r="I211" s="62"/>
      <c r="J211" s="62"/>
      <c r="K211" s="62"/>
    </row>
    <row r="212" spans="2:11" ht="18" customHeight="1" x14ac:dyDescent="0.3">
      <c r="B212" s="62"/>
      <c r="C212" s="62"/>
      <c r="D212" s="62"/>
      <c r="E212" s="62"/>
      <c r="F212" s="62"/>
      <c r="G212" s="62"/>
      <c r="H212" s="62"/>
      <c r="I212" s="62"/>
      <c r="J212" s="62"/>
      <c r="K212" s="62"/>
    </row>
    <row r="213" spans="2:11" ht="18" customHeight="1" x14ac:dyDescent="0.3">
      <c r="B213" s="62"/>
      <c r="C213" s="62"/>
      <c r="D213" s="62"/>
      <c r="E213" s="62"/>
      <c r="F213" s="62"/>
      <c r="G213" s="62"/>
      <c r="H213" s="62"/>
      <c r="I213" s="62"/>
      <c r="J213" s="62"/>
      <c r="K213" s="62"/>
    </row>
    <row r="214" spans="2:11" ht="18" customHeight="1" x14ac:dyDescent="0.3">
      <c r="B214" s="62"/>
      <c r="C214" s="62"/>
      <c r="D214" s="62"/>
      <c r="E214" s="62"/>
      <c r="F214" s="62"/>
      <c r="G214" s="62"/>
      <c r="H214" s="62"/>
      <c r="I214" s="62"/>
      <c r="J214" s="62"/>
      <c r="K214" s="62"/>
    </row>
    <row r="215" spans="2:11" ht="18" customHeight="1" x14ac:dyDescent="0.3">
      <c r="B215" s="62"/>
      <c r="C215" s="62"/>
      <c r="D215" s="62"/>
      <c r="E215" s="62"/>
      <c r="F215" s="62"/>
      <c r="G215" s="62"/>
      <c r="H215" s="62"/>
      <c r="I215" s="62"/>
      <c r="J215" s="62"/>
      <c r="K215" s="62"/>
    </row>
    <row r="216" spans="2:11" ht="18" customHeight="1" x14ac:dyDescent="0.3">
      <c r="B216"/>
      <c r="C216"/>
      <c r="D216"/>
      <c r="E216"/>
      <c r="F216"/>
      <c r="G216"/>
      <c r="H216"/>
      <c r="I216"/>
      <c r="J216"/>
      <c r="K216"/>
    </row>
    <row r="217" spans="2:11" ht="57.75" customHeight="1" x14ac:dyDescent="0.3"/>
  </sheetData>
  <dataConsolidate/>
  <mergeCells count="10">
    <mergeCell ref="B4:D4"/>
    <mergeCell ref="E17:G17"/>
    <mergeCell ref="E2:J2"/>
    <mergeCell ref="F7:I7"/>
    <mergeCell ref="F5:I5"/>
    <mergeCell ref="F8:I8"/>
    <mergeCell ref="F9:I9"/>
    <mergeCell ref="D5:E5"/>
    <mergeCell ref="A2:B2"/>
    <mergeCell ref="A17:B17"/>
  </mergeCells>
  <dataValidations count="8">
    <dataValidation type="list" allowBlank="1" showInputMessage="1" showErrorMessage="1" sqref="J150:K210 J128:K148 J55:K126">
      <formula1>ValidPerioder</formula1>
    </dataValidation>
    <dataValidation type="list" allowBlank="1" showInputMessage="1" showErrorMessage="1" sqref="F150:F211 F128:F148 F55:F126">
      <formula1>ValidLevels</formula1>
    </dataValidation>
    <dataValidation type="list" showInputMessage="1" showErrorMessage="1" sqref="I150:I210 I144:I148">
      <formula1>ValidSemester</formula1>
    </dataValidation>
    <dataValidation type="list" showInputMessage="1" showErrorMessage="1" sqref="E128:E148 E77:E126">
      <formula1>$G$75:$G$79</formula1>
    </dataValidation>
    <dataValidation type="list" allowBlank="1" showInputMessage="1" showErrorMessage="1" sqref="L127:M147 L100:M125">
      <formula1>$C$5:$C$9</formula1>
    </dataValidation>
    <dataValidation type="list" showInputMessage="1" showErrorMessage="1" sqref="I55:I126">
      <formula1>$M$82:$M$91</formula1>
    </dataValidation>
    <dataValidation type="whole" showInputMessage="1" showErrorMessage="1" sqref="I21:I54">
      <formula1>0</formula1>
      <formula2>10</formula2>
    </dataValidation>
    <dataValidation type="list" showInputMessage="1" showErrorMessage="1" sqref="E21:E76">
      <formula1>DynamicTextRange</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4103" r:id="rId4" name="CommandButton1">
          <controlPr defaultSize="0" autoLine="0" r:id="rId5">
            <anchor moveWithCells="1">
              <from>
                <xdr:col>9</xdr:col>
                <xdr:colOff>47625</xdr:colOff>
                <xdr:row>6</xdr:row>
                <xdr:rowOff>28575</xdr:rowOff>
              </from>
              <to>
                <xdr:col>10</xdr:col>
                <xdr:colOff>190500</xdr:colOff>
                <xdr:row>6</xdr:row>
                <xdr:rowOff>304800</xdr:rowOff>
              </to>
            </anchor>
          </controlPr>
        </control>
      </mc:Choice>
      <mc:Fallback>
        <control shapeId="4103" r:id="rId4" name="CommandButton1"/>
      </mc:Fallback>
    </mc:AlternateContent>
    <mc:AlternateContent xmlns:mc="http://schemas.openxmlformats.org/markup-compatibility/2006">
      <mc:Choice Requires="x14">
        <control shapeId="4098" r:id="rId6" name="Drop Down 2">
          <controlPr defaultSize="0" autoLine="0" autoPict="0" macro="[0]!Nedrullningsbarlistruta2_Ändra">
            <anchor moveWithCells="1">
              <from>
                <xdr:col>1</xdr:col>
                <xdr:colOff>1914525</xdr:colOff>
                <xdr:row>5</xdr:row>
                <xdr:rowOff>19050</xdr:rowOff>
              </from>
              <to>
                <xdr:col>3</xdr:col>
                <xdr:colOff>66675</xdr:colOff>
                <xdr:row>5</xdr:row>
                <xdr:rowOff>323850</xdr:rowOff>
              </to>
            </anchor>
          </controlPr>
        </control>
      </mc:Choice>
    </mc:AlternateContent>
    <mc:AlternateContent xmlns:mc="http://schemas.openxmlformats.org/markup-compatibility/2006">
      <mc:Choice Requires="x14">
        <control shapeId="4099" r:id="rId7" name="Drop Down 3">
          <controlPr defaultSize="0" autoLine="0" autoPict="0" macro="[0]!Nedrullningsbarlistruta3_Ändra">
            <anchor moveWithCells="1">
              <from>
                <xdr:col>1</xdr:col>
                <xdr:colOff>1914525</xdr:colOff>
                <xdr:row>6</xdr:row>
                <xdr:rowOff>19050</xdr:rowOff>
              </from>
              <to>
                <xdr:col>3</xdr:col>
                <xdr:colOff>66675</xdr:colOff>
                <xdr:row>6</xdr:row>
                <xdr:rowOff>323850</xdr:rowOff>
              </to>
            </anchor>
          </controlPr>
        </control>
      </mc:Choice>
    </mc:AlternateContent>
    <mc:AlternateContent xmlns:mc="http://schemas.openxmlformats.org/markup-compatibility/2006">
      <mc:Choice Requires="x14">
        <control shapeId="4100" r:id="rId8" name="Drop Down 4">
          <controlPr defaultSize="0" autoLine="0" autoPict="0" macro="[0]!Nedrullningsbarlistruta4_Ändra">
            <anchor moveWithCells="1">
              <from>
                <xdr:col>1</xdr:col>
                <xdr:colOff>1914525</xdr:colOff>
                <xdr:row>7</xdr:row>
                <xdr:rowOff>38100</xdr:rowOff>
              </from>
              <to>
                <xdr:col>3</xdr:col>
                <xdr:colOff>66675</xdr:colOff>
                <xdr:row>8</xdr:row>
                <xdr:rowOff>9525</xdr:rowOff>
              </to>
            </anchor>
          </controlPr>
        </control>
      </mc:Choice>
    </mc:AlternateContent>
    <mc:AlternateContent xmlns:mc="http://schemas.openxmlformats.org/markup-compatibility/2006">
      <mc:Choice Requires="x14">
        <control shapeId="4101" r:id="rId9" name="Drop Down 5">
          <controlPr defaultSize="0" autoLine="0" autoPict="0">
            <anchor moveWithCells="1">
              <from>
                <xdr:col>1</xdr:col>
                <xdr:colOff>1914525</xdr:colOff>
                <xdr:row>4</xdr:row>
                <xdr:rowOff>28575</xdr:rowOff>
              </from>
              <to>
                <xdr:col>3</xdr:col>
                <xdr:colOff>66675</xdr:colOff>
                <xdr:row>5</xdr:row>
                <xdr:rowOff>0</xdr:rowOff>
              </to>
            </anchor>
          </controlPr>
        </control>
      </mc:Choice>
    </mc:AlternateContent>
  </controls>
  <tableParts count="1">
    <tablePart r:id="rId10"/>
  </tableParts>
  <extLst>
    <ext xmlns:x14="http://schemas.microsoft.com/office/spreadsheetml/2009/9/main" uri="{78C0D931-6437-407d-A8EE-F0AAD7539E65}">
      <x14:conditionalFormattings>
        <x14:conditionalFormatting xmlns:xm="http://schemas.microsoft.com/office/excel/2006/main">
          <x14:cfRule type="iconSet" priority="17" id="{64BB9DE0-AE0B-4ED7-8534-262C30E8162A}">
            <x14:iconSet custom="1">
              <x14:cfvo type="percent">
                <xm:f>0</xm:f>
              </x14:cfvo>
              <x14:cfvo type="num">
                <xm:f>1</xm:f>
              </x14:cfvo>
              <x14:cfvo type="num">
                <xm:f>2</xm:f>
              </x14:cfvo>
              <x14:cfIcon iconSet="3Symbols2" iconId="2"/>
              <x14:cfIcon iconSet="NoIcons" iconId="0"/>
              <x14:cfIcon iconSet="NoIcons" iconId="0"/>
            </x14:iconSet>
          </x14:cfRule>
          <xm:sqref>J7:K11</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14:formula1>
            <xm:f>Konstanter!$B$6:$B$10</xm:f>
          </x14:formula1>
          <xm:sqref>L149:M208</xm:sqref>
        </x14:dataValidation>
        <x14:dataValidation type="list" showInputMessage="1" showErrorMessage="1">
          <x14:formula1>
            <xm:f>'Program och examenskrav'!$F$27:$F$31</xm:f>
          </x14:formula1>
          <xm:sqref>E150:E210</xm:sqref>
        </x14:dataValidation>
        <x14:dataValidation type="list" showInputMessage="1" showErrorMessage="1">
          <x14:formula1>
            <xm:f>Sammanställning!$K$23:$K$32</xm:f>
          </x14:formula1>
          <xm:sqref>I128:I143</xm:sqref>
        </x14:dataValidation>
        <x14:dataValidation type="list" allowBlank="1" showInputMessage="1" showErrorMessage="1">
          <x14:formula1>
            <xm:f>Konstanter!$F$6:$F$8</xm:f>
          </x14:formula1>
          <xm:sqref>F21:F54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6"/>
    <pageSetUpPr autoPageBreaks="0" fitToPage="1"/>
  </sheetPr>
  <dimension ref="A1:L637"/>
  <sheetViews>
    <sheetView showGridLines="0" topLeftCell="E1" zoomScaleNormal="100" workbookViewId="0">
      <selection activeCell="K6" sqref="K6"/>
    </sheetView>
  </sheetViews>
  <sheetFormatPr defaultRowHeight="18" customHeight="1" x14ac:dyDescent="0.3"/>
  <cols>
    <col min="1" max="1" width="52" customWidth="1"/>
    <col min="2" max="2" width="21.125" bestFit="1" customWidth="1"/>
    <col min="3" max="3" width="11.125" bestFit="1" customWidth="1"/>
    <col min="4" max="4" width="50.875" customWidth="1"/>
    <col min="5" max="5" width="8.375" customWidth="1"/>
    <col min="6" max="6" width="13" customWidth="1"/>
    <col min="7" max="7" width="9.5" bestFit="1" customWidth="1"/>
    <col min="8" max="8" width="15.875" customWidth="1"/>
    <col min="9" max="9" width="10.875" bestFit="1" customWidth="1"/>
    <col min="10" max="10" width="8.625" bestFit="1" customWidth="1"/>
    <col min="11" max="11" width="43.375" customWidth="1"/>
    <col min="12" max="12" width="28.25" customWidth="1"/>
  </cols>
  <sheetData>
    <row r="1" spans="1:12" ht="9" customHeight="1" x14ac:dyDescent="0.3">
      <c r="A1" s="1"/>
      <c r="B1" s="1"/>
      <c r="C1" s="1"/>
      <c r="D1" s="1"/>
      <c r="E1" s="1"/>
      <c r="F1" s="1"/>
      <c r="G1" s="1"/>
      <c r="H1" s="8"/>
      <c r="I1" s="1"/>
      <c r="J1" s="1"/>
      <c r="K1" s="1"/>
    </row>
    <row r="2" spans="1:12" ht="51" customHeight="1" x14ac:dyDescent="0.3">
      <c r="A2" s="10" t="s">
        <v>131</v>
      </c>
      <c r="B2" s="67"/>
      <c r="C2" s="1"/>
      <c r="D2" s="198" t="str">
        <f>CONCATENATE("Just nu finns kursdata för ",COUNTA(ProgramKurser[KURSNAMN])," kurser, inom ",COUNTA(AvailablePrograms[PROGRAMNAMN]), " program och ",COUNTA(Spec[INRIKTNING]), " inriktningar, inlagda i arbetsboken.")</f>
        <v>Just nu finns kursdata för 36 kurser, inom 9 program och 43 inriktningar, inlagda i arbetsboken.</v>
      </c>
      <c r="E2" s="199"/>
      <c r="F2" s="199"/>
      <c r="G2" s="199"/>
      <c r="H2" s="199"/>
      <c r="I2" s="199"/>
      <c r="J2" s="1"/>
      <c r="K2" s="1"/>
    </row>
    <row r="3" spans="1:12" ht="9" customHeight="1" x14ac:dyDescent="0.3">
      <c r="A3" s="1"/>
      <c r="B3" s="1"/>
      <c r="C3" s="1"/>
      <c r="D3" s="1"/>
      <c r="E3" s="5"/>
      <c r="F3" s="1"/>
      <c r="G3" s="1"/>
      <c r="H3" s="8"/>
      <c r="I3" s="1"/>
      <c r="J3" s="1"/>
      <c r="K3" s="1"/>
    </row>
    <row r="4" spans="1:12" ht="9" customHeight="1" x14ac:dyDescent="0.3"/>
    <row r="5" spans="1:12" ht="18" customHeight="1" x14ac:dyDescent="0.3">
      <c r="A5" s="196" t="s">
        <v>11</v>
      </c>
      <c r="B5" s="197"/>
      <c r="C5" s="31" t="s">
        <v>12</v>
      </c>
      <c r="D5" s="147" t="s">
        <v>23</v>
      </c>
      <c r="E5" s="147" t="s">
        <v>13</v>
      </c>
      <c r="F5" s="147" t="s">
        <v>49</v>
      </c>
      <c r="G5" s="147" t="s">
        <v>8</v>
      </c>
      <c r="H5" s="96" t="s">
        <v>32</v>
      </c>
      <c r="I5" s="96" t="s">
        <v>19</v>
      </c>
      <c r="J5" s="96" t="s">
        <v>50</v>
      </c>
    </row>
    <row r="6" spans="1:12" ht="18" customHeight="1" x14ac:dyDescent="0.3">
      <c r="A6" s="195" t="s">
        <v>182</v>
      </c>
      <c r="B6" s="195"/>
      <c r="C6" s="154" t="s">
        <v>181</v>
      </c>
      <c r="D6" s="155" t="s">
        <v>311</v>
      </c>
      <c r="E6" s="156" t="s">
        <v>122</v>
      </c>
      <c r="F6" s="157">
        <v>4</v>
      </c>
      <c r="G6" s="158">
        <v>4</v>
      </c>
      <c r="H6" s="134">
        <v>1</v>
      </c>
      <c r="I6" s="133">
        <v>2</v>
      </c>
      <c r="J6" s="133">
        <v>4</v>
      </c>
    </row>
    <row r="7" spans="1:12" ht="18" customHeight="1" x14ac:dyDescent="0.3">
      <c r="A7" s="25"/>
      <c r="B7" s="25"/>
      <c r="C7" s="26"/>
      <c r="D7" s="26"/>
      <c r="E7" s="27"/>
      <c r="F7" s="27"/>
      <c r="G7" s="26"/>
      <c r="H7" s="28"/>
      <c r="I7" s="29"/>
    </row>
    <row r="8" spans="1:12" ht="18" customHeight="1" x14ac:dyDescent="0.3">
      <c r="D8" s="119" t="s">
        <v>20</v>
      </c>
    </row>
    <row r="12" spans="1:12" ht="6.75" customHeight="1" x14ac:dyDescent="0.3">
      <c r="A12" s="1"/>
      <c r="B12" s="1"/>
      <c r="C12" s="1"/>
      <c r="D12" s="1"/>
      <c r="E12" s="1"/>
      <c r="F12" s="1"/>
      <c r="G12" s="1"/>
      <c r="H12" s="8"/>
      <c r="I12" s="1"/>
      <c r="J12" s="1"/>
      <c r="K12" s="1"/>
    </row>
    <row r="13" spans="1:12" ht="51" customHeight="1" x14ac:dyDescent="0.3">
      <c r="A13" s="10" t="s">
        <v>10</v>
      </c>
      <c r="B13" s="67" t="s">
        <v>95</v>
      </c>
      <c r="C13" s="1"/>
      <c r="D13" s="183" t="str">
        <f>'Ditt informationsblad'!$E$2</f>
        <v>Civilingenjör i Industriell Ekonomi</v>
      </c>
      <c r="E13" s="184"/>
      <c r="F13" s="184"/>
      <c r="G13" s="184"/>
      <c r="H13" s="184"/>
      <c r="I13" s="1"/>
      <c r="J13" s="1"/>
      <c r="K13" s="1"/>
    </row>
    <row r="14" spans="1:12" ht="6.75" customHeight="1" x14ac:dyDescent="0.3">
      <c r="A14" s="1"/>
      <c r="B14" s="1"/>
      <c r="C14" s="1"/>
      <c r="D14" s="1"/>
      <c r="E14" s="5"/>
      <c r="F14" s="1"/>
      <c r="G14" s="1"/>
      <c r="H14" s="8"/>
      <c r="I14" s="1"/>
      <c r="J14" s="1"/>
      <c r="K14" s="1"/>
    </row>
    <row r="15" spans="1:12" ht="20.25" customHeight="1" x14ac:dyDescent="0.3">
      <c r="A15" s="7" t="s">
        <v>11</v>
      </c>
      <c r="B15" s="75" t="s">
        <v>107</v>
      </c>
      <c r="C15" s="2" t="s">
        <v>12</v>
      </c>
      <c r="D15" s="7" t="s">
        <v>23</v>
      </c>
      <c r="E15" s="3" t="s">
        <v>13</v>
      </c>
      <c r="F15" s="7" t="s">
        <v>7</v>
      </c>
      <c r="G15" s="9" t="s">
        <v>8</v>
      </c>
      <c r="H15" s="2" t="s">
        <v>32</v>
      </c>
      <c r="I15" s="2" t="s">
        <v>48</v>
      </c>
      <c r="J15" s="2" t="s">
        <v>50</v>
      </c>
      <c r="K15" s="2" t="s">
        <v>24</v>
      </c>
      <c r="L15" s="2" t="s">
        <v>19</v>
      </c>
    </row>
    <row r="16" spans="1:12" ht="20.25" customHeight="1" x14ac:dyDescent="0.3">
      <c r="A16" s="109" t="s">
        <v>205</v>
      </c>
      <c r="B16" s="100"/>
      <c r="C16" s="7" t="s">
        <v>204</v>
      </c>
      <c r="D16" s="101" t="s">
        <v>326</v>
      </c>
      <c r="E16" s="102" t="s">
        <v>130</v>
      </c>
      <c r="F16" s="75">
        <v>6</v>
      </c>
      <c r="G16" s="152">
        <v>7</v>
      </c>
      <c r="H16" s="75" t="s">
        <v>330</v>
      </c>
      <c r="I16" s="75">
        <v>4</v>
      </c>
      <c r="J16" s="75" t="s">
        <v>331</v>
      </c>
      <c r="K16" s="75" t="s">
        <v>79</v>
      </c>
      <c r="L16" s="75"/>
    </row>
    <row r="17" spans="1:12" ht="20.25" customHeight="1" x14ac:dyDescent="0.3">
      <c r="A17" s="109" t="s">
        <v>152</v>
      </c>
      <c r="B17" s="100" t="s">
        <v>200</v>
      </c>
      <c r="C17" s="7" t="s">
        <v>151</v>
      </c>
      <c r="D17" s="101" t="s">
        <v>270</v>
      </c>
      <c r="E17" s="102" t="s">
        <v>130</v>
      </c>
      <c r="F17" s="75">
        <v>6</v>
      </c>
      <c r="G17" s="152">
        <v>7</v>
      </c>
      <c r="H17" s="75">
        <v>1</v>
      </c>
      <c r="I17" s="75">
        <v>4</v>
      </c>
      <c r="J17" s="75">
        <v>2</v>
      </c>
      <c r="K17" s="75" t="s">
        <v>79</v>
      </c>
      <c r="L17" s="75"/>
    </row>
    <row r="18" spans="1:12" ht="20.25" customHeight="1" x14ac:dyDescent="0.3">
      <c r="A18" s="109" t="s">
        <v>272</v>
      </c>
      <c r="B18" s="100" t="s">
        <v>200</v>
      </c>
      <c r="C18" s="7" t="s">
        <v>271</v>
      </c>
      <c r="D18" s="101" t="s">
        <v>270</v>
      </c>
      <c r="E18" s="102" t="s">
        <v>130</v>
      </c>
      <c r="F18" s="75">
        <v>6</v>
      </c>
      <c r="G18" s="152">
        <v>7</v>
      </c>
      <c r="H18" s="75">
        <v>1</v>
      </c>
      <c r="I18" s="75">
        <v>4</v>
      </c>
      <c r="J18" s="75">
        <v>3</v>
      </c>
      <c r="K18" s="75" t="s">
        <v>79</v>
      </c>
      <c r="L18" s="75"/>
    </row>
    <row r="19" spans="1:12" ht="20.25" customHeight="1" x14ac:dyDescent="0.3">
      <c r="A19" s="109" t="s">
        <v>274</v>
      </c>
      <c r="B19" s="100" t="s">
        <v>200</v>
      </c>
      <c r="C19" s="7" t="s">
        <v>273</v>
      </c>
      <c r="D19" s="101" t="s">
        <v>270</v>
      </c>
      <c r="E19" s="102" t="s">
        <v>130</v>
      </c>
      <c r="F19" s="75">
        <v>6</v>
      </c>
      <c r="G19" s="152">
        <v>7</v>
      </c>
      <c r="H19" s="75">
        <v>2</v>
      </c>
      <c r="I19" s="75">
        <v>4</v>
      </c>
      <c r="J19" s="75">
        <v>1</v>
      </c>
      <c r="K19" s="75" t="s">
        <v>79</v>
      </c>
      <c r="L19" s="75"/>
    </row>
    <row r="20" spans="1:12" ht="20.25" customHeight="1" x14ac:dyDescent="0.3">
      <c r="A20" s="109" t="s">
        <v>276</v>
      </c>
      <c r="B20" s="100"/>
      <c r="C20" s="7" t="s">
        <v>275</v>
      </c>
      <c r="D20" s="101" t="s">
        <v>326</v>
      </c>
      <c r="E20" s="102" t="s">
        <v>130</v>
      </c>
      <c r="F20" s="75">
        <v>6</v>
      </c>
      <c r="G20" s="152">
        <v>7</v>
      </c>
      <c r="H20" s="75" t="s">
        <v>323</v>
      </c>
      <c r="I20" s="75">
        <v>4</v>
      </c>
      <c r="J20" s="75" t="s">
        <v>324</v>
      </c>
      <c r="K20" s="75" t="s">
        <v>79</v>
      </c>
      <c r="L20" s="75"/>
    </row>
    <row r="21" spans="1:12" ht="20.25" customHeight="1" x14ac:dyDescent="0.3">
      <c r="A21" s="109" t="s">
        <v>229</v>
      </c>
      <c r="B21" s="100"/>
      <c r="C21" s="7" t="s">
        <v>228</v>
      </c>
      <c r="D21" s="101" t="s">
        <v>270</v>
      </c>
      <c r="E21" s="102" t="s">
        <v>130</v>
      </c>
      <c r="F21" s="75">
        <v>6</v>
      </c>
      <c r="G21" s="152">
        <v>8</v>
      </c>
      <c r="H21" s="75">
        <v>1</v>
      </c>
      <c r="I21" s="75">
        <v>4</v>
      </c>
      <c r="J21" s="75">
        <v>3</v>
      </c>
      <c r="K21" s="75" t="s">
        <v>79</v>
      </c>
      <c r="L21" s="75"/>
    </row>
    <row r="22" spans="1:12" ht="20.25" customHeight="1" x14ac:dyDescent="0.3">
      <c r="A22" s="109" t="s">
        <v>278</v>
      </c>
      <c r="B22" s="100"/>
      <c r="C22" s="7" t="s">
        <v>277</v>
      </c>
      <c r="D22" s="101" t="s">
        <v>270</v>
      </c>
      <c r="E22" s="102" t="s">
        <v>130</v>
      </c>
      <c r="F22" s="75">
        <v>6</v>
      </c>
      <c r="G22" s="152">
        <v>8</v>
      </c>
      <c r="H22" s="75">
        <v>1</v>
      </c>
      <c r="I22" s="75">
        <v>4</v>
      </c>
      <c r="J22" s="75">
        <v>3</v>
      </c>
      <c r="K22" s="75" t="s">
        <v>79</v>
      </c>
      <c r="L22" s="75"/>
    </row>
    <row r="23" spans="1:12" ht="20.25" customHeight="1" x14ac:dyDescent="0.3">
      <c r="A23" s="109" t="s">
        <v>280</v>
      </c>
      <c r="B23" s="100"/>
      <c r="C23" s="7" t="s">
        <v>279</v>
      </c>
      <c r="D23" s="101" t="s">
        <v>326</v>
      </c>
      <c r="E23" s="102" t="s">
        <v>130</v>
      </c>
      <c r="F23" s="75">
        <v>6</v>
      </c>
      <c r="G23" s="152">
        <v>8</v>
      </c>
      <c r="H23" s="75" t="s">
        <v>325</v>
      </c>
      <c r="I23" s="75">
        <v>4</v>
      </c>
      <c r="J23" s="75" t="s">
        <v>323</v>
      </c>
      <c r="K23" s="75" t="s">
        <v>79</v>
      </c>
      <c r="L23" s="75"/>
    </row>
    <row r="24" spans="1:12" ht="20.25" customHeight="1" x14ac:dyDescent="0.3">
      <c r="A24" s="109" t="s">
        <v>282</v>
      </c>
      <c r="B24" s="100"/>
      <c r="C24" s="7" t="s">
        <v>281</v>
      </c>
      <c r="D24" s="101" t="s">
        <v>270</v>
      </c>
      <c r="E24" s="102" t="s">
        <v>130</v>
      </c>
      <c r="F24" s="75">
        <v>6</v>
      </c>
      <c r="G24" s="152">
        <v>8</v>
      </c>
      <c r="H24" s="75">
        <v>1</v>
      </c>
      <c r="I24" s="75">
        <v>4</v>
      </c>
      <c r="J24" s="75">
        <v>2</v>
      </c>
      <c r="K24" s="75" t="s">
        <v>79</v>
      </c>
      <c r="L24" s="75"/>
    </row>
    <row r="25" spans="1:12" ht="20.25" customHeight="1" x14ac:dyDescent="0.3">
      <c r="A25" s="109" t="s">
        <v>284</v>
      </c>
      <c r="B25" s="100"/>
      <c r="C25" s="7" t="s">
        <v>283</v>
      </c>
      <c r="D25" s="101" t="s">
        <v>270</v>
      </c>
      <c r="E25" s="102" t="s">
        <v>123</v>
      </c>
      <c r="F25" s="75">
        <v>6</v>
      </c>
      <c r="G25" s="152">
        <v>8</v>
      </c>
      <c r="H25" s="75" t="s">
        <v>327</v>
      </c>
      <c r="I25" s="75">
        <v>4</v>
      </c>
      <c r="J25" s="75" t="s">
        <v>322</v>
      </c>
      <c r="K25" s="75" t="s">
        <v>79</v>
      </c>
      <c r="L25" s="75"/>
    </row>
    <row r="26" spans="1:12" ht="20.25" customHeight="1" x14ac:dyDescent="0.3">
      <c r="A26" s="109" t="s">
        <v>286</v>
      </c>
      <c r="B26" s="100" t="s">
        <v>200</v>
      </c>
      <c r="C26" s="7" t="s">
        <v>285</v>
      </c>
      <c r="D26" s="101" t="s">
        <v>270</v>
      </c>
      <c r="E26" s="102" t="s">
        <v>130</v>
      </c>
      <c r="F26" s="75">
        <v>12</v>
      </c>
      <c r="G26" s="152">
        <v>8</v>
      </c>
      <c r="H26" s="75" t="s">
        <v>327</v>
      </c>
      <c r="I26" s="75">
        <v>4</v>
      </c>
      <c r="J26" s="75" t="s">
        <v>328</v>
      </c>
      <c r="K26" s="75" t="s">
        <v>79</v>
      </c>
      <c r="L26" s="75"/>
    </row>
    <row r="27" spans="1:12" ht="20.25" customHeight="1" x14ac:dyDescent="0.3">
      <c r="A27" s="109" t="s">
        <v>288</v>
      </c>
      <c r="B27" s="100"/>
      <c r="C27" s="7" t="s">
        <v>287</v>
      </c>
      <c r="D27" s="101" t="s">
        <v>270</v>
      </c>
      <c r="E27" s="102" t="s">
        <v>130</v>
      </c>
      <c r="F27" s="75">
        <v>6</v>
      </c>
      <c r="G27" s="152">
        <v>8</v>
      </c>
      <c r="H27" s="75">
        <v>2</v>
      </c>
      <c r="I27" s="75">
        <v>4</v>
      </c>
      <c r="J27" s="75">
        <v>2</v>
      </c>
      <c r="K27" s="75" t="s">
        <v>79</v>
      </c>
      <c r="L27" s="75"/>
    </row>
    <row r="28" spans="1:12" ht="20.25" customHeight="1" x14ac:dyDescent="0.3">
      <c r="A28" s="109" t="s">
        <v>219</v>
      </c>
      <c r="B28" s="100"/>
      <c r="C28" s="7" t="s">
        <v>218</v>
      </c>
      <c r="D28" s="101" t="s">
        <v>270</v>
      </c>
      <c r="E28" s="102" t="s">
        <v>130</v>
      </c>
      <c r="F28" s="75">
        <v>6</v>
      </c>
      <c r="G28" s="152">
        <v>8</v>
      </c>
      <c r="H28" s="75">
        <v>2</v>
      </c>
      <c r="I28" s="75">
        <v>4</v>
      </c>
      <c r="J28" s="75">
        <v>3</v>
      </c>
      <c r="K28" s="75" t="s">
        <v>79</v>
      </c>
      <c r="L28" s="75"/>
    </row>
    <row r="29" spans="1:12" ht="20.25" customHeight="1" x14ac:dyDescent="0.3">
      <c r="A29" s="109" t="s">
        <v>290</v>
      </c>
      <c r="B29" s="100"/>
      <c r="C29" s="7" t="s">
        <v>289</v>
      </c>
      <c r="D29" s="101" t="s">
        <v>270</v>
      </c>
      <c r="E29" s="102" t="s">
        <v>130</v>
      </c>
      <c r="F29" s="75">
        <v>6</v>
      </c>
      <c r="G29" s="152">
        <v>9</v>
      </c>
      <c r="H29" s="75">
        <v>1</v>
      </c>
      <c r="I29" s="75">
        <v>5</v>
      </c>
      <c r="J29" s="75">
        <v>1</v>
      </c>
      <c r="K29" s="75" t="s">
        <v>79</v>
      </c>
      <c r="L29" s="75"/>
    </row>
    <row r="30" spans="1:12" ht="20.25" customHeight="1" x14ac:dyDescent="0.3">
      <c r="A30" s="109" t="s">
        <v>292</v>
      </c>
      <c r="B30" s="100"/>
      <c r="C30" s="7" t="s">
        <v>291</v>
      </c>
      <c r="D30" s="101" t="s">
        <v>270</v>
      </c>
      <c r="E30" s="102" t="s">
        <v>130</v>
      </c>
      <c r="F30" s="75">
        <v>2</v>
      </c>
      <c r="G30" s="152">
        <v>9</v>
      </c>
      <c r="H30" s="75">
        <v>1</v>
      </c>
      <c r="I30" s="75">
        <v>5</v>
      </c>
      <c r="J30" s="75">
        <v>4</v>
      </c>
      <c r="K30" s="75" t="s">
        <v>79</v>
      </c>
      <c r="L30" s="75"/>
    </row>
    <row r="31" spans="1:12" ht="20.25" customHeight="1" x14ac:dyDescent="0.3">
      <c r="A31" s="109" t="s">
        <v>294</v>
      </c>
      <c r="B31" s="100"/>
      <c r="C31" s="7" t="s">
        <v>293</v>
      </c>
      <c r="D31" s="101" t="s">
        <v>270</v>
      </c>
      <c r="E31" s="102" t="s">
        <v>130</v>
      </c>
      <c r="F31" s="75">
        <v>6</v>
      </c>
      <c r="G31" s="152">
        <v>9</v>
      </c>
      <c r="H31" s="75">
        <v>1</v>
      </c>
      <c r="I31" s="75">
        <v>5</v>
      </c>
      <c r="J31" s="75">
        <v>2</v>
      </c>
      <c r="K31" s="75" t="s">
        <v>79</v>
      </c>
      <c r="L31" s="75"/>
    </row>
    <row r="32" spans="1:12" ht="20.25" customHeight="1" x14ac:dyDescent="0.3">
      <c r="A32" s="109" t="s">
        <v>272</v>
      </c>
      <c r="B32" s="100"/>
      <c r="C32" s="7" t="s">
        <v>271</v>
      </c>
      <c r="D32" s="101" t="s">
        <v>270</v>
      </c>
      <c r="E32" s="102" t="s">
        <v>130</v>
      </c>
      <c r="F32" s="75">
        <v>6</v>
      </c>
      <c r="G32" s="152">
        <v>9</v>
      </c>
      <c r="H32" s="75">
        <v>1</v>
      </c>
      <c r="I32" s="75">
        <v>5</v>
      </c>
      <c r="J32" s="75">
        <v>3</v>
      </c>
      <c r="K32" s="75" t="s">
        <v>79</v>
      </c>
      <c r="L32" s="75"/>
    </row>
    <row r="33" spans="1:12" ht="20.25" customHeight="1" x14ac:dyDescent="0.3">
      <c r="A33" s="109" t="s">
        <v>296</v>
      </c>
      <c r="B33" s="100"/>
      <c r="C33" s="7" t="s">
        <v>295</v>
      </c>
      <c r="D33" s="101" t="s">
        <v>270</v>
      </c>
      <c r="E33" s="102" t="s">
        <v>130</v>
      </c>
      <c r="F33" s="75">
        <v>6</v>
      </c>
      <c r="G33" s="152">
        <v>9</v>
      </c>
      <c r="H33" s="75" t="s">
        <v>327</v>
      </c>
      <c r="I33" s="75">
        <v>5</v>
      </c>
      <c r="J33" s="75" t="s">
        <v>329</v>
      </c>
      <c r="K33" s="75" t="s">
        <v>79</v>
      </c>
      <c r="L33" s="75"/>
    </row>
    <row r="34" spans="1:12" ht="20.25" customHeight="1" x14ac:dyDescent="0.3">
      <c r="A34" s="109" t="s">
        <v>231</v>
      </c>
      <c r="B34" s="100"/>
      <c r="C34" s="7" t="s">
        <v>230</v>
      </c>
      <c r="D34" s="101" t="s">
        <v>270</v>
      </c>
      <c r="E34" s="102" t="s">
        <v>130</v>
      </c>
      <c r="F34" s="75">
        <v>12</v>
      </c>
      <c r="G34" s="152">
        <v>9</v>
      </c>
      <c r="H34" s="75" t="s">
        <v>327</v>
      </c>
      <c r="I34" s="75">
        <v>5</v>
      </c>
      <c r="J34" s="75" t="s">
        <v>328</v>
      </c>
      <c r="K34" s="75" t="s">
        <v>79</v>
      </c>
      <c r="L34" s="75"/>
    </row>
    <row r="35" spans="1:12" ht="20.25" customHeight="1" x14ac:dyDescent="0.3">
      <c r="A35" s="109" t="s">
        <v>298</v>
      </c>
      <c r="B35" s="100"/>
      <c r="C35" s="7" t="s">
        <v>297</v>
      </c>
      <c r="D35" s="101" t="s">
        <v>270</v>
      </c>
      <c r="E35" s="102" t="s">
        <v>130</v>
      </c>
      <c r="F35" s="75">
        <v>6</v>
      </c>
      <c r="G35" s="152">
        <v>9</v>
      </c>
      <c r="H35" s="75">
        <v>2</v>
      </c>
      <c r="I35" s="75">
        <v>5</v>
      </c>
      <c r="J35" s="75">
        <v>1</v>
      </c>
      <c r="K35" s="75" t="s">
        <v>79</v>
      </c>
      <c r="L35" s="75"/>
    </row>
    <row r="36" spans="1:12" ht="20.25" customHeight="1" x14ac:dyDescent="0.3">
      <c r="A36" s="109" t="s">
        <v>235</v>
      </c>
      <c r="B36" s="100"/>
      <c r="C36" s="7" t="s">
        <v>234</v>
      </c>
      <c r="D36" s="101" t="s">
        <v>270</v>
      </c>
      <c r="E36" s="102" t="s">
        <v>130</v>
      </c>
      <c r="F36" s="75">
        <v>6</v>
      </c>
      <c r="G36" s="152">
        <v>9</v>
      </c>
      <c r="H36" s="75">
        <v>2</v>
      </c>
      <c r="I36" s="75">
        <v>5</v>
      </c>
      <c r="J36" s="75">
        <v>3</v>
      </c>
      <c r="K36" s="75" t="s">
        <v>79</v>
      </c>
      <c r="L36" s="75"/>
    </row>
    <row r="37" spans="1:12" ht="20.25" customHeight="1" x14ac:dyDescent="0.3">
      <c r="A37" s="109" t="s">
        <v>300</v>
      </c>
      <c r="B37" s="100"/>
      <c r="C37" s="7" t="s">
        <v>299</v>
      </c>
      <c r="D37" s="101" t="s">
        <v>270</v>
      </c>
      <c r="E37" s="102" t="s">
        <v>130</v>
      </c>
      <c r="F37" s="75">
        <v>6</v>
      </c>
      <c r="G37" s="152">
        <v>9</v>
      </c>
      <c r="H37" s="75">
        <v>2</v>
      </c>
      <c r="I37" s="75">
        <v>5</v>
      </c>
      <c r="J37" s="75">
        <v>2</v>
      </c>
      <c r="K37" s="75" t="s">
        <v>79</v>
      </c>
      <c r="L37" s="75"/>
    </row>
    <row r="38" spans="1:12" ht="20.25" customHeight="1" x14ac:dyDescent="0.3">
      <c r="A38" s="109" t="s">
        <v>203</v>
      </c>
      <c r="B38" s="100"/>
      <c r="C38" s="7" t="s">
        <v>202</v>
      </c>
      <c r="D38" s="101" t="s">
        <v>80</v>
      </c>
      <c r="E38" s="102" t="s">
        <v>130</v>
      </c>
      <c r="F38" s="75">
        <v>6</v>
      </c>
      <c r="G38" s="152">
        <v>7</v>
      </c>
      <c r="H38" s="75">
        <v>1</v>
      </c>
      <c r="I38" s="75">
        <v>4</v>
      </c>
      <c r="J38" s="75">
        <v>1</v>
      </c>
      <c r="K38" s="75" t="s">
        <v>79</v>
      </c>
      <c r="L38" s="75"/>
    </row>
    <row r="39" spans="1:12" ht="20.25" customHeight="1" x14ac:dyDescent="0.3">
      <c r="A39" s="109" t="s">
        <v>302</v>
      </c>
      <c r="B39" s="100"/>
      <c r="C39" s="7" t="s">
        <v>301</v>
      </c>
      <c r="D39" s="101" t="s">
        <v>80</v>
      </c>
      <c r="E39" s="102" t="s">
        <v>123</v>
      </c>
      <c r="F39" s="75">
        <v>6</v>
      </c>
      <c r="G39" s="152">
        <v>7</v>
      </c>
      <c r="H39" s="75">
        <v>1</v>
      </c>
      <c r="I39" s="75">
        <v>4</v>
      </c>
      <c r="J39" s="75">
        <v>1</v>
      </c>
      <c r="K39" s="75" t="s">
        <v>79</v>
      </c>
      <c r="L39" s="75"/>
    </row>
    <row r="40" spans="1:12" ht="20.25" customHeight="1" x14ac:dyDescent="0.3">
      <c r="A40" s="109" t="s">
        <v>223</v>
      </c>
      <c r="B40" s="100"/>
      <c r="C40" s="7" t="s">
        <v>222</v>
      </c>
      <c r="D40" s="101" t="s">
        <v>80</v>
      </c>
      <c r="E40" s="102" t="s">
        <v>130</v>
      </c>
      <c r="F40" s="75">
        <v>6</v>
      </c>
      <c r="G40" s="152">
        <v>7</v>
      </c>
      <c r="H40" s="75">
        <v>1</v>
      </c>
      <c r="I40" s="75">
        <v>4</v>
      </c>
      <c r="J40" s="75">
        <v>3</v>
      </c>
      <c r="K40" s="75" t="s">
        <v>79</v>
      </c>
      <c r="L40" s="75"/>
    </row>
    <row r="41" spans="1:12" ht="20.25" customHeight="1" x14ac:dyDescent="0.3">
      <c r="A41" s="109" t="s">
        <v>304</v>
      </c>
      <c r="B41" s="100"/>
      <c r="C41" s="7" t="s">
        <v>303</v>
      </c>
      <c r="D41" s="101" t="s">
        <v>80</v>
      </c>
      <c r="E41" s="102" t="s">
        <v>130</v>
      </c>
      <c r="F41" s="75">
        <v>6</v>
      </c>
      <c r="G41" s="152">
        <v>7</v>
      </c>
      <c r="H41" s="75">
        <v>2</v>
      </c>
      <c r="I41" s="75">
        <v>4</v>
      </c>
      <c r="J41" s="75">
        <v>1</v>
      </c>
      <c r="K41" s="75" t="s">
        <v>79</v>
      </c>
      <c r="L41" s="75"/>
    </row>
    <row r="42" spans="1:12" ht="20.25" customHeight="1" x14ac:dyDescent="0.3">
      <c r="A42" s="109" t="s">
        <v>154</v>
      </c>
      <c r="B42" s="100"/>
      <c r="C42" s="7" t="s">
        <v>153</v>
      </c>
      <c r="D42" s="101" t="s">
        <v>80</v>
      </c>
      <c r="E42" s="102" t="s">
        <v>123</v>
      </c>
      <c r="F42" s="75">
        <v>6</v>
      </c>
      <c r="G42" s="152">
        <v>7</v>
      </c>
      <c r="H42" s="75">
        <v>2</v>
      </c>
      <c r="I42" s="75">
        <v>4</v>
      </c>
      <c r="J42" s="75">
        <v>3</v>
      </c>
      <c r="K42" s="75" t="s">
        <v>79</v>
      </c>
      <c r="L42" s="75"/>
    </row>
    <row r="43" spans="1:12" ht="20.25" customHeight="1" x14ac:dyDescent="0.3">
      <c r="A43" s="109" t="s">
        <v>207</v>
      </c>
      <c r="B43" s="100"/>
      <c r="C43" s="7" t="s">
        <v>206</v>
      </c>
      <c r="D43" s="101" t="s">
        <v>80</v>
      </c>
      <c r="E43" s="102" t="s">
        <v>130</v>
      </c>
      <c r="F43" s="75">
        <v>6</v>
      </c>
      <c r="G43" s="152">
        <v>7</v>
      </c>
      <c r="H43" s="75">
        <v>2</v>
      </c>
      <c r="I43" s="75">
        <v>4</v>
      </c>
      <c r="J43" s="75">
        <v>2</v>
      </c>
      <c r="K43" s="75" t="s">
        <v>79</v>
      </c>
      <c r="L43" s="75"/>
    </row>
    <row r="44" spans="1:12" ht="20.25" customHeight="1" x14ac:dyDescent="0.3">
      <c r="A44" s="109" t="s">
        <v>213</v>
      </c>
      <c r="B44" s="100"/>
      <c r="C44" s="7" t="s">
        <v>212</v>
      </c>
      <c r="D44" s="101" t="s">
        <v>80</v>
      </c>
      <c r="E44" s="102" t="s">
        <v>130</v>
      </c>
      <c r="F44" s="75">
        <v>6</v>
      </c>
      <c r="G44" s="152">
        <v>8</v>
      </c>
      <c r="H44" s="75">
        <v>1</v>
      </c>
      <c r="I44" s="75">
        <v>4</v>
      </c>
      <c r="J44" s="75">
        <v>4</v>
      </c>
      <c r="K44" s="75" t="s">
        <v>79</v>
      </c>
      <c r="L44" s="75"/>
    </row>
    <row r="45" spans="1:12" ht="20.25" customHeight="1" x14ac:dyDescent="0.3">
      <c r="A45" s="109" t="s">
        <v>209</v>
      </c>
      <c r="B45" s="100"/>
      <c r="C45" s="7" t="s">
        <v>208</v>
      </c>
      <c r="D45" s="101" t="s">
        <v>80</v>
      </c>
      <c r="E45" s="102" t="s">
        <v>130</v>
      </c>
      <c r="F45" s="75">
        <v>6</v>
      </c>
      <c r="G45" s="152">
        <v>8</v>
      </c>
      <c r="H45" s="75">
        <v>1</v>
      </c>
      <c r="I45" s="75">
        <v>4</v>
      </c>
      <c r="J45" s="75">
        <v>1</v>
      </c>
      <c r="K45" s="75" t="s">
        <v>79</v>
      </c>
      <c r="L45" s="75"/>
    </row>
    <row r="46" spans="1:12" ht="20.25" customHeight="1" x14ac:dyDescent="0.3">
      <c r="A46" s="109" t="s">
        <v>211</v>
      </c>
      <c r="B46" s="100"/>
      <c r="C46" s="7" t="s">
        <v>210</v>
      </c>
      <c r="D46" s="101" t="s">
        <v>80</v>
      </c>
      <c r="E46" s="102" t="s">
        <v>130</v>
      </c>
      <c r="F46" s="75">
        <v>6</v>
      </c>
      <c r="G46" s="152">
        <v>8</v>
      </c>
      <c r="H46" s="75" t="s">
        <v>327</v>
      </c>
      <c r="I46" s="75">
        <v>4</v>
      </c>
      <c r="J46" s="75" t="s">
        <v>332</v>
      </c>
      <c r="K46" s="75" t="s">
        <v>79</v>
      </c>
      <c r="L46" s="75"/>
    </row>
    <row r="47" spans="1:12" ht="20.25" customHeight="1" x14ac:dyDescent="0.3">
      <c r="A47" s="109" t="s">
        <v>215</v>
      </c>
      <c r="B47" s="100"/>
      <c r="C47" s="7" t="s">
        <v>214</v>
      </c>
      <c r="D47" s="101" t="s">
        <v>80</v>
      </c>
      <c r="E47" s="102" t="s">
        <v>130</v>
      </c>
      <c r="F47" s="75">
        <v>6</v>
      </c>
      <c r="G47" s="152">
        <v>8</v>
      </c>
      <c r="H47" s="75">
        <v>2</v>
      </c>
      <c r="I47" s="75">
        <v>4</v>
      </c>
      <c r="J47" s="75">
        <v>4</v>
      </c>
      <c r="K47" s="75" t="s">
        <v>79</v>
      </c>
      <c r="L47" s="75"/>
    </row>
    <row r="48" spans="1:12" ht="20.25" customHeight="1" x14ac:dyDescent="0.3">
      <c r="A48" s="109" t="s">
        <v>217</v>
      </c>
      <c r="B48" s="100"/>
      <c r="C48" s="7" t="s">
        <v>216</v>
      </c>
      <c r="D48" s="101" t="s">
        <v>80</v>
      </c>
      <c r="E48" s="102" t="s">
        <v>130</v>
      </c>
      <c r="F48" s="75">
        <v>6</v>
      </c>
      <c r="G48" s="152">
        <v>8</v>
      </c>
      <c r="H48" s="75">
        <v>2</v>
      </c>
      <c r="I48" s="75">
        <v>4</v>
      </c>
      <c r="J48" s="75">
        <v>3</v>
      </c>
      <c r="K48" s="75" t="s">
        <v>79</v>
      </c>
      <c r="L48" s="75"/>
    </row>
    <row r="49" spans="1:12" ht="20.25" customHeight="1" x14ac:dyDescent="0.3">
      <c r="A49" s="109" t="s">
        <v>306</v>
      </c>
      <c r="B49" s="100"/>
      <c r="C49" s="7" t="s">
        <v>305</v>
      </c>
      <c r="D49" s="101" t="s">
        <v>80</v>
      </c>
      <c r="E49" s="102" t="s">
        <v>130</v>
      </c>
      <c r="F49" s="75">
        <v>12</v>
      </c>
      <c r="G49" s="152">
        <v>9</v>
      </c>
      <c r="H49" s="75" t="s">
        <v>327</v>
      </c>
      <c r="I49" s="75">
        <v>5</v>
      </c>
      <c r="J49" s="75" t="s">
        <v>328</v>
      </c>
      <c r="K49" s="75" t="s">
        <v>79</v>
      </c>
      <c r="L49" s="75"/>
    </row>
    <row r="50" spans="1:12" ht="20.25" customHeight="1" x14ac:dyDescent="0.3">
      <c r="A50" s="109" t="s">
        <v>221</v>
      </c>
      <c r="B50" s="100"/>
      <c r="C50" s="7" t="s">
        <v>220</v>
      </c>
      <c r="D50" s="101" t="s">
        <v>80</v>
      </c>
      <c r="E50" s="102" t="s">
        <v>130</v>
      </c>
      <c r="F50" s="75">
        <v>6</v>
      </c>
      <c r="G50" s="152">
        <v>9</v>
      </c>
      <c r="H50" s="75">
        <v>1</v>
      </c>
      <c r="I50" s="75">
        <v>5</v>
      </c>
      <c r="J50" s="75">
        <v>1</v>
      </c>
      <c r="K50" s="75" t="s">
        <v>79</v>
      </c>
      <c r="L50" s="75"/>
    </row>
    <row r="51" spans="1:12" ht="20.25" customHeight="1" x14ac:dyDescent="0.3">
      <c r="A51" s="109" t="s">
        <v>156</v>
      </c>
      <c r="B51" s="100"/>
      <c r="C51" s="7" t="s">
        <v>155</v>
      </c>
      <c r="D51" s="101" t="s">
        <v>80</v>
      </c>
      <c r="E51" s="102" t="s">
        <v>130</v>
      </c>
      <c r="F51" s="75">
        <v>6</v>
      </c>
      <c r="G51" s="152">
        <v>9</v>
      </c>
      <c r="H51" s="75">
        <v>1</v>
      </c>
      <c r="I51" s="75">
        <v>5</v>
      </c>
      <c r="J51" s="75">
        <v>2</v>
      </c>
      <c r="K51" s="75" t="s">
        <v>79</v>
      </c>
      <c r="L51" s="75"/>
    </row>
    <row r="52" spans="1:12" ht="20.25" customHeight="1" x14ac:dyDescent="0.3">
      <c r="A52" s="109"/>
      <c r="B52" s="100"/>
      <c r="C52" s="7"/>
      <c r="D52" s="101"/>
      <c r="E52" s="102"/>
      <c r="F52" s="75"/>
      <c r="G52" s="152"/>
      <c r="H52" s="75"/>
      <c r="I52" s="75"/>
      <c r="J52" s="75"/>
      <c r="K52" s="75"/>
      <c r="L52" s="75"/>
    </row>
    <row r="53" spans="1:12" ht="20.25" customHeight="1" x14ac:dyDescent="0.3">
      <c r="A53" s="109"/>
      <c r="B53" s="100"/>
      <c r="C53" s="7"/>
      <c r="D53" s="101"/>
      <c r="E53" s="102"/>
      <c r="F53" s="75"/>
      <c r="G53" s="152"/>
      <c r="H53" s="75"/>
      <c r="I53" s="75"/>
      <c r="J53" s="75"/>
      <c r="K53" s="75"/>
      <c r="L53" s="75"/>
    </row>
    <row r="54" spans="1:12" ht="20.25" customHeight="1" x14ac:dyDescent="0.3">
      <c r="A54" s="109"/>
      <c r="B54" s="100"/>
      <c r="C54" s="7"/>
      <c r="D54" s="101"/>
      <c r="E54" s="102"/>
      <c r="F54" s="75"/>
      <c r="G54" s="152"/>
      <c r="H54" s="75"/>
      <c r="I54" s="75"/>
      <c r="J54" s="75"/>
      <c r="K54" s="75"/>
      <c r="L54" s="75"/>
    </row>
    <row r="55" spans="1:12" ht="20.25" customHeight="1" x14ac:dyDescent="0.3">
      <c r="A55" s="109"/>
      <c r="B55" s="100"/>
      <c r="C55" s="7"/>
      <c r="D55" s="101"/>
      <c r="E55" s="102"/>
      <c r="F55" s="75"/>
      <c r="G55" s="152"/>
      <c r="H55" s="75"/>
      <c r="I55" s="75"/>
      <c r="J55" s="75"/>
      <c r="K55" s="75"/>
      <c r="L55" s="75"/>
    </row>
    <row r="56" spans="1:12" ht="20.25" customHeight="1" x14ac:dyDescent="0.3">
      <c r="A56" s="109"/>
      <c r="B56" s="100"/>
      <c r="C56" s="7"/>
      <c r="D56" s="101"/>
      <c r="E56" s="102"/>
      <c r="F56" s="75"/>
      <c r="G56" s="152"/>
      <c r="H56" s="75"/>
      <c r="I56" s="75"/>
      <c r="J56" s="75"/>
      <c r="K56" s="75"/>
      <c r="L56" s="75"/>
    </row>
    <row r="57" spans="1:12" ht="20.25" customHeight="1" x14ac:dyDescent="0.3">
      <c r="A57" s="109"/>
      <c r="B57" s="100"/>
      <c r="C57" s="7"/>
      <c r="D57" s="101"/>
      <c r="E57" s="102"/>
      <c r="F57" s="75"/>
      <c r="G57" s="152"/>
      <c r="H57" s="75"/>
      <c r="I57" s="75"/>
      <c r="J57" s="75"/>
      <c r="K57" s="75"/>
      <c r="L57" s="75"/>
    </row>
    <row r="58" spans="1:12" ht="20.25" customHeight="1" x14ac:dyDescent="0.3">
      <c r="A58" s="109"/>
      <c r="B58" s="100"/>
      <c r="C58" s="7"/>
      <c r="D58" s="101"/>
      <c r="E58" s="102"/>
      <c r="F58" s="75"/>
      <c r="G58" s="152"/>
      <c r="H58" s="75"/>
      <c r="I58" s="75"/>
      <c r="J58" s="75"/>
      <c r="K58" s="75"/>
      <c r="L58" s="75"/>
    </row>
    <row r="59" spans="1:12" ht="20.25" customHeight="1" x14ac:dyDescent="0.3">
      <c r="A59" s="109"/>
      <c r="B59" s="100"/>
      <c r="C59" s="7"/>
      <c r="D59" s="101"/>
      <c r="E59" s="102"/>
      <c r="F59" s="75"/>
      <c r="G59" s="152"/>
      <c r="H59" s="75"/>
      <c r="I59" s="75"/>
      <c r="J59" s="75"/>
      <c r="K59" s="75"/>
      <c r="L59" s="75"/>
    </row>
    <row r="60" spans="1:12" ht="20.25" customHeight="1" x14ac:dyDescent="0.3">
      <c r="A60" s="109"/>
      <c r="B60" s="100"/>
      <c r="C60" s="7"/>
      <c r="D60" s="101"/>
      <c r="E60" s="102"/>
      <c r="F60" s="75"/>
      <c r="G60" s="152"/>
      <c r="H60" s="75"/>
      <c r="I60" s="75"/>
      <c r="J60" s="75"/>
      <c r="K60" s="75"/>
      <c r="L60" s="75"/>
    </row>
    <row r="61" spans="1:12" ht="20.25" customHeight="1" x14ac:dyDescent="0.3">
      <c r="A61" s="109"/>
      <c r="B61" s="100"/>
      <c r="C61" s="7"/>
      <c r="D61" s="101"/>
      <c r="E61" s="102"/>
      <c r="F61" s="75"/>
      <c r="G61" s="152"/>
      <c r="H61" s="75"/>
      <c r="I61" s="75"/>
      <c r="J61" s="75"/>
      <c r="K61" s="75"/>
      <c r="L61" s="75"/>
    </row>
    <row r="62" spans="1:12" ht="20.25" customHeight="1" x14ac:dyDescent="0.3">
      <c r="A62" s="109"/>
      <c r="B62" s="100"/>
      <c r="C62" s="7"/>
      <c r="D62" s="101"/>
      <c r="E62" s="102"/>
      <c r="F62" s="75"/>
      <c r="G62" s="152"/>
      <c r="H62" s="75"/>
      <c r="I62" s="75"/>
      <c r="J62" s="75"/>
      <c r="K62" s="75"/>
      <c r="L62" s="75"/>
    </row>
    <row r="63" spans="1:12" ht="20.25" customHeight="1" x14ac:dyDescent="0.3">
      <c r="A63" s="109"/>
      <c r="B63" s="100"/>
      <c r="C63" s="7"/>
      <c r="D63" s="101"/>
      <c r="E63" s="102"/>
      <c r="F63" s="75"/>
      <c r="G63" s="152"/>
      <c r="H63" s="75"/>
      <c r="I63" s="75"/>
      <c r="J63" s="75"/>
      <c r="K63" s="75"/>
      <c r="L63" s="75"/>
    </row>
    <row r="64" spans="1:12" ht="20.25" customHeight="1" x14ac:dyDescent="0.3">
      <c r="A64" s="109"/>
      <c r="B64" s="100"/>
      <c r="C64" s="7"/>
      <c r="D64" s="101"/>
      <c r="E64" s="102"/>
      <c r="F64" s="75"/>
      <c r="G64" s="152"/>
      <c r="H64" s="75"/>
      <c r="I64" s="75"/>
      <c r="J64" s="75"/>
      <c r="K64" s="75"/>
      <c r="L64" s="75"/>
    </row>
    <row r="65" spans="1:12" ht="20.25" customHeight="1" x14ac:dyDescent="0.3">
      <c r="A65" s="109"/>
      <c r="B65" s="100"/>
      <c r="C65" s="7"/>
      <c r="D65" s="101"/>
      <c r="E65" s="102"/>
      <c r="F65" s="75"/>
      <c r="G65" s="152"/>
      <c r="H65" s="75"/>
      <c r="I65" s="75"/>
      <c r="J65" s="75"/>
      <c r="K65" s="75"/>
      <c r="L65" s="75"/>
    </row>
    <row r="66" spans="1:12" ht="20.25" customHeight="1" x14ac:dyDescent="0.3">
      <c r="A66" s="109"/>
      <c r="B66" s="100"/>
      <c r="C66" s="7"/>
      <c r="D66" s="101"/>
      <c r="E66" s="102"/>
      <c r="F66" s="75"/>
      <c r="G66" s="152"/>
      <c r="H66" s="75"/>
      <c r="I66" s="75"/>
      <c r="J66" s="75"/>
      <c r="K66" s="75"/>
      <c r="L66" s="75"/>
    </row>
    <row r="67" spans="1:12" ht="20.25" customHeight="1" x14ac:dyDescent="0.3">
      <c r="A67" s="109"/>
      <c r="B67" s="100"/>
      <c r="C67" s="7"/>
      <c r="D67" s="101"/>
      <c r="E67" s="102"/>
      <c r="F67" s="75"/>
      <c r="G67" s="152"/>
      <c r="H67" s="75"/>
      <c r="I67" s="75"/>
      <c r="J67" s="75"/>
      <c r="K67" s="75"/>
      <c r="L67" s="75"/>
    </row>
    <row r="68" spans="1:12" ht="20.25" customHeight="1" x14ac:dyDescent="0.3">
      <c r="A68" s="109"/>
      <c r="B68" s="100"/>
      <c r="C68" s="7"/>
      <c r="D68" s="101"/>
      <c r="E68" s="102"/>
      <c r="F68" s="75"/>
      <c r="G68" s="152"/>
      <c r="H68" s="75"/>
      <c r="I68" s="75"/>
      <c r="J68" s="75"/>
      <c r="K68" s="75"/>
      <c r="L68" s="75"/>
    </row>
    <row r="69" spans="1:12" ht="20.25" customHeight="1" x14ac:dyDescent="0.3">
      <c r="A69" s="109"/>
      <c r="B69" s="100"/>
      <c r="C69" s="7"/>
      <c r="D69" s="101"/>
      <c r="E69" s="102"/>
      <c r="F69" s="75"/>
      <c r="G69" s="152"/>
      <c r="H69" s="75"/>
      <c r="I69" s="75"/>
      <c r="J69" s="75"/>
      <c r="K69" s="75"/>
      <c r="L69" s="75"/>
    </row>
    <row r="70" spans="1:12" ht="20.25" customHeight="1" x14ac:dyDescent="0.3">
      <c r="A70" s="109"/>
      <c r="B70" s="100"/>
      <c r="C70" s="7"/>
      <c r="D70" s="101"/>
      <c r="E70" s="102"/>
      <c r="F70" s="75"/>
      <c r="G70" s="152"/>
      <c r="H70" s="75"/>
      <c r="I70" s="75"/>
      <c r="J70" s="75"/>
      <c r="K70" s="75"/>
      <c r="L70" s="75"/>
    </row>
    <row r="71" spans="1:12" ht="20.25" customHeight="1" x14ac:dyDescent="0.3">
      <c r="A71" s="109"/>
      <c r="B71" s="100"/>
      <c r="C71" s="7"/>
      <c r="D71" s="101"/>
      <c r="E71" s="102"/>
      <c r="F71" s="75"/>
      <c r="G71" s="152"/>
      <c r="H71" s="75"/>
      <c r="I71" s="75"/>
      <c r="J71" s="75"/>
      <c r="K71" s="75"/>
      <c r="L71" s="75"/>
    </row>
    <row r="72" spans="1:12" ht="20.25" customHeight="1" x14ac:dyDescent="0.3">
      <c r="A72" s="109"/>
      <c r="B72" s="100"/>
      <c r="C72" s="7"/>
      <c r="D72" s="101"/>
      <c r="E72" s="102"/>
      <c r="F72" s="75"/>
      <c r="G72" s="152"/>
      <c r="H72" s="75"/>
      <c r="I72" s="75"/>
      <c r="J72" s="75"/>
      <c r="K72" s="75"/>
      <c r="L72" s="75"/>
    </row>
    <row r="73" spans="1:12" ht="20.25" customHeight="1" x14ac:dyDescent="0.3">
      <c r="A73" s="109"/>
      <c r="B73" s="100"/>
      <c r="C73" s="7"/>
      <c r="D73" s="101"/>
      <c r="E73" s="102"/>
      <c r="F73" s="75"/>
      <c r="G73" s="152"/>
      <c r="H73" s="75"/>
      <c r="I73" s="75"/>
      <c r="J73" s="75"/>
      <c r="K73" s="75"/>
      <c r="L73" s="75"/>
    </row>
    <row r="74" spans="1:12" ht="20.25" customHeight="1" x14ac:dyDescent="0.3">
      <c r="A74" s="109"/>
      <c r="B74" s="100"/>
      <c r="C74" s="7"/>
      <c r="D74" s="101"/>
      <c r="E74" s="102"/>
      <c r="F74" s="75"/>
      <c r="G74" s="152"/>
      <c r="H74" s="75"/>
      <c r="I74" s="75"/>
      <c r="J74" s="75"/>
      <c r="K74" s="75"/>
      <c r="L74" s="75"/>
    </row>
    <row r="75" spans="1:12" ht="20.25" customHeight="1" x14ac:dyDescent="0.3">
      <c r="A75" s="109"/>
      <c r="B75" s="100"/>
      <c r="C75" s="7"/>
      <c r="D75" s="101"/>
      <c r="E75" s="102"/>
      <c r="F75" s="75"/>
      <c r="G75" s="152"/>
      <c r="H75" s="75"/>
      <c r="I75" s="75"/>
      <c r="J75" s="75"/>
      <c r="K75" s="75"/>
      <c r="L75" s="75"/>
    </row>
    <row r="76" spans="1:12" ht="20.25" customHeight="1" x14ac:dyDescent="0.3">
      <c r="A76" s="109"/>
      <c r="B76" s="100"/>
      <c r="C76" s="7"/>
      <c r="D76" s="101"/>
      <c r="E76" s="102"/>
      <c r="F76" s="75"/>
      <c r="G76" s="152"/>
      <c r="H76" s="75"/>
      <c r="I76" s="75"/>
      <c r="J76" s="75"/>
      <c r="K76" s="75"/>
      <c r="L76" s="75"/>
    </row>
    <row r="77" spans="1:12" ht="20.25" customHeight="1" x14ac:dyDescent="0.3">
      <c r="A77" s="109"/>
      <c r="B77" s="100"/>
      <c r="C77" s="7"/>
      <c r="D77" s="101"/>
      <c r="E77" s="102"/>
      <c r="F77" s="75"/>
      <c r="G77" s="152"/>
      <c r="H77" s="75"/>
      <c r="I77" s="75"/>
      <c r="J77" s="75"/>
      <c r="K77" s="75"/>
      <c r="L77" s="75"/>
    </row>
    <row r="78" spans="1:12" ht="20.25" customHeight="1" x14ac:dyDescent="0.3">
      <c r="A78" s="109"/>
      <c r="B78" s="100"/>
      <c r="C78" s="7"/>
      <c r="D78" s="101"/>
      <c r="E78" s="102"/>
      <c r="F78" s="75"/>
      <c r="G78" s="152"/>
      <c r="H78" s="75"/>
      <c r="I78" s="75"/>
      <c r="J78" s="75"/>
      <c r="K78" s="75"/>
      <c r="L78" s="75"/>
    </row>
    <row r="79" spans="1:12" ht="20.25" customHeight="1" x14ac:dyDescent="0.3">
      <c r="A79" s="109"/>
      <c r="B79" s="100"/>
      <c r="C79" s="7"/>
      <c r="D79" s="101"/>
      <c r="E79" s="102"/>
      <c r="F79" s="75"/>
      <c r="G79" s="152"/>
      <c r="H79" s="75"/>
      <c r="I79" s="75"/>
      <c r="J79" s="75"/>
      <c r="K79" s="75"/>
      <c r="L79" s="75"/>
    </row>
    <row r="80" spans="1:12" ht="20.25" customHeight="1" x14ac:dyDescent="0.3">
      <c r="A80" s="109"/>
      <c r="B80" s="100"/>
      <c r="C80" s="7"/>
      <c r="D80" s="101"/>
      <c r="E80" s="102"/>
      <c r="F80" s="75"/>
      <c r="G80" s="152"/>
      <c r="H80" s="75"/>
      <c r="I80" s="75"/>
      <c r="J80" s="75"/>
      <c r="K80" s="75"/>
      <c r="L80" s="75"/>
    </row>
    <row r="81" spans="1:12" ht="20.25" customHeight="1" x14ac:dyDescent="0.3">
      <c r="A81" s="109"/>
      <c r="B81" s="100"/>
      <c r="C81" s="7"/>
      <c r="D81" s="101"/>
      <c r="E81" s="102"/>
      <c r="F81" s="75"/>
      <c r="G81" s="152"/>
      <c r="H81" s="75"/>
      <c r="I81" s="75"/>
      <c r="J81" s="75"/>
      <c r="K81" s="75"/>
      <c r="L81" s="75"/>
    </row>
    <row r="82" spans="1:12" ht="20.25" customHeight="1" x14ac:dyDescent="0.3">
      <c r="A82" s="109"/>
      <c r="B82" s="100"/>
      <c r="C82" s="7"/>
      <c r="D82" s="101"/>
      <c r="E82" s="102"/>
      <c r="F82" s="75"/>
      <c r="G82" s="152"/>
      <c r="H82" s="75"/>
      <c r="I82" s="75"/>
      <c r="J82" s="75"/>
      <c r="K82" s="75"/>
      <c r="L82" s="75"/>
    </row>
    <row r="83" spans="1:12" ht="20.25" customHeight="1" x14ac:dyDescent="0.3">
      <c r="A83" s="109"/>
      <c r="B83" s="100"/>
      <c r="C83" s="7"/>
      <c r="D83" s="101"/>
      <c r="E83" s="102"/>
      <c r="F83" s="75"/>
      <c r="G83" s="152"/>
      <c r="H83" s="75"/>
      <c r="I83" s="75"/>
      <c r="J83" s="75"/>
      <c r="K83" s="75"/>
      <c r="L83" s="75"/>
    </row>
    <row r="84" spans="1:12" ht="20.25" customHeight="1" x14ac:dyDescent="0.3">
      <c r="A84" s="109"/>
      <c r="B84" s="100"/>
      <c r="C84" s="7"/>
      <c r="D84" s="101"/>
      <c r="E84" s="102"/>
      <c r="F84" s="75"/>
      <c r="G84" s="152"/>
      <c r="H84" s="75"/>
      <c r="I84" s="75"/>
      <c r="J84" s="75"/>
      <c r="K84" s="75"/>
      <c r="L84" s="75"/>
    </row>
    <row r="85" spans="1:12" ht="20.25" customHeight="1" x14ac:dyDescent="0.3">
      <c r="A85" s="109"/>
      <c r="B85" s="100"/>
      <c r="C85" s="7"/>
      <c r="D85" s="101"/>
      <c r="E85" s="102"/>
      <c r="F85" s="75"/>
      <c r="G85" s="152"/>
      <c r="H85" s="75"/>
      <c r="I85" s="75"/>
      <c r="J85" s="75"/>
      <c r="K85" s="75"/>
      <c r="L85" s="75"/>
    </row>
    <row r="86" spans="1:12" ht="20.25" customHeight="1" x14ac:dyDescent="0.3">
      <c r="A86" s="109"/>
      <c r="B86" s="100"/>
      <c r="C86" s="7"/>
      <c r="D86" s="101"/>
      <c r="E86" s="102"/>
      <c r="F86" s="75"/>
      <c r="G86" s="152"/>
      <c r="H86" s="75"/>
      <c r="I86" s="75"/>
      <c r="J86" s="75"/>
      <c r="K86" s="75"/>
      <c r="L86" s="75"/>
    </row>
    <row r="87" spans="1:12" ht="20.25" customHeight="1" x14ac:dyDescent="0.3">
      <c r="A87" s="109"/>
      <c r="B87" s="100"/>
      <c r="C87" s="7"/>
      <c r="D87" s="101"/>
      <c r="E87" s="102"/>
      <c r="F87" s="75"/>
      <c r="G87" s="152"/>
      <c r="H87" s="75"/>
      <c r="I87" s="75"/>
      <c r="J87" s="75"/>
      <c r="K87" s="75"/>
      <c r="L87" s="75"/>
    </row>
    <row r="88" spans="1:12" ht="20.25" customHeight="1" x14ac:dyDescent="0.3">
      <c r="A88" s="109"/>
      <c r="B88" s="100"/>
      <c r="C88" s="7"/>
      <c r="D88" s="101"/>
      <c r="E88" s="102"/>
      <c r="F88" s="75"/>
      <c r="G88" s="152"/>
      <c r="H88" s="75"/>
      <c r="I88" s="75"/>
      <c r="J88" s="75"/>
      <c r="K88" s="75"/>
      <c r="L88" s="75"/>
    </row>
    <row r="89" spans="1:12" ht="20.25" customHeight="1" x14ac:dyDescent="0.3">
      <c r="A89" s="109"/>
      <c r="B89" s="100"/>
      <c r="C89" s="7"/>
      <c r="D89" s="101"/>
      <c r="E89" s="102"/>
      <c r="F89" s="75"/>
      <c r="G89" s="152"/>
      <c r="H89" s="75"/>
      <c r="I89" s="75"/>
      <c r="J89" s="75"/>
      <c r="K89" s="75"/>
      <c r="L89" s="75"/>
    </row>
    <row r="90" spans="1:12" ht="20.25" customHeight="1" x14ac:dyDescent="0.3">
      <c r="A90" s="109"/>
      <c r="B90" s="100"/>
      <c r="C90" s="7"/>
      <c r="D90" s="101"/>
      <c r="E90" s="102"/>
      <c r="F90" s="75"/>
      <c r="G90" s="152"/>
      <c r="H90" s="75"/>
      <c r="I90" s="75"/>
      <c r="J90" s="75"/>
      <c r="K90" s="75"/>
      <c r="L90" s="75"/>
    </row>
    <row r="91" spans="1:12" ht="20.25" customHeight="1" x14ac:dyDescent="0.3">
      <c r="A91" s="109"/>
      <c r="B91" s="100"/>
      <c r="C91" s="7"/>
      <c r="D91" s="101"/>
      <c r="E91" s="102"/>
      <c r="F91" s="75"/>
      <c r="G91" s="152"/>
      <c r="H91" s="75"/>
      <c r="I91" s="75"/>
      <c r="J91" s="75"/>
      <c r="K91" s="75"/>
      <c r="L91" s="75"/>
    </row>
    <row r="92" spans="1:12" ht="20.25" customHeight="1" x14ac:dyDescent="0.3">
      <c r="A92" s="109"/>
      <c r="B92" s="100"/>
      <c r="C92" s="7"/>
      <c r="D92" s="101"/>
      <c r="E92" s="102"/>
      <c r="F92" s="75"/>
      <c r="G92" s="152"/>
      <c r="H92" s="75"/>
      <c r="I92" s="75"/>
      <c r="J92" s="75"/>
      <c r="K92" s="75"/>
      <c r="L92" s="75"/>
    </row>
    <row r="93" spans="1:12" ht="20.25" customHeight="1" x14ac:dyDescent="0.3">
      <c r="A93" s="109"/>
      <c r="B93" s="100"/>
      <c r="C93" s="7"/>
      <c r="D93" s="101"/>
      <c r="E93" s="102"/>
      <c r="F93" s="75"/>
      <c r="G93" s="152"/>
      <c r="H93" s="75"/>
      <c r="I93" s="75"/>
      <c r="J93" s="75"/>
      <c r="K93" s="75"/>
      <c r="L93" s="75"/>
    </row>
    <row r="94" spans="1:12" ht="20.25" customHeight="1" x14ac:dyDescent="0.3">
      <c r="A94" s="109"/>
      <c r="B94" s="100"/>
      <c r="C94" s="7"/>
      <c r="D94" s="101"/>
      <c r="E94" s="102"/>
      <c r="F94" s="75"/>
      <c r="G94" s="152"/>
      <c r="H94" s="75"/>
      <c r="I94" s="75"/>
      <c r="J94" s="75"/>
      <c r="K94" s="75"/>
      <c r="L94" s="75"/>
    </row>
    <row r="95" spans="1:12" ht="20.25" customHeight="1" x14ac:dyDescent="0.3">
      <c r="A95" s="109"/>
      <c r="B95" s="100"/>
      <c r="C95" s="7"/>
      <c r="D95" s="101"/>
      <c r="E95" s="102"/>
      <c r="F95" s="75"/>
      <c r="G95" s="152"/>
      <c r="H95" s="75"/>
      <c r="I95" s="75"/>
      <c r="J95" s="75"/>
      <c r="K95" s="75"/>
      <c r="L95" s="75"/>
    </row>
    <row r="96" spans="1:12" ht="20.25" customHeight="1" x14ac:dyDescent="0.3">
      <c r="A96" s="109"/>
      <c r="B96" s="100"/>
      <c r="C96" s="7"/>
      <c r="D96" s="101"/>
      <c r="E96" s="102"/>
      <c r="F96" s="75"/>
      <c r="G96" s="152"/>
      <c r="H96" s="75"/>
      <c r="I96" s="75"/>
      <c r="J96" s="75"/>
      <c r="K96" s="75"/>
      <c r="L96" s="75"/>
    </row>
    <row r="97" spans="1:12" ht="20.25" customHeight="1" x14ac:dyDescent="0.3">
      <c r="A97" s="109"/>
      <c r="B97" s="100"/>
      <c r="C97" s="7"/>
      <c r="D97" s="101"/>
      <c r="E97" s="102"/>
      <c r="F97" s="75"/>
      <c r="G97" s="152"/>
      <c r="H97" s="75"/>
      <c r="I97" s="75"/>
      <c r="J97" s="75"/>
      <c r="K97" s="75"/>
      <c r="L97" s="75"/>
    </row>
    <row r="98" spans="1:12" ht="20.25" customHeight="1" x14ac:dyDescent="0.3">
      <c r="A98" s="109"/>
      <c r="B98" s="100"/>
      <c r="C98" s="7"/>
      <c r="D98" s="101"/>
      <c r="E98" s="102"/>
      <c r="F98" s="75"/>
      <c r="G98" s="152"/>
      <c r="H98" s="75"/>
      <c r="I98" s="75"/>
      <c r="J98" s="75"/>
      <c r="K98" s="75"/>
      <c r="L98" s="75"/>
    </row>
    <row r="99" spans="1:12" ht="20.25" customHeight="1" x14ac:dyDescent="0.3">
      <c r="A99" s="109"/>
      <c r="B99" s="100"/>
      <c r="C99" s="7"/>
      <c r="D99" s="101"/>
      <c r="E99" s="102"/>
      <c r="F99" s="75"/>
      <c r="G99" s="152"/>
      <c r="H99" s="75"/>
      <c r="I99" s="75"/>
      <c r="J99" s="75"/>
      <c r="K99" s="75"/>
      <c r="L99" s="75"/>
    </row>
    <row r="100" spans="1:12" ht="20.25" customHeight="1" x14ac:dyDescent="0.3">
      <c r="A100" s="109"/>
      <c r="B100" s="100"/>
      <c r="C100" s="7"/>
      <c r="D100" s="101"/>
      <c r="E100" s="102"/>
      <c r="F100" s="75"/>
      <c r="G100" s="152"/>
      <c r="H100" s="75"/>
      <c r="I100" s="75"/>
      <c r="J100" s="75"/>
      <c r="K100" s="75"/>
      <c r="L100" s="75"/>
    </row>
    <row r="101" spans="1:12" ht="20.25" customHeight="1" x14ac:dyDescent="0.3">
      <c r="A101" s="109"/>
      <c r="B101" s="100"/>
      <c r="C101" s="7"/>
      <c r="D101" s="101"/>
      <c r="E101" s="102"/>
      <c r="F101" s="75"/>
      <c r="G101" s="152"/>
      <c r="H101" s="75"/>
      <c r="I101" s="75"/>
      <c r="J101" s="75"/>
      <c r="K101" s="75"/>
      <c r="L101" s="75"/>
    </row>
    <row r="102" spans="1:12" ht="20.25" customHeight="1" x14ac:dyDescent="0.3">
      <c r="A102" s="109"/>
      <c r="B102" s="100"/>
      <c r="C102" s="7"/>
      <c r="D102" s="101"/>
      <c r="E102" s="102"/>
      <c r="F102" s="75"/>
      <c r="G102" s="152"/>
      <c r="H102" s="75"/>
      <c r="I102" s="75"/>
      <c r="J102" s="75"/>
      <c r="K102" s="75"/>
      <c r="L102" s="75"/>
    </row>
    <row r="103" spans="1:12" ht="20.25" customHeight="1" x14ac:dyDescent="0.3">
      <c r="A103" s="109"/>
      <c r="B103" s="100"/>
      <c r="C103" s="7"/>
      <c r="D103" s="101"/>
      <c r="E103" s="102"/>
      <c r="F103" s="75"/>
      <c r="G103" s="152"/>
      <c r="H103" s="75"/>
      <c r="I103" s="75"/>
      <c r="J103" s="75"/>
      <c r="K103" s="75"/>
      <c r="L103" s="75"/>
    </row>
    <row r="104" spans="1:12" ht="20.25" customHeight="1" x14ac:dyDescent="0.3">
      <c r="A104" s="109"/>
      <c r="B104" s="100"/>
      <c r="C104" s="7"/>
      <c r="D104" s="101"/>
      <c r="E104" s="102"/>
      <c r="F104" s="75"/>
      <c r="G104" s="152"/>
      <c r="H104" s="75"/>
      <c r="I104" s="75"/>
      <c r="J104" s="75"/>
      <c r="K104" s="75"/>
      <c r="L104" s="75"/>
    </row>
    <row r="105" spans="1:12" ht="20.25" customHeight="1" x14ac:dyDescent="0.3">
      <c r="A105" s="109"/>
      <c r="B105" s="100"/>
      <c r="C105" s="7"/>
      <c r="D105" s="101"/>
      <c r="E105" s="102"/>
      <c r="F105" s="75"/>
      <c r="G105" s="152"/>
      <c r="H105" s="75"/>
      <c r="I105" s="75"/>
      <c r="J105" s="75"/>
      <c r="K105" s="75"/>
      <c r="L105" s="75"/>
    </row>
    <row r="106" spans="1:12" ht="20.25" customHeight="1" x14ac:dyDescent="0.3">
      <c r="A106" s="109"/>
      <c r="B106" s="100"/>
      <c r="C106" s="7"/>
      <c r="D106" s="101"/>
      <c r="E106" s="102"/>
      <c r="F106" s="75"/>
      <c r="G106" s="152"/>
      <c r="H106" s="75"/>
      <c r="I106" s="75"/>
      <c r="J106" s="75"/>
      <c r="K106" s="75"/>
      <c r="L106" s="75"/>
    </row>
    <row r="107" spans="1:12" ht="20.25" customHeight="1" x14ac:dyDescent="0.3">
      <c r="A107" s="109"/>
      <c r="B107" s="100"/>
      <c r="C107" s="7"/>
      <c r="D107" s="101"/>
      <c r="E107" s="102"/>
      <c r="F107" s="75"/>
      <c r="G107" s="152"/>
      <c r="H107" s="75"/>
      <c r="I107" s="75"/>
      <c r="J107" s="75"/>
      <c r="K107" s="75"/>
      <c r="L107" s="75"/>
    </row>
    <row r="108" spans="1:12" ht="20.25" customHeight="1" x14ac:dyDescent="0.3">
      <c r="A108" s="109"/>
      <c r="B108" s="100"/>
      <c r="C108" s="7"/>
      <c r="D108" s="101"/>
      <c r="E108" s="102"/>
      <c r="F108" s="75"/>
      <c r="G108" s="152"/>
      <c r="H108" s="75"/>
      <c r="I108" s="75"/>
      <c r="J108" s="75"/>
      <c r="K108" s="75"/>
      <c r="L108" s="75"/>
    </row>
    <row r="109" spans="1:12" ht="20.25" customHeight="1" x14ac:dyDescent="0.3">
      <c r="A109" s="109"/>
      <c r="B109" s="100"/>
      <c r="C109" s="7"/>
      <c r="D109" s="101"/>
      <c r="E109" s="102"/>
      <c r="F109" s="75"/>
      <c r="G109" s="152"/>
      <c r="H109" s="75"/>
      <c r="I109" s="75"/>
      <c r="J109" s="75"/>
      <c r="K109" s="75"/>
      <c r="L109" s="75"/>
    </row>
    <row r="110" spans="1:12" ht="20.25" customHeight="1" x14ac:dyDescent="0.3">
      <c r="A110" s="109"/>
      <c r="B110" s="100"/>
      <c r="C110" s="7"/>
      <c r="D110" s="101"/>
      <c r="E110" s="102"/>
      <c r="F110" s="75"/>
      <c r="G110" s="152"/>
      <c r="H110" s="75"/>
      <c r="I110" s="75"/>
      <c r="J110" s="75"/>
      <c r="K110" s="75"/>
      <c r="L110" s="75"/>
    </row>
    <row r="111" spans="1:12" ht="20.25" customHeight="1" x14ac:dyDescent="0.3">
      <c r="A111" s="109"/>
      <c r="B111" s="100"/>
      <c r="C111" s="7"/>
      <c r="D111" s="101"/>
      <c r="E111" s="102"/>
      <c r="F111" s="75"/>
      <c r="G111" s="152"/>
      <c r="H111" s="75"/>
      <c r="I111" s="75"/>
      <c r="J111" s="75"/>
      <c r="K111" s="75"/>
      <c r="L111" s="75"/>
    </row>
    <row r="112" spans="1:12" ht="20.25" customHeight="1" x14ac:dyDescent="0.3">
      <c r="A112" s="109"/>
      <c r="B112" s="100"/>
      <c r="C112" s="7"/>
      <c r="D112" s="101"/>
      <c r="E112" s="102"/>
      <c r="F112" s="75"/>
      <c r="G112" s="152"/>
      <c r="H112" s="75"/>
      <c r="I112" s="75"/>
      <c r="J112" s="75"/>
      <c r="K112" s="75"/>
      <c r="L112" s="75"/>
    </row>
    <row r="113" spans="1:11" ht="20.25" customHeight="1" x14ac:dyDescent="0.3">
      <c r="A113" s="109"/>
      <c r="B113" s="100"/>
      <c r="C113" s="7"/>
      <c r="D113" s="101"/>
      <c r="E113" s="102"/>
      <c r="F113" s="75"/>
      <c r="G113" s="152"/>
      <c r="H113" s="75"/>
      <c r="I113" s="75"/>
      <c r="J113" s="75"/>
      <c r="K113" s="75"/>
    </row>
    <row r="114" spans="1:11" ht="20.25" customHeight="1" x14ac:dyDescent="0.3">
      <c r="A114" s="109"/>
      <c r="B114" s="100"/>
      <c r="C114" s="7"/>
      <c r="D114" s="101"/>
      <c r="E114" s="102"/>
      <c r="F114" s="75"/>
      <c r="G114" s="152"/>
      <c r="H114" s="75"/>
      <c r="I114" s="75"/>
      <c r="J114" s="75"/>
      <c r="K114" s="75"/>
    </row>
    <row r="115" spans="1:11" ht="20.25" customHeight="1" x14ac:dyDescent="0.3">
      <c r="A115" s="109"/>
      <c r="B115" s="100"/>
      <c r="C115" s="7"/>
      <c r="D115" s="101"/>
      <c r="E115" s="102"/>
      <c r="F115" s="75"/>
      <c r="G115" s="152"/>
      <c r="H115" s="75"/>
      <c r="I115" s="75"/>
      <c r="J115" s="75"/>
      <c r="K115" s="75"/>
    </row>
    <row r="116" spans="1:11" ht="20.25" customHeight="1" x14ac:dyDescent="0.3">
      <c r="A116" s="109"/>
      <c r="B116" s="100"/>
      <c r="C116" s="7"/>
      <c r="D116" s="101"/>
      <c r="E116" s="102"/>
      <c r="F116" s="75"/>
      <c r="G116" s="152"/>
      <c r="H116" s="75"/>
      <c r="I116" s="75"/>
      <c r="J116" s="75"/>
      <c r="K116" s="75"/>
    </row>
    <row r="117" spans="1:11" ht="20.25" customHeight="1" x14ac:dyDescent="0.3">
      <c r="A117" s="109"/>
      <c r="B117" s="100"/>
      <c r="C117" s="7"/>
      <c r="D117" s="101"/>
      <c r="E117" s="102"/>
      <c r="F117" s="75"/>
      <c r="G117" s="152"/>
      <c r="H117" s="75"/>
      <c r="I117" s="75"/>
      <c r="J117" s="75"/>
      <c r="K117" s="75"/>
    </row>
    <row r="118" spans="1:11" ht="20.25" customHeight="1" x14ac:dyDescent="0.3">
      <c r="A118" s="109"/>
      <c r="B118" s="100"/>
      <c r="C118" s="7"/>
      <c r="D118" s="101"/>
      <c r="E118" s="102"/>
      <c r="F118" s="75"/>
      <c r="G118" s="152"/>
      <c r="H118" s="75"/>
      <c r="I118" s="75"/>
      <c r="J118" s="75"/>
      <c r="K118" s="75"/>
    </row>
    <row r="119" spans="1:11" ht="20.25" customHeight="1" x14ac:dyDescent="0.3">
      <c r="A119" s="109"/>
      <c r="B119" s="100"/>
      <c r="C119" s="7"/>
      <c r="D119" s="101"/>
      <c r="E119" s="102"/>
      <c r="F119" s="75"/>
      <c r="G119" s="152"/>
      <c r="H119" s="75"/>
      <c r="I119" s="75"/>
      <c r="J119" s="75"/>
      <c r="K119" s="75"/>
    </row>
    <row r="120" spans="1:11" ht="20.25" customHeight="1" x14ac:dyDescent="0.3">
      <c r="A120" s="109"/>
      <c r="B120" s="100"/>
      <c r="C120" s="7"/>
      <c r="D120" s="101"/>
      <c r="E120" s="102"/>
      <c r="F120" s="75"/>
      <c r="G120" s="150"/>
      <c r="H120" s="75"/>
      <c r="I120" s="75"/>
      <c r="J120" s="75"/>
      <c r="K120" s="75"/>
    </row>
    <row r="121" spans="1:11" ht="20.25" customHeight="1" x14ac:dyDescent="0.3">
      <c r="A121" s="109"/>
      <c r="B121" s="100"/>
      <c r="C121" s="7"/>
      <c r="D121" s="101"/>
      <c r="E121" s="102"/>
      <c r="F121" s="75"/>
      <c r="G121" s="150"/>
      <c r="H121" s="75"/>
      <c r="I121" s="75"/>
      <c r="J121" s="75"/>
      <c r="K121" s="75"/>
    </row>
    <row r="122" spans="1:11" ht="20.25" customHeight="1" x14ac:dyDescent="0.3">
      <c r="A122" s="109"/>
      <c r="B122" s="100"/>
      <c r="C122" s="7"/>
      <c r="D122" s="101"/>
      <c r="E122" s="102"/>
      <c r="F122" s="75"/>
      <c r="G122" s="150"/>
      <c r="H122" s="75"/>
      <c r="I122" s="75"/>
      <c r="J122" s="75"/>
      <c r="K122" s="75"/>
    </row>
    <row r="123" spans="1:11" ht="20.25" customHeight="1" x14ac:dyDescent="0.3">
      <c r="A123" s="109"/>
      <c r="B123" s="100"/>
      <c r="C123" s="7"/>
      <c r="D123" s="101"/>
      <c r="E123" s="102"/>
      <c r="F123" s="75"/>
      <c r="G123" s="150"/>
      <c r="H123" s="75"/>
      <c r="I123" s="75"/>
      <c r="J123" s="75"/>
      <c r="K123" s="75"/>
    </row>
    <row r="124" spans="1:11" ht="20.25" customHeight="1" x14ac:dyDescent="0.3">
      <c r="A124" s="109"/>
      <c r="B124" s="100"/>
      <c r="C124" s="7"/>
      <c r="D124" s="101"/>
      <c r="E124" s="102"/>
      <c r="F124" s="75"/>
      <c r="G124" s="150"/>
      <c r="H124" s="75"/>
      <c r="I124" s="75"/>
      <c r="J124" s="75"/>
      <c r="K124" s="75"/>
    </row>
    <row r="125" spans="1:11" ht="20.25" customHeight="1" x14ac:dyDescent="0.3">
      <c r="A125" s="109"/>
      <c r="B125" s="100"/>
      <c r="C125" s="7"/>
      <c r="D125" s="101"/>
      <c r="E125" s="102"/>
      <c r="F125" s="75"/>
      <c r="G125" s="150"/>
      <c r="H125" s="75"/>
      <c r="I125" s="75"/>
      <c r="J125" s="75"/>
      <c r="K125" s="75"/>
    </row>
    <row r="126" spans="1:11" ht="20.25" customHeight="1" x14ac:dyDescent="0.3">
      <c r="A126" s="109"/>
      <c r="B126" s="100"/>
      <c r="C126" s="7"/>
      <c r="D126" s="101"/>
      <c r="E126" s="102"/>
      <c r="F126" s="75"/>
      <c r="G126" s="150"/>
      <c r="H126" s="75"/>
      <c r="I126" s="75"/>
      <c r="J126" s="75"/>
      <c r="K126" s="75"/>
    </row>
    <row r="127" spans="1:11" ht="20.25" customHeight="1" x14ac:dyDescent="0.3">
      <c r="A127" s="109"/>
      <c r="B127" s="100"/>
      <c r="C127" s="7"/>
      <c r="D127" s="101"/>
      <c r="E127" s="102"/>
      <c r="F127" s="75"/>
      <c r="G127" s="150"/>
      <c r="H127" s="75"/>
      <c r="I127" s="75"/>
      <c r="J127" s="75"/>
      <c r="K127" s="75"/>
    </row>
    <row r="128" spans="1:11" ht="20.25" customHeight="1" x14ac:dyDescent="0.3">
      <c r="A128" s="109"/>
      <c r="B128" s="100"/>
      <c r="C128" s="7"/>
      <c r="D128" s="101"/>
      <c r="E128" s="102"/>
      <c r="F128" s="75"/>
      <c r="G128" s="150"/>
      <c r="H128" s="75"/>
      <c r="I128" s="75"/>
      <c r="J128" s="75"/>
      <c r="K128" s="75"/>
    </row>
    <row r="129" spans="1:11" ht="20.25" customHeight="1" x14ac:dyDescent="0.3">
      <c r="A129" s="109"/>
      <c r="B129" s="100"/>
      <c r="C129" s="7"/>
      <c r="D129" s="101"/>
      <c r="E129" s="102"/>
      <c r="F129" s="75"/>
      <c r="G129" s="150"/>
      <c r="H129" s="75"/>
      <c r="I129" s="75"/>
      <c r="J129" s="75"/>
      <c r="K129" s="75"/>
    </row>
    <row r="130" spans="1:11" ht="20.25" customHeight="1" x14ac:dyDescent="0.3">
      <c r="A130" s="109"/>
      <c r="B130" s="100"/>
      <c r="C130" s="7"/>
      <c r="D130" s="101"/>
      <c r="E130" s="102"/>
      <c r="F130" s="75"/>
      <c r="G130" s="150"/>
      <c r="H130" s="75"/>
      <c r="I130" s="75"/>
      <c r="J130" s="75"/>
      <c r="K130" s="75"/>
    </row>
    <row r="131" spans="1:11" ht="20.25" customHeight="1" x14ac:dyDescent="0.3">
      <c r="A131" s="109"/>
      <c r="B131" s="100"/>
      <c r="C131" s="7"/>
      <c r="D131" s="101"/>
      <c r="E131" s="102"/>
      <c r="F131" s="75"/>
      <c r="G131" s="150"/>
      <c r="H131" s="75"/>
      <c r="I131" s="75"/>
      <c r="J131" s="75"/>
      <c r="K131" s="75"/>
    </row>
    <row r="132" spans="1:11" ht="20.25" customHeight="1" x14ac:dyDescent="0.3">
      <c r="A132" s="109"/>
      <c r="B132" s="100"/>
      <c r="C132" s="7"/>
      <c r="D132" s="101"/>
      <c r="E132" s="102"/>
      <c r="F132" s="75"/>
      <c r="G132" s="150"/>
      <c r="H132" s="75"/>
      <c r="I132" s="75"/>
      <c r="J132" s="75"/>
      <c r="K132" s="75"/>
    </row>
    <row r="133" spans="1:11" ht="20.25" customHeight="1" x14ac:dyDescent="0.3">
      <c r="A133" s="109"/>
      <c r="B133" s="100"/>
      <c r="C133" s="7"/>
      <c r="D133" s="101"/>
      <c r="E133" s="102"/>
      <c r="F133" s="75"/>
      <c r="G133" s="150"/>
      <c r="H133" s="75"/>
      <c r="I133" s="75"/>
      <c r="J133" s="75"/>
      <c r="K133" s="75"/>
    </row>
    <row r="134" spans="1:11" ht="20.25" customHeight="1" x14ac:dyDescent="0.3">
      <c r="A134" s="109"/>
      <c r="B134" s="100"/>
      <c r="C134" s="7"/>
      <c r="D134" s="101"/>
      <c r="E134" s="102"/>
      <c r="F134" s="75"/>
      <c r="G134" s="150"/>
      <c r="H134" s="75"/>
      <c r="I134" s="75"/>
      <c r="J134" s="75"/>
      <c r="K134" s="75"/>
    </row>
    <row r="135" spans="1:11" ht="20.25" customHeight="1" x14ac:dyDescent="0.3">
      <c r="A135" s="109"/>
      <c r="B135" s="100"/>
      <c r="C135" s="7"/>
      <c r="D135" s="101"/>
      <c r="E135" s="102"/>
      <c r="F135" s="75"/>
      <c r="G135" s="150"/>
      <c r="H135" s="75"/>
      <c r="I135" s="75"/>
      <c r="J135" s="75"/>
      <c r="K135" s="75"/>
    </row>
    <row r="136" spans="1:11" ht="20.25" customHeight="1" x14ac:dyDescent="0.3">
      <c r="A136" s="109"/>
      <c r="B136" s="100"/>
      <c r="C136" s="7"/>
      <c r="D136" s="101"/>
      <c r="E136" s="102"/>
      <c r="F136" s="75"/>
      <c r="G136" s="150"/>
      <c r="H136" s="75"/>
      <c r="I136" s="75"/>
      <c r="J136" s="75"/>
      <c r="K136" s="75"/>
    </row>
    <row r="137" spans="1:11" ht="20.25" customHeight="1" x14ac:dyDescent="0.3">
      <c r="A137" s="109"/>
      <c r="B137" s="100"/>
      <c r="C137" s="7"/>
      <c r="D137" s="101"/>
      <c r="E137" s="102"/>
      <c r="F137" s="75"/>
      <c r="G137" s="150"/>
      <c r="H137" s="75"/>
      <c r="I137" s="75"/>
      <c r="J137" s="75"/>
      <c r="K137" s="75"/>
    </row>
    <row r="138" spans="1:11" ht="20.25" customHeight="1" x14ac:dyDescent="0.3">
      <c r="A138" s="109"/>
      <c r="B138" s="100"/>
      <c r="C138" s="7"/>
      <c r="D138" s="101"/>
      <c r="E138" s="102"/>
      <c r="F138" s="75"/>
      <c r="G138" s="150"/>
      <c r="H138" s="75"/>
      <c r="I138" s="75"/>
      <c r="J138" s="75"/>
      <c r="K138" s="75"/>
    </row>
    <row r="139" spans="1:11" ht="20.25" customHeight="1" x14ac:dyDescent="0.3">
      <c r="A139" s="109"/>
      <c r="B139" s="100"/>
      <c r="C139" s="7"/>
      <c r="D139" s="101"/>
      <c r="E139" s="102"/>
      <c r="F139" s="75"/>
      <c r="G139" s="150"/>
      <c r="H139" s="75"/>
      <c r="I139" s="75"/>
      <c r="J139" s="75"/>
      <c r="K139" s="75"/>
    </row>
    <row r="140" spans="1:11" ht="20.25" customHeight="1" x14ac:dyDescent="0.3">
      <c r="A140" s="109"/>
      <c r="B140" s="100"/>
      <c r="C140" s="7"/>
      <c r="D140" s="101"/>
      <c r="E140" s="102"/>
      <c r="F140" s="75"/>
      <c r="G140" s="150"/>
      <c r="H140" s="75"/>
      <c r="I140" s="75"/>
      <c r="J140" s="75"/>
      <c r="K140" s="75"/>
    </row>
    <row r="141" spans="1:11" ht="20.25" customHeight="1" x14ac:dyDescent="0.3">
      <c r="A141" s="109"/>
      <c r="B141" s="100"/>
      <c r="C141" s="7"/>
      <c r="D141" s="101"/>
      <c r="E141" s="102"/>
      <c r="F141" s="75"/>
      <c r="G141" s="150"/>
      <c r="H141" s="75"/>
      <c r="I141" s="75"/>
      <c r="J141" s="75"/>
      <c r="K141" s="75"/>
    </row>
    <row r="142" spans="1:11" ht="20.25" customHeight="1" x14ac:dyDescent="0.3">
      <c r="A142" s="109"/>
      <c r="B142" s="100"/>
      <c r="C142" s="7"/>
      <c r="D142" s="101"/>
      <c r="E142" s="102"/>
      <c r="F142" s="75"/>
      <c r="G142" s="150"/>
      <c r="H142" s="75"/>
      <c r="I142" s="75"/>
      <c r="J142" s="75"/>
      <c r="K142" s="75"/>
    </row>
    <row r="143" spans="1:11" ht="20.25" customHeight="1" x14ac:dyDescent="0.3">
      <c r="A143" s="109"/>
      <c r="B143" s="100"/>
      <c r="C143" s="7"/>
      <c r="D143" s="101"/>
      <c r="E143" s="102"/>
      <c r="F143" s="75"/>
      <c r="G143" s="150"/>
      <c r="H143" s="75"/>
      <c r="I143" s="75"/>
      <c r="J143" s="75"/>
      <c r="K143" s="75"/>
    </row>
    <row r="144" spans="1:11" ht="20.25" customHeight="1" x14ac:dyDescent="0.3">
      <c r="A144" s="109"/>
      <c r="B144" s="100"/>
      <c r="C144" s="7"/>
      <c r="D144" s="101"/>
      <c r="E144" s="102"/>
      <c r="F144" s="75"/>
      <c r="G144" s="150"/>
      <c r="H144" s="75"/>
      <c r="I144" s="75"/>
      <c r="J144" s="75"/>
      <c r="K144" s="75"/>
    </row>
    <row r="145" spans="1:11" ht="20.25" customHeight="1" x14ac:dyDescent="0.3">
      <c r="A145" s="109"/>
      <c r="B145" s="100"/>
      <c r="C145" s="7"/>
      <c r="D145" s="101"/>
      <c r="E145" s="102"/>
      <c r="F145" s="75"/>
      <c r="G145" s="150"/>
      <c r="H145" s="75"/>
      <c r="I145" s="75"/>
      <c r="J145" s="75"/>
      <c r="K145" s="75"/>
    </row>
    <row r="146" spans="1:11" ht="20.25" customHeight="1" x14ac:dyDescent="0.3">
      <c r="A146" s="109"/>
      <c r="B146" s="100"/>
      <c r="C146" s="7"/>
      <c r="D146" s="101"/>
      <c r="E146" s="102"/>
      <c r="F146" s="75"/>
      <c r="G146" s="150"/>
      <c r="H146" s="75"/>
      <c r="I146" s="75"/>
      <c r="J146" s="75"/>
      <c r="K146" s="75"/>
    </row>
    <row r="147" spans="1:11" ht="20.25" customHeight="1" x14ac:dyDescent="0.3">
      <c r="A147" s="109"/>
      <c r="B147" s="100"/>
      <c r="C147" s="7"/>
      <c r="D147" s="101"/>
      <c r="E147" s="102"/>
      <c r="F147" s="75"/>
      <c r="G147" s="150"/>
      <c r="H147" s="75"/>
      <c r="I147" s="75"/>
      <c r="J147" s="75"/>
      <c r="K147" s="75"/>
    </row>
    <row r="148" spans="1:11" ht="20.25" customHeight="1" x14ac:dyDescent="0.3">
      <c r="A148" s="109"/>
      <c r="B148" s="100"/>
      <c r="C148" s="7"/>
      <c r="D148" s="101"/>
      <c r="E148" s="102"/>
      <c r="F148" s="75"/>
      <c r="G148" s="150"/>
      <c r="H148" s="75"/>
      <c r="I148" s="75"/>
      <c r="J148" s="75"/>
      <c r="K148" s="75"/>
    </row>
    <row r="149" spans="1:11" ht="20.25" customHeight="1" x14ac:dyDescent="0.3">
      <c r="A149" s="109"/>
      <c r="B149" s="100"/>
      <c r="C149" s="7"/>
      <c r="D149" s="101"/>
      <c r="E149" s="102"/>
      <c r="F149" s="75"/>
      <c r="G149" s="150"/>
      <c r="H149" s="75"/>
      <c r="I149" s="75"/>
      <c r="J149" s="75"/>
      <c r="K149" s="75"/>
    </row>
    <row r="150" spans="1:11" ht="20.25" customHeight="1" x14ac:dyDescent="0.3">
      <c r="A150" s="109"/>
      <c r="B150" s="100"/>
      <c r="C150" s="7"/>
      <c r="D150" s="101"/>
      <c r="E150" s="102"/>
      <c r="F150" s="75"/>
      <c r="G150" s="150"/>
      <c r="H150" s="75"/>
      <c r="I150" s="75"/>
      <c r="J150" s="75"/>
      <c r="K150" s="75"/>
    </row>
    <row r="151" spans="1:11" ht="20.25" customHeight="1" x14ac:dyDescent="0.3">
      <c r="A151" s="109"/>
      <c r="B151" s="100"/>
      <c r="C151" s="7"/>
      <c r="D151" s="101"/>
      <c r="E151" s="102"/>
      <c r="F151" s="75"/>
      <c r="G151" s="150"/>
      <c r="H151" s="75"/>
      <c r="I151" s="75"/>
      <c r="J151" s="75"/>
      <c r="K151" s="75"/>
    </row>
    <row r="152" spans="1:11" ht="20.25" customHeight="1" x14ac:dyDescent="0.3">
      <c r="A152" s="109"/>
      <c r="B152" s="100"/>
      <c r="C152" s="7"/>
      <c r="D152" s="101"/>
      <c r="E152" s="102"/>
      <c r="F152" s="75"/>
      <c r="G152" s="150"/>
      <c r="H152" s="75"/>
      <c r="I152" s="75"/>
      <c r="J152" s="75"/>
      <c r="K152" s="75"/>
    </row>
    <row r="153" spans="1:11" ht="20.25" customHeight="1" x14ac:dyDescent="0.3">
      <c r="A153" s="109"/>
      <c r="B153" s="100"/>
      <c r="C153" s="7"/>
      <c r="D153" s="101"/>
      <c r="E153" s="102"/>
      <c r="F153" s="75"/>
      <c r="G153" s="150"/>
      <c r="H153" s="75"/>
      <c r="I153" s="75"/>
      <c r="J153" s="75"/>
      <c r="K153" s="75"/>
    </row>
    <row r="154" spans="1:11" ht="20.25" customHeight="1" x14ac:dyDescent="0.3">
      <c r="A154" s="109"/>
      <c r="B154" s="100"/>
      <c r="C154" s="7"/>
      <c r="D154" s="101"/>
      <c r="E154" s="102"/>
      <c r="F154" s="75"/>
      <c r="G154" s="150"/>
      <c r="H154" s="75"/>
      <c r="I154" s="75"/>
      <c r="J154" s="75"/>
      <c r="K154" s="75"/>
    </row>
    <row r="155" spans="1:11" ht="20.25" customHeight="1" x14ac:dyDescent="0.3">
      <c r="A155" s="109"/>
      <c r="B155" s="100"/>
      <c r="C155" s="7"/>
      <c r="D155" s="101"/>
      <c r="E155" s="102"/>
      <c r="F155" s="75"/>
      <c r="G155" s="150"/>
      <c r="H155" s="75"/>
      <c r="I155" s="75"/>
      <c r="J155" s="75"/>
      <c r="K155" s="75"/>
    </row>
    <row r="156" spans="1:11" ht="20.25" customHeight="1" x14ac:dyDescent="0.3">
      <c r="A156" s="109"/>
      <c r="B156" s="100"/>
      <c r="C156" s="7"/>
      <c r="D156" s="101"/>
      <c r="E156" s="102"/>
      <c r="F156" s="75"/>
      <c r="G156" s="150"/>
      <c r="H156" s="75"/>
      <c r="I156" s="75"/>
      <c r="J156" s="75"/>
      <c r="K156" s="75"/>
    </row>
    <row r="157" spans="1:11" ht="20.25" customHeight="1" x14ac:dyDescent="0.3">
      <c r="A157" s="109"/>
      <c r="B157" s="100"/>
      <c r="C157" s="7"/>
      <c r="D157" s="101"/>
      <c r="E157" s="102"/>
      <c r="F157" s="75"/>
      <c r="G157" s="150"/>
      <c r="H157" s="75"/>
      <c r="I157" s="75"/>
      <c r="J157" s="75"/>
      <c r="K157" s="75"/>
    </row>
    <row r="158" spans="1:11" ht="20.25" customHeight="1" x14ac:dyDescent="0.3">
      <c r="A158" s="109"/>
      <c r="B158" s="100"/>
      <c r="C158" s="7"/>
      <c r="D158" s="101"/>
      <c r="E158" s="102"/>
      <c r="F158" s="75"/>
      <c r="G158" s="150"/>
      <c r="H158" s="75"/>
      <c r="I158" s="75"/>
      <c r="J158" s="75"/>
      <c r="K158" s="75"/>
    </row>
    <row r="159" spans="1:11" ht="20.25" customHeight="1" x14ac:dyDescent="0.3">
      <c r="A159" s="109"/>
      <c r="B159" s="100"/>
      <c r="C159" s="7"/>
      <c r="D159" s="101"/>
      <c r="E159" s="102"/>
      <c r="F159" s="75"/>
      <c r="G159" s="150"/>
      <c r="H159" s="75"/>
      <c r="I159" s="75"/>
      <c r="J159" s="75"/>
      <c r="K159" s="75"/>
    </row>
    <row r="160" spans="1:11" ht="20.25" customHeight="1" x14ac:dyDescent="0.3">
      <c r="A160" s="109"/>
      <c r="B160" s="100"/>
      <c r="C160" s="7"/>
      <c r="D160" s="101"/>
      <c r="E160" s="102"/>
      <c r="F160" s="75"/>
      <c r="G160" s="150"/>
      <c r="H160" s="75"/>
      <c r="I160" s="75"/>
      <c r="J160" s="75"/>
      <c r="K160" s="75"/>
    </row>
    <row r="161" spans="1:11" ht="20.25" customHeight="1" x14ac:dyDescent="0.3">
      <c r="A161" s="109"/>
      <c r="B161" s="100"/>
      <c r="C161" s="7"/>
      <c r="D161" s="101"/>
      <c r="E161" s="102"/>
      <c r="F161" s="75"/>
      <c r="G161" s="150"/>
      <c r="H161" s="75"/>
      <c r="I161" s="75"/>
      <c r="J161" s="75"/>
      <c r="K161" s="75"/>
    </row>
    <row r="162" spans="1:11" ht="20.25" customHeight="1" x14ac:dyDescent="0.3">
      <c r="A162" s="109"/>
      <c r="B162" s="100"/>
      <c r="C162" s="7"/>
      <c r="D162" s="101"/>
      <c r="E162" s="102"/>
      <c r="F162" s="75"/>
      <c r="G162" s="150"/>
      <c r="H162" s="75"/>
      <c r="I162" s="75"/>
      <c r="J162" s="75"/>
      <c r="K162" s="75"/>
    </row>
    <row r="163" spans="1:11" ht="20.25" customHeight="1" x14ac:dyDescent="0.3">
      <c r="A163" s="109"/>
      <c r="B163" s="100"/>
      <c r="C163" s="7"/>
      <c r="D163" s="101"/>
      <c r="E163" s="102"/>
      <c r="F163" s="75"/>
      <c r="G163" s="150"/>
      <c r="H163" s="75"/>
      <c r="I163" s="75"/>
      <c r="J163" s="75"/>
      <c r="K163" s="75"/>
    </row>
    <row r="164" spans="1:11" ht="20.25" customHeight="1" x14ac:dyDescent="0.3">
      <c r="A164" s="109"/>
      <c r="B164" s="100"/>
      <c r="C164" s="7"/>
      <c r="D164" s="101"/>
      <c r="E164" s="102"/>
      <c r="F164" s="75"/>
      <c r="G164" s="150"/>
      <c r="H164" s="75"/>
      <c r="I164" s="75"/>
      <c r="J164" s="75"/>
      <c r="K164" s="75"/>
    </row>
    <row r="165" spans="1:11" ht="20.25" customHeight="1" x14ac:dyDescent="0.3">
      <c r="A165" s="109"/>
      <c r="B165" s="100"/>
      <c r="C165" s="7"/>
      <c r="D165" s="101"/>
      <c r="E165" s="102"/>
      <c r="F165" s="75"/>
      <c r="G165" s="150"/>
      <c r="H165" s="75"/>
      <c r="I165" s="75"/>
      <c r="J165" s="75"/>
      <c r="K165" s="75"/>
    </row>
    <row r="166" spans="1:11" ht="20.25" customHeight="1" x14ac:dyDescent="0.3">
      <c r="A166" s="109"/>
      <c r="B166" s="100"/>
      <c r="C166" s="7"/>
      <c r="D166" s="101"/>
      <c r="E166" s="102"/>
      <c r="F166" s="75"/>
      <c r="G166" s="150"/>
      <c r="H166" s="75"/>
      <c r="I166" s="75"/>
      <c r="J166" s="75"/>
      <c r="K166" s="75"/>
    </row>
    <row r="167" spans="1:11" ht="20.25" customHeight="1" x14ac:dyDescent="0.3">
      <c r="A167" s="109"/>
      <c r="B167" s="100"/>
      <c r="C167" s="7"/>
      <c r="D167" s="101"/>
      <c r="E167" s="102"/>
      <c r="F167" s="75"/>
      <c r="G167" s="150"/>
      <c r="H167" s="75"/>
      <c r="I167" s="75"/>
      <c r="J167" s="75"/>
      <c r="K167" s="75"/>
    </row>
    <row r="168" spans="1:11" ht="20.25" customHeight="1" x14ac:dyDescent="0.3">
      <c r="A168" s="109"/>
      <c r="B168" s="100"/>
      <c r="C168" s="7"/>
      <c r="D168" s="101"/>
      <c r="E168" s="102"/>
      <c r="F168" s="75"/>
      <c r="G168" s="150"/>
      <c r="H168" s="75"/>
      <c r="I168" s="75"/>
      <c r="J168" s="75"/>
      <c r="K168" s="75"/>
    </row>
    <row r="169" spans="1:11" ht="20.25" customHeight="1" x14ac:dyDescent="0.3">
      <c r="A169" s="109"/>
      <c r="B169" s="100"/>
      <c r="C169" s="7"/>
      <c r="D169" s="101"/>
      <c r="E169" s="102"/>
      <c r="F169" s="75"/>
      <c r="G169" s="150"/>
      <c r="H169" s="75"/>
      <c r="I169" s="75"/>
      <c r="J169" s="75"/>
      <c r="K169" s="75"/>
    </row>
    <row r="170" spans="1:11" ht="20.25" customHeight="1" x14ac:dyDescent="0.3">
      <c r="A170" s="109"/>
      <c r="B170" s="100"/>
      <c r="C170" s="7"/>
      <c r="D170" s="101"/>
      <c r="E170" s="102"/>
      <c r="F170" s="75"/>
      <c r="G170" s="150"/>
      <c r="H170" s="75"/>
      <c r="I170" s="75"/>
      <c r="J170" s="75"/>
      <c r="K170" s="75"/>
    </row>
    <row r="171" spans="1:11" ht="20.25" customHeight="1" x14ac:dyDescent="0.3">
      <c r="A171" s="109"/>
      <c r="B171" s="100"/>
      <c r="C171" s="7"/>
      <c r="D171" s="101"/>
      <c r="E171" s="102"/>
      <c r="F171" s="75"/>
      <c r="G171" s="150"/>
      <c r="H171" s="75"/>
      <c r="I171" s="75"/>
      <c r="J171" s="75"/>
      <c r="K171" s="75"/>
    </row>
    <row r="172" spans="1:11" ht="20.25" customHeight="1" x14ac:dyDescent="0.3">
      <c r="A172" s="109"/>
      <c r="B172" s="100"/>
      <c r="C172" s="7"/>
      <c r="D172" s="101"/>
      <c r="E172" s="102"/>
      <c r="F172" s="75"/>
      <c r="G172" s="150"/>
      <c r="H172" s="75"/>
      <c r="I172" s="75"/>
      <c r="J172" s="75"/>
      <c r="K172" s="75"/>
    </row>
    <row r="173" spans="1:11" ht="20.25" customHeight="1" x14ac:dyDescent="0.3">
      <c r="A173" s="109"/>
      <c r="B173" s="100"/>
      <c r="C173" s="7"/>
      <c r="D173" s="101"/>
      <c r="E173" s="102"/>
      <c r="F173" s="75"/>
      <c r="G173" s="150"/>
      <c r="H173" s="75"/>
      <c r="I173" s="75"/>
      <c r="J173" s="75"/>
      <c r="K173" s="75"/>
    </row>
    <row r="174" spans="1:11" ht="20.25" customHeight="1" x14ac:dyDescent="0.3">
      <c r="A174" s="109"/>
      <c r="B174" s="100"/>
      <c r="C174" s="7"/>
      <c r="D174" s="101"/>
      <c r="E174" s="102"/>
      <c r="F174" s="75"/>
      <c r="G174" s="150"/>
      <c r="H174" s="75"/>
      <c r="I174" s="75"/>
      <c r="J174" s="75"/>
      <c r="K174" s="75"/>
    </row>
    <row r="175" spans="1:11" ht="20.25" customHeight="1" x14ac:dyDescent="0.3">
      <c r="A175" s="109"/>
      <c r="B175" s="100"/>
      <c r="C175" s="7"/>
      <c r="D175" s="101"/>
      <c r="E175" s="102"/>
      <c r="F175" s="75"/>
      <c r="G175" s="150"/>
      <c r="H175" s="75"/>
      <c r="I175" s="75"/>
      <c r="J175" s="75"/>
      <c r="K175" s="75"/>
    </row>
    <row r="176" spans="1:11" ht="20.25" customHeight="1" x14ac:dyDescent="0.3">
      <c r="A176" s="109"/>
      <c r="B176" s="100"/>
      <c r="C176" s="7"/>
      <c r="D176" s="101"/>
      <c r="E176" s="102"/>
      <c r="F176" s="75"/>
      <c r="G176" s="150"/>
      <c r="H176" s="75"/>
      <c r="I176" s="75"/>
      <c r="J176" s="75"/>
      <c r="K176" s="75"/>
    </row>
    <row r="177" spans="1:11" ht="20.25" customHeight="1" x14ac:dyDescent="0.3">
      <c r="A177" s="109"/>
      <c r="B177" s="100"/>
      <c r="C177" s="7"/>
      <c r="D177" s="101"/>
      <c r="E177" s="102"/>
      <c r="F177" s="75"/>
      <c r="G177" s="150"/>
      <c r="H177" s="75"/>
      <c r="I177" s="75"/>
      <c r="J177" s="75"/>
      <c r="K177" s="75"/>
    </row>
    <row r="178" spans="1:11" ht="20.25" customHeight="1" x14ac:dyDescent="0.3">
      <c r="A178" s="109"/>
      <c r="B178" s="100"/>
      <c r="C178" s="7"/>
      <c r="D178" s="101"/>
      <c r="E178" s="102"/>
      <c r="F178" s="75"/>
      <c r="G178" s="150"/>
      <c r="H178" s="75"/>
      <c r="I178" s="75"/>
      <c r="J178" s="75"/>
      <c r="K178" s="75"/>
    </row>
    <row r="179" spans="1:11" ht="20.25" customHeight="1" x14ac:dyDescent="0.3">
      <c r="A179" s="109"/>
      <c r="B179" s="100"/>
      <c r="C179" s="7"/>
      <c r="D179" s="101"/>
      <c r="E179" s="102"/>
      <c r="F179" s="75"/>
      <c r="G179" s="150"/>
      <c r="H179" s="75"/>
      <c r="I179" s="75"/>
      <c r="J179" s="75"/>
      <c r="K179" s="75"/>
    </row>
    <row r="180" spans="1:11" ht="20.25" customHeight="1" x14ac:dyDescent="0.3">
      <c r="A180" s="109"/>
      <c r="B180" s="100"/>
      <c r="C180" s="7"/>
      <c r="D180" s="101"/>
      <c r="E180" s="102"/>
      <c r="F180" s="75"/>
      <c r="G180" s="150"/>
      <c r="H180" s="75"/>
      <c r="I180" s="75"/>
      <c r="J180" s="75"/>
      <c r="K180" s="75"/>
    </row>
    <row r="181" spans="1:11" ht="20.25" customHeight="1" x14ac:dyDescent="0.3">
      <c r="A181" s="109"/>
      <c r="B181" s="100"/>
      <c r="C181" s="7"/>
      <c r="D181" s="101"/>
      <c r="E181" s="102"/>
      <c r="F181" s="75"/>
      <c r="G181" s="150"/>
      <c r="H181" s="75"/>
      <c r="I181" s="75"/>
      <c r="J181" s="75"/>
      <c r="K181" s="75"/>
    </row>
    <row r="182" spans="1:11" ht="20.25" customHeight="1" x14ac:dyDescent="0.3">
      <c r="A182" s="109"/>
      <c r="B182" s="100"/>
      <c r="C182" s="7"/>
      <c r="D182" s="101"/>
      <c r="E182" s="102"/>
      <c r="F182" s="75"/>
      <c r="G182" s="150"/>
      <c r="H182" s="75"/>
      <c r="I182" s="75"/>
      <c r="J182" s="75"/>
      <c r="K182" s="75"/>
    </row>
    <row r="183" spans="1:11" ht="20.25" customHeight="1" x14ac:dyDescent="0.3">
      <c r="A183" s="109"/>
      <c r="B183" s="100"/>
      <c r="C183" s="7"/>
      <c r="D183" s="101"/>
      <c r="E183" s="102"/>
      <c r="F183" s="75"/>
      <c r="G183" s="150"/>
      <c r="H183" s="75"/>
      <c r="I183" s="75"/>
      <c r="J183" s="75"/>
      <c r="K183" s="75"/>
    </row>
    <row r="184" spans="1:11" ht="20.25" customHeight="1" x14ac:dyDescent="0.3">
      <c r="A184" s="109"/>
      <c r="B184" s="100"/>
      <c r="C184" s="7"/>
      <c r="D184" s="101"/>
      <c r="E184" s="102"/>
      <c r="F184" s="75"/>
      <c r="G184" s="150"/>
      <c r="H184" s="75"/>
      <c r="I184" s="75"/>
      <c r="J184" s="75"/>
      <c r="K184" s="75"/>
    </row>
    <row r="185" spans="1:11" ht="20.25" customHeight="1" x14ac:dyDescent="0.3">
      <c r="A185" s="109"/>
      <c r="B185" s="100"/>
      <c r="C185" s="7"/>
      <c r="D185" s="101"/>
      <c r="E185" s="102"/>
      <c r="F185" s="75"/>
      <c r="G185" s="150"/>
      <c r="H185" s="75"/>
      <c r="I185" s="75"/>
      <c r="J185" s="75"/>
      <c r="K185" s="75"/>
    </row>
    <row r="186" spans="1:11" ht="20.25" customHeight="1" x14ac:dyDescent="0.3">
      <c r="A186" s="109"/>
      <c r="B186" s="100"/>
      <c r="C186" s="7"/>
      <c r="D186" s="101"/>
      <c r="E186" s="102"/>
      <c r="F186" s="75"/>
      <c r="G186" s="150"/>
      <c r="H186" s="75"/>
      <c r="I186" s="75"/>
      <c r="J186" s="75"/>
      <c r="K186" s="75"/>
    </row>
    <row r="187" spans="1:11" ht="20.25" customHeight="1" x14ac:dyDescent="0.3">
      <c r="A187" s="109"/>
      <c r="B187" s="100"/>
      <c r="C187" s="7"/>
      <c r="D187" s="101"/>
      <c r="E187" s="102"/>
      <c r="F187" s="75"/>
      <c r="G187" s="150"/>
      <c r="H187" s="75"/>
      <c r="I187" s="75"/>
      <c r="J187" s="75"/>
      <c r="K187" s="75"/>
    </row>
    <row r="188" spans="1:11" ht="20.25" customHeight="1" x14ac:dyDescent="0.3">
      <c r="A188" s="109"/>
      <c r="B188" s="100"/>
      <c r="C188" s="7"/>
      <c r="D188" s="101"/>
      <c r="E188" s="102"/>
      <c r="F188" s="75"/>
      <c r="G188" s="150"/>
      <c r="H188" s="75"/>
      <c r="I188" s="75"/>
      <c r="J188" s="75"/>
      <c r="K188" s="75"/>
    </row>
    <row r="189" spans="1:11" ht="20.25" customHeight="1" x14ac:dyDescent="0.3">
      <c r="A189" s="109"/>
      <c r="B189" s="100"/>
      <c r="C189" s="7"/>
      <c r="D189" s="101"/>
      <c r="E189" s="102"/>
      <c r="F189" s="75"/>
      <c r="G189" s="150"/>
      <c r="H189" s="75"/>
      <c r="I189" s="75"/>
      <c r="J189" s="75"/>
      <c r="K189" s="75"/>
    </row>
    <row r="190" spans="1:11" ht="20.25" customHeight="1" x14ac:dyDescent="0.3">
      <c r="A190" s="109"/>
      <c r="B190" s="100"/>
      <c r="C190" s="7"/>
      <c r="D190" s="101"/>
      <c r="E190" s="102"/>
      <c r="F190" s="75"/>
      <c r="G190" s="150"/>
      <c r="H190" s="75"/>
      <c r="I190" s="75"/>
      <c r="J190" s="75"/>
      <c r="K190" s="75"/>
    </row>
    <row r="191" spans="1:11" ht="20.25" customHeight="1" x14ac:dyDescent="0.3">
      <c r="A191" s="109"/>
      <c r="B191" s="100"/>
      <c r="C191" s="7"/>
      <c r="D191" s="101"/>
      <c r="E191" s="102"/>
      <c r="F191" s="75"/>
      <c r="G191" s="150"/>
      <c r="H191" s="75"/>
      <c r="I191" s="75"/>
      <c r="J191" s="75"/>
      <c r="K191" s="75"/>
    </row>
    <row r="192" spans="1:11" ht="20.25" customHeight="1" x14ac:dyDescent="0.3">
      <c r="A192" s="109"/>
      <c r="B192" s="100"/>
      <c r="C192" s="7"/>
      <c r="D192" s="101"/>
      <c r="E192" s="102"/>
      <c r="F192" s="75"/>
      <c r="G192" s="150"/>
      <c r="H192" s="75"/>
      <c r="I192" s="75"/>
      <c r="J192" s="75"/>
      <c r="K192" s="75"/>
    </row>
    <row r="193" spans="1:11" ht="20.25" customHeight="1" x14ac:dyDescent="0.3">
      <c r="A193" s="109"/>
      <c r="B193" s="100"/>
      <c r="C193" s="7"/>
      <c r="D193" s="101"/>
      <c r="E193" s="102"/>
      <c r="F193" s="75"/>
      <c r="G193" s="150"/>
      <c r="H193" s="75"/>
      <c r="I193" s="75"/>
      <c r="J193" s="75"/>
      <c r="K193" s="75"/>
    </row>
    <row r="194" spans="1:11" ht="20.25" customHeight="1" x14ac:dyDescent="0.3">
      <c r="A194" s="109"/>
      <c r="B194" s="100"/>
      <c r="C194" s="7"/>
      <c r="D194" s="101"/>
      <c r="E194" s="102"/>
      <c r="F194" s="75"/>
      <c r="G194" s="150"/>
      <c r="H194" s="75"/>
      <c r="I194" s="75"/>
      <c r="J194" s="75"/>
      <c r="K194" s="75"/>
    </row>
    <row r="195" spans="1:11" ht="20.25" customHeight="1" x14ac:dyDescent="0.3">
      <c r="A195" s="109"/>
      <c r="B195" s="100"/>
      <c r="C195" s="7"/>
      <c r="D195" s="101"/>
      <c r="E195" s="102"/>
      <c r="F195" s="75"/>
      <c r="G195" s="150"/>
      <c r="H195" s="75"/>
      <c r="I195" s="75"/>
      <c r="J195" s="75"/>
      <c r="K195" s="75"/>
    </row>
    <row r="196" spans="1:11" ht="20.25" customHeight="1" x14ac:dyDescent="0.3">
      <c r="A196" s="109"/>
      <c r="B196" s="100"/>
      <c r="C196" s="7"/>
      <c r="D196" s="101"/>
      <c r="E196" s="102"/>
      <c r="F196" s="75"/>
      <c r="G196" s="150"/>
      <c r="H196" s="75"/>
      <c r="I196" s="75"/>
      <c r="J196" s="75"/>
      <c r="K196" s="75"/>
    </row>
    <row r="197" spans="1:11" ht="20.25" customHeight="1" x14ac:dyDescent="0.3">
      <c r="A197" s="109"/>
      <c r="B197" s="100"/>
      <c r="C197" s="7"/>
      <c r="D197" s="101"/>
      <c r="E197" s="102"/>
      <c r="F197" s="75"/>
      <c r="G197" s="150"/>
      <c r="H197" s="75"/>
      <c r="I197" s="75"/>
      <c r="J197" s="75"/>
      <c r="K197" s="75"/>
    </row>
    <row r="198" spans="1:11" ht="20.25" customHeight="1" x14ac:dyDescent="0.3">
      <c r="A198" s="109"/>
      <c r="B198" s="100"/>
      <c r="C198" s="7"/>
      <c r="D198" s="101"/>
      <c r="E198" s="102"/>
      <c r="F198" s="75"/>
      <c r="G198" s="150"/>
      <c r="H198" s="75"/>
      <c r="I198" s="75"/>
      <c r="J198" s="75"/>
      <c r="K198" s="75"/>
    </row>
    <row r="199" spans="1:11" ht="20.25" customHeight="1" x14ac:dyDescent="0.3">
      <c r="A199" s="109"/>
      <c r="B199" s="100"/>
      <c r="C199" s="7"/>
      <c r="D199" s="101"/>
      <c r="E199" s="102"/>
      <c r="F199" s="75"/>
      <c r="G199" s="150"/>
      <c r="H199" s="75"/>
      <c r="I199" s="75"/>
      <c r="J199" s="75"/>
      <c r="K199" s="75"/>
    </row>
    <row r="200" spans="1:11" ht="20.25" customHeight="1" x14ac:dyDescent="0.3">
      <c r="A200" s="109"/>
      <c r="B200" s="100"/>
      <c r="C200" s="7"/>
      <c r="D200" s="101"/>
      <c r="E200" s="102"/>
      <c r="F200" s="75"/>
      <c r="G200" s="150"/>
      <c r="H200" s="75"/>
      <c r="I200" s="75"/>
      <c r="J200" s="75"/>
      <c r="K200" s="75"/>
    </row>
    <row r="201" spans="1:11" ht="20.25" customHeight="1" x14ac:dyDescent="0.3">
      <c r="A201" s="109"/>
      <c r="B201" s="100"/>
      <c r="C201" s="7"/>
      <c r="D201" s="101"/>
      <c r="E201" s="102"/>
      <c r="F201" s="75"/>
      <c r="G201" s="150"/>
      <c r="H201" s="75"/>
      <c r="I201" s="75"/>
      <c r="J201" s="75"/>
      <c r="K201" s="75"/>
    </row>
    <row r="202" spans="1:11" ht="20.25" customHeight="1" x14ac:dyDescent="0.3">
      <c r="A202" s="109"/>
      <c r="B202" s="100"/>
      <c r="C202" s="7"/>
      <c r="D202" s="101"/>
      <c r="E202" s="102"/>
      <c r="F202" s="75"/>
      <c r="G202" s="150"/>
      <c r="H202" s="75"/>
      <c r="I202" s="75"/>
      <c r="J202" s="75"/>
      <c r="K202" s="75"/>
    </row>
    <row r="203" spans="1:11" ht="20.25" customHeight="1" x14ac:dyDescent="0.3">
      <c r="A203" s="109"/>
      <c r="B203" s="100"/>
      <c r="C203" s="7"/>
      <c r="D203" s="101"/>
      <c r="E203" s="102"/>
      <c r="F203" s="75"/>
      <c r="G203" s="150"/>
      <c r="H203" s="75"/>
      <c r="I203" s="75"/>
      <c r="J203" s="75"/>
      <c r="K203" s="75"/>
    </row>
    <row r="204" spans="1:11" ht="20.25" customHeight="1" x14ac:dyDescent="0.3">
      <c r="A204" s="109"/>
      <c r="B204" s="100"/>
      <c r="C204" s="7"/>
      <c r="D204" s="101"/>
      <c r="E204" s="102"/>
      <c r="F204" s="75"/>
      <c r="G204" s="150"/>
      <c r="H204" s="75"/>
      <c r="I204" s="75"/>
      <c r="J204" s="75"/>
      <c r="K204" s="75"/>
    </row>
    <row r="205" spans="1:11" ht="20.25" customHeight="1" x14ac:dyDescent="0.3">
      <c r="A205" s="109"/>
      <c r="B205" s="100"/>
      <c r="C205" s="7"/>
      <c r="D205" s="101"/>
      <c r="E205" s="102"/>
      <c r="F205" s="75"/>
      <c r="G205" s="150"/>
      <c r="H205" s="75"/>
      <c r="I205" s="75"/>
      <c r="J205" s="75"/>
      <c r="K205" s="75"/>
    </row>
    <row r="206" spans="1:11" ht="20.25" customHeight="1" x14ac:dyDescent="0.3">
      <c r="A206" s="109"/>
      <c r="B206" s="100"/>
      <c r="C206" s="7"/>
      <c r="D206" s="101"/>
      <c r="E206" s="102"/>
      <c r="F206" s="75"/>
      <c r="G206" s="150"/>
      <c r="H206" s="75"/>
      <c r="I206" s="75"/>
      <c r="J206" s="75"/>
      <c r="K206" s="75"/>
    </row>
    <row r="207" spans="1:11" ht="20.25" customHeight="1" x14ac:dyDescent="0.3">
      <c r="A207" s="109"/>
      <c r="B207" s="100"/>
      <c r="C207" s="7"/>
      <c r="D207" s="101"/>
      <c r="E207" s="102"/>
      <c r="F207" s="75"/>
      <c r="G207" s="150"/>
      <c r="H207" s="75"/>
      <c r="I207" s="75"/>
      <c r="J207" s="75"/>
      <c r="K207" s="75"/>
    </row>
    <row r="208" spans="1:11" ht="20.25" customHeight="1" x14ac:dyDescent="0.3">
      <c r="A208" s="109"/>
      <c r="B208" s="100"/>
      <c r="C208" s="7"/>
      <c r="D208" s="101"/>
      <c r="E208" s="102"/>
      <c r="F208" s="75"/>
      <c r="G208" s="150"/>
      <c r="H208" s="75"/>
      <c r="I208" s="75"/>
      <c r="J208" s="75"/>
      <c r="K208" s="75"/>
    </row>
    <row r="209" spans="1:11" ht="20.25" customHeight="1" x14ac:dyDescent="0.3">
      <c r="A209" s="109"/>
      <c r="B209" s="100"/>
      <c r="C209" s="7"/>
      <c r="D209" s="101"/>
      <c r="E209" s="102"/>
      <c r="F209" s="75"/>
      <c r="G209" s="150"/>
      <c r="H209" s="75"/>
      <c r="I209" s="75"/>
      <c r="J209" s="75"/>
      <c r="K209" s="75"/>
    </row>
    <row r="210" spans="1:11" ht="20.25" customHeight="1" x14ac:dyDescent="0.3">
      <c r="A210" s="109"/>
      <c r="B210" s="100"/>
      <c r="C210" s="7"/>
      <c r="D210" s="101"/>
      <c r="E210" s="102"/>
      <c r="F210" s="75"/>
      <c r="G210" s="150"/>
      <c r="H210" s="75"/>
      <c r="I210" s="75"/>
      <c r="J210" s="75"/>
      <c r="K210" s="75"/>
    </row>
    <row r="211" spans="1:11" ht="20.25" customHeight="1" x14ac:dyDescent="0.3">
      <c r="A211" s="109"/>
      <c r="B211" s="100"/>
      <c r="C211" s="7"/>
      <c r="D211" s="101"/>
      <c r="E211" s="102"/>
      <c r="F211" s="75"/>
      <c r="G211" s="150"/>
      <c r="H211" s="75"/>
      <c r="I211" s="75"/>
      <c r="J211" s="75"/>
      <c r="K211" s="75"/>
    </row>
    <row r="212" spans="1:11" ht="20.25" customHeight="1" x14ac:dyDescent="0.3">
      <c r="A212" s="109"/>
      <c r="B212" s="100"/>
      <c r="C212" s="7"/>
      <c r="D212" s="101"/>
      <c r="E212" s="102"/>
      <c r="F212" s="75"/>
      <c r="G212" s="150"/>
      <c r="H212" s="75"/>
      <c r="I212" s="75"/>
      <c r="J212" s="75"/>
      <c r="K212" s="75"/>
    </row>
    <row r="213" spans="1:11" ht="20.25" customHeight="1" x14ac:dyDescent="0.3">
      <c r="A213" s="109"/>
      <c r="B213" s="100"/>
      <c r="C213" s="7"/>
      <c r="D213" s="101"/>
      <c r="E213" s="102"/>
      <c r="F213" s="75"/>
      <c r="G213" s="150"/>
      <c r="H213" s="75"/>
      <c r="I213" s="75"/>
      <c r="J213" s="75"/>
      <c r="K213" s="75"/>
    </row>
    <row r="214" spans="1:11" ht="20.25" customHeight="1" x14ac:dyDescent="0.3">
      <c r="A214" s="109"/>
      <c r="B214" s="100"/>
      <c r="C214" s="7"/>
      <c r="D214" s="101"/>
      <c r="E214" s="102"/>
      <c r="F214" s="75"/>
      <c r="G214" s="150"/>
      <c r="H214" s="75"/>
      <c r="I214" s="75"/>
      <c r="J214" s="75"/>
      <c r="K214" s="75"/>
    </row>
    <row r="215" spans="1:11" ht="20.25" customHeight="1" x14ac:dyDescent="0.3">
      <c r="A215" s="109"/>
      <c r="B215" s="100"/>
      <c r="C215" s="7"/>
      <c r="D215" s="101"/>
      <c r="E215" s="102"/>
      <c r="F215" s="75"/>
      <c r="G215" s="150"/>
      <c r="H215" s="75"/>
      <c r="I215" s="75"/>
      <c r="J215" s="75"/>
      <c r="K215" s="75"/>
    </row>
    <row r="216" spans="1:11" ht="20.25" customHeight="1" x14ac:dyDescent="0.3">
      <c r="A216" s="109"/>
      <c r="B216" s="100"/>
      <c r="C216" s="7"/>
      <c r="D216" s="101"/>
      <c r="E216" s="102"/>
      <c r="F216" s="75"/>
      <c r="G216" s="150"/>
      <c r="H216" s="75"/>
      <c r="I216" s="75"/>
      <c r="J216" s="75"/>
      <c r="K216" s="75"/>
    </row>
    <row r="217" spans="1:11" ht="20.25" customHeight="1" x14ac:dyDescent="0.3">
      <c r="A217" s="109"/>
      <c r="B217" s="100"/>
      <c r="C217" s="7"/>
      <c r="D217" s="101"/>
      <c r="E217" s="102"/>
      <c r="F217" s="75"/>
      <c r="G217" s="150"/>
      <c r="H217" s="75"/>
      <c r="I217" s="75"/>
      <c r="J217" s="75"/>
      <c r="K217" s="75"/>
    </row>
    <row r="218" spans="1:11" ht="20.25" customHeight="1" x14ac:dyDescent="0.3">
      <c r="A218" s="109"/>
      <c r="B218" s="100"/>
      <c r="C218" s="7"/>
      <c r="D218" s="101"/>
      <c r="E218" s="102"/>
      <c r="F218" s="75"/>
      <c r="G218" s="150"/>
      <c r="H218" s="75"/>
      <c r="I218" s="75"/>
      <c r="J218" s="75"/>
      <c r="K218" s="75"/>
    </row>
    <row r="219" spans="1:11" ht="20.25" customHeight="1" x14ac:dyDescent="0.3">
      <c r="A219" s="109"/>
      <c r="B219" s="100"/>
      <c r="C219" s="7"/>
      <c r="D219" s="101"/>
      <c r="E219" s="102"/>
      <c r="F219" s="75"/>
      <c r="G219" s="150"/>
      <c r="H219" s="75"/>
      <c r="I219" s="75"/>
      <c r="J219" s="75"/>
      <c r="K219" s="75"/>
    </row>
    <row r="220" spans="1:11" ht="20.25" customHeight="1" x14ac:dyDescent="0.3">
      <c r="A220" s="109"/>
      <c r="B220" s="100"/>
      <c r="C220" s="7"/>
      <c r="D220" s="101"/>
      <c r="E220" s="102"/>
      <c r="F220" s="75"/>
      <c r="G220" s="150"/>
      <c r="H220" s="75"/>
      <c r="I220" s="75"/>
      <c r="J220" s="75"/>
      <c r="K220" s="75"/>
    </row>
    <row r="221" spans="1:11" ht="20.25" customHeight="1" x14ac:dyDescent="0.3">
      <c r="A221" s="109"/>
      <c r="B221" s="100"/>
      <c r="C221" s="7"/>
      <c r="D221" s="101"/>
      <c r="E221" s="102"/>
      <c r="F221" s="75"/>
      <c r="G221" s="150"/>
      <c r="H221" s="75"/>
      <c r="I221" s="75"/>
      <c r="J221" s="75"/>
      <c r="K221" s="75"/>
    </row>
    <row r="222" spans="1:11" ht="20.25" customHeight="1" x14ac:dyDescent="0.3">
      <c r="A222" s="109"/>
      <c r="B222" s="100"/>
      <c r="C222" s="7"/>
      <c r="D222" s="101"/>
      <c r="E222" s="102"/>
      <c r="F222" s="75"/>
      <c r="G222" s="150"/>
      <c r="H222" s="75"/>
      <c r="I222" s="75"/>
      <c r="J222" s="75"/>
      <c r="K222" s="75"/>
    </row>
    <row r="223" spans="1:11" ht="20.25" customHeight="1" x14ac:dyDescent="0.3">
      <c r="A223" s="109"/>
      <c r="B223" s="100"/>
      <c r="C223" s="7"/>
      <c r="D223" s="101"/>
      <c r="E223" s="102"/>
      <c r="F223" s="75"/>
      <c r="G223" s="150"/>
      <c r="H223" s="75"/>
      <c r="I223" s="75"/>
      <c r="J223" s="75"/>
      <c r="K223" s="75"/>
    </row>
    <row r="224" spans="1:11" ht="20.25" customHeight="1" x14ac:dyDescent="0.3">
      <c r="A224" s="109"/>
      <c r="B224" s="100"/>
      <c r="C224" s="7"/>
      <c r="D224" s="101"/>
      <c r="E224" s="102"/>
      <c r="F224" s="75"/>
      <c r="G224" s="150"/>
      <c r="H224" s="75"/>
      <c r="I224" s="75"/>
      <c r="J224" s="75"/>
      <c r="K224" s="75"/>
    </row>
    <row r="225" spans="1:11" ht="20.25" customHeight="1" x14ac:dyDescent="0.3">
      <c r="A225" s="109"/>
      <c r="B225" s="100"/>
      <c r="C225" s="7"/>
      <c r="D225" s="101"/>
      <c r="E225" s="102"/>
      <c r="F225" s="75"/>
      <c r="G225" s="150"/>
      <c r="H225" s="75"/>
      <c r="I225" s="75"/>
      <c r="J225" s="75"/>
      <c r="K225" s="75"/>
    </row>
    <row r="226" spans="1:11" ht="20.25" customHeight="1" x14ac:dyDescent="0.3">
      <c r="A226" s="109"/>
      <c r="B226" s="100"/>
      <c r="C226" s="7"/>
      <c r="D226" s="101"/>
      <c r="E226" s="102"/>
      <c r="F226" s="75"/>
      <c r="G226" s="150"/>
      <c r="H226" s="75"/>
      <c r="I226" s="75"/>
      <c r="J226" s="75"/>
      <c r="K226" s="75"/>
    </row>
    <row r="227" spans="1:11" ht="20.25" customHeight="1" x14ac:dyDescent="0.3">
      <c r="A227" s="109"/>
      <c r="B227" s="100"/>
      <c r="C227" s="7"/>
      <c r="D227" s="101"/>
      <c r="E227" s="102"/>
      <c r="F227" s="75"/>
      <c r="G227" s="150"/>
      <c r="H227" s="75"/>
      <c r="I227" s="75"/>
      <c r="J227" s="75"/>
      <c r="K227" s="75"/>
    </row>
    <row r="228" spans="1:11" ht="20.25" customHeight="1" x14ac:dyDescent="0.3">
      <c r="A228" s="109"/>
      <c r="B228" s="100"/>
      <c r="C228" s="7"/>
      <c r="D228" s="101"/>
      <c r="E228" s="102"/>
      <c r="F228" s="75"/>
      <c r="G228" s="150"/>
      <c r="H228" s="75"/>
      <c r="I228" s="75"/>
      <c r="J228" s="75"/>
      <c r="K228" s="75"/>
    </row>
    <row r="229" spans="1:11" ht="20.25" customHeight="1" x14ac:dyDescent="0.3">
      <c r="A229" s="109"/>
      <c r="B229" s="100"/>
      <c r="C229" s="7"/>
      <c r="D229" s="101"/>
      <c r="E229" s="102"/>
      <c r="F229" s="75"/>
      <c r="G229" s="150"/>
      <c r="H229" s="75"/>
      <c r="I229" s="75"/>
      <c r="J229" s="75"/>
      <c r="K229" s="75"/>
    </row>
    <row r="230" spans="1:11" ht="20.25" customHeight="1" x14ac:dyDescent="0.3">
      <c r="A230" s="109"/>
      <c r="B230" s="100"/>
      <c r="C230" s="7"/>
      <c r="D230" s="101"/>
      <c r="E230" s="102"/>
      <c r="F230" s="75"/>
      <c r="G230" s="150"/>
      <c r="H230" s="75"/>
      <c r="I230" s="75"/>
      <c r="J230" s="75"/>
      <c r="K230" s="75"/>
    </row>
    <row r="231" spans="1:11" ht="20.25" customHeight="1" x14ac:dyDescent="0.3">
      <c r="A231" s="109"/>
      <c r="B231" s="100"/>
      <c r="C231" s="7"/>
      <c r="D231" s="101"/>
      <c r="E231" s="102"/>
      <c r="F231" s="75"/>
      <c r="G231" s="150"/>
      <c r="H231" s="75"/>
      <c r="I231" s="75"/>
      <c r="J231" s="75"/>
      <c r="K231" s="75"/>
    </row>
    <row r="232" spans="1:11" ht="20.25" customHeight="1" x14ac:dyDescent="0.3">
      <c r="A232" s="109"/>
      <c r="B232" s="100"/>
      <c r="C232" s="7"/>
      <c r="D232" s="101"/>
      <c r="E232" s="102"/>
      <c r="F232" s="75"/>
      <c r="G232" s="150"/>
      <c r="H232" s="75"/>
      <c r="I232" s="75"/>
      <c r="J232" s="75"/>
      <c r="K232" s="75"/>
    </row>
    <row r="233" spans="1:11" ht="20.25" customHeight="1" x14ac:dyDescent="0.3">
      <c r="A233" s="109"/>
      <c r="B233" s="100"/>
      <c r="C233" s="7"/>
      <c r="D233" s="101"/>
      <c r="E233" s="102"/>
      <c r="F233" s="75"/>
      <c r="G233" s="150"/>
      <c r="H233" s="75"/>
      <c r="I233" s="75"/>
      <c r="J233" s="75"/>
      <c r="K233" s="75"/>
    </row>
    <row r="234" spans="1:11" ht="20.25" customHeight="1" x14ac:dyDescent="0.3">
      <c r="A234" s="109"/>
      <c r="B234" s="100"/>
      <c r="C234" s="7"/>
      <c r="D234" s="101"/>
      <c r="E234" s="102"/>
      <c r="F234" s="75"/>
      <c r="G234" s="150"/>
      <c r="H234" s="75"/>
      <c r="I234" s="75"/>
      <c r="J234" s="75"/>
      <c r="K234" s="75"/>
    </row>
    <row r="235" spans="1:11" ht="20.25" customHeight="1" x14ac:dyDescent="0.3">
      <c r="A235" s="109"/>
      <c r="B235" s="100"/>
      <c r="C235" s="7"/>
      <c r="D235" s="101"/>
      <c r="E235" s="102"/>
      <c r="F235" s="75"/>
      <c r="G235" s="150"/>
      <c r="H235" s="75"/>
      <c r="I235" s="75"/>
      <c r="J235" s="75"/>
      <c r="K235" s="75"/>
    </row>
    <row r="236" spans="1:11" ht="20.25" customHeight="1" x14ac:dyDescent="0.3">
      <c r="A236" s="109"/>
      <c r="B236" s="100"/>
      <c r="C236" s="7"/>
      <c r="D236" s="101"/>
      <c r="E236" s="102"/>
      <c r="F236" s="75"/>
      <c r="G236" s="150"/>
      <c r="H236" s="75"/>
      <c r="I236" s="75"/>
      <c r="J236" s="75"/>
      <c r="K236" s="75"/>
    </row>
    <row r="237" spans="1:11" ht="20.25" customHeight="1" x14ac:dyDescent="0.3">
      <c r="A237" s="109"/>
      <c r="B237" s="100"/>
      <c r="C237" s="7"/>
      <c r="D237" s="101"/>
      <c r="E237" s="102"/>
      <c r="F237" s="75"/>
      <c r="G237" s="150"/>
      <c r="H237" s="75"/>
      <c r="I237" s="75"/>
      <c r="J237" s="75"/>
      <c r="K237" s="75"/>
    </row>
    <row r="238" spans="1:11" ht="20.25" customHeight="1" x14ac:dyDescent="0.3">
      <c r="A238" s="109"/>
      <c r="B238" s="100"/>
      <c r="C238" s="7"/>
      <c r="D238" s="101"/>
      <c r="E238" s="102"/>
      <c r="F238" s="75"/>
      <c r="G238" s="150"/>
      <c r="H238" s="75"/>
      <c r="I238" s="75"/>
      <c r="J238" s="75"/>
      <c r="K238" s="75"/>
    </row>
    <row r="239" spans="1:11" ht="20.25" customHeight="1" x14ac:dyDescent="0.3">
      <c r="A239" s="109"/>
      <c r="B239" s="100"/>
      <c r="C239" s="7"/>
      <c r="D239" s="101"/>
      <c r="E239" s="102"/>
      <c r="F239" s="75"/>
      <c r="G239" s="150"/>
      <c r="H239" s="75"/>
      <c r="I239" s="75"/>
      <c r="J239" s="75"/>
      <c r="K239" s="75"/>
    </row>
    <row r="240" spans="1:11" ht="20.25" customHeight="1" x14ac:dyDescent="0.3">
      <c r="A240" s="109"/>
      <c r="B240" s="100"/>
      <c r="C240" s="7"/>
      <c r="D240" s="101"/>
      <c r="E240" s="102"/>
      <c r="F240" s="75"/>
      <c r="G240" s="150"/>
      <c r="H240" s="75"/>
      <c r="I240" s="75"/>
      <c r="J240" s="75"/>
      <c r="K240" s="75"/>
    </row>
    <row r="241" spans="1:11" ht="20.25" customHeight="1" x14ac:dyDescent="0.3">
      <c r="A241" s="109"/>
      <c r="B241" s="100"/>
      <c r="C241" s="7"/>
      <c r="D241" s="101"/>
      <c r="E241" s="102"/>
      <c r="F241" s="75"/>
      <c r="G241" s="150"/>
      <c r="H241" s="75"/>
      <c r="I241" s="75"/>
      <c r="J241" s="75"/>
      <c r="K241" s="75"/>
    </row>
    <row r="242" spans="1:11" ht="20.25" customHeight="1" x14ac:dyDescent="0.3">
      <c r="A242" s="109"/>
      <c r="B242" s="100"/>
      <c r="C242" s="7"/>
      <c r="D242" s="101"/>
      <c r="E242" s="102"/>
      <c r="F242" s="75"/>
      <c r="G242" s="150"/>
      <c r="H242" s="75"/>
      <c r="I242" s="75"/>
      <c r="J242" s="75"/>
      <c r="K242" s="75"/>
    </row>
    <row r="243" spans="1:11" ht="20.25" customHeight="1" x14ac:dyDescent="0.3">
      <c r="A243" s="109"/>
      <c r="B243" s="100"/>
      <c r="C243" s="7"/>
      <c r="D243" s="101"/>
      <c r="E243" s="102"/>
      <c r="F243" s="75"/>
      <c r="G243" s="150"/>
      <c r="H243" s="75"/>
      <c r="I243" s="75"/>
      <c r="J243" s="75"/>
      <c r="K243" s="75"/>
    </row>
    <row r="244" spans="1:11" ht="20.25" customHeight="1" x14ac:dyDescent="0.3">
      <c r="A244" s="109"/>
      <c r="B244" s="100"/>
      <c r="C244" s="7"/>
      <c r="D244" s="101"/>
      <c r="E244" s="102"/>
      <c r="F244" s="75"/>
      <c r="G244" s="150"/>
      <c r="H244" s="75"/>
      <c r="I244" s="75"/>
      <c r="J244" s="75"/>
      <c r="K244" s="75"/>
    </row>
    <row r="245" spans="1:11" ht="20.25" customHeight="1" x14ac:dyDescent="0.3">
      <c r="A245" s="109"/>
      <c r="B245" s="100"/>
      <c r="C245" s="7"/>
      <c r="D245" s="101"/>
      <c r="E245" s="102"/>
      <c r="F245" s="75"/>
      <c r="G245" s="150"/>
      <c r="H245" s="75"/>
      <c r="I245" s="75"/>
      <c r="J245" s="75"/>
      <c r="K245" s="75"/>
    </row>
    <row r="246" spans="1:11" ht="20.25" customHeight="1" x14ac:dyDescent="0.3">
      <c r="A246" s="109"/>
      <c r="B246" s="100"/>
      <c r="C246" s="7"/>
      <c r="D246" s="101"/>
      <c r="E246" s="102"/>
      <c r="F246" s="75"/>
      <c r="G246" s="150"/>
      <c r="H246" s="75"/>
      <c r="I246" s="75"/>
      <c r="J246" s="75"/>
      <c r="K246" s="75"/>
    </row>
    <row r="247" spans="1:11" ht="20.25" customHeight="1" x14ac:dyDescent="0.3">
      <c r="A247" s="109"/>
      <c r="B247" s="100"/>
      <c r="C247" s="7"/>
      <c r="D247" s="101"/>
      <c r="E247" s="102"/>
      <c r="F247" s="75"/>
      <c r="G247" s="150"/>
      <c r="H247" s="75"/>
      <c r="I247" s="75"/>
      <c r="J247" s="75"/>
      <c r="K247" s="75"/>
    </row>
    <row r="248" spans="1:11" ht="20.25" customHeight="1" x14ac:dyDescent="0.3">
      <c r="A248" s="109"/>
      <c r="B248" s="100"/>
      <c r="C248" s="7"/>
      <c r="D248" s="101"/>
      <c r="E248" s="102"/>
      <c r="F248" s="75"/>
      <c r="G248" s="150"/>
      <c r="H248" s="75"/>
      <c r="I248" s="75"/>
      <c r="J248" s="75"/>
      <c r="K248" s="75"/>
    </row>
    <row r="249" spans="1:11" ht="20.25" customHeight="1" x14ac:dyDescent="0.3">
      <c r="A249" s="109"/>
      <c r="B249" s="100"/>
      <c r="C249" s="7"/>
      <c r="D249" s="101"/>
      <c r="E249" s="102"/>
      <c r="F249" s="75"/>
      <c r="G249" s="150"/>
      <c r="H249" s="75"/>
      <c r="I249" s="75"/>
      <c r="J249" s="75"/>
      <c r="K249" s="75"/>
    </row>
    <row r="250" spans="1:11" ht="20.25" customHeight="1" x14ac:dyDescent="0.3">
      <c r="A250" s="109"/>
      <c r="B250" s="100"/>
      <c r="C250" s="7"/>
      <c r="D250" s="101"/>
      <c r="E250" s="102"/>
      <c r="F250" s="75"/>
      <c r="G250" s="150"/>
      <c r="H250" s="75"/>
      <c r="I250" s="75"/>
      <c r="J250" s="75"/>
      <c r="K250" s="75"/>
    </row>
    <row r="251" spans="1:11" ht="20.25" customHeight="1" x14ac:dyDescent="0.3">
      <c r="A251" s="109"/>
      <c r="B251" s="100"/>
      <c r="C251" s="7"/>
      <c r="D251" s="101"/>
      <c r="E251" s="102"/>
      <c r="F251" s="75"/>
      <c r="G251" s="150"/>
      <c r="H251" s="75"/>
      <c r="I251" s="75"/>
      <c r="J251" s="75"/>
      <c r="K251" s="75"/>
    </row>
    <row r="252" spans="1:11" ht="20.25" customHeight="1" x14ac:dyDescent="0.3">
      <c r="A252" s="109"/>
      <c r="B252" s="100"/>
      <c r="C252" s="7"/>
      <c r="D252" s="101"/>
      <c r="E252" s="102"/>
      <c r="F252" s="75"/>
      <c r="G252" s="150"/>
      <c r="H252" s="75"/>
      <c r="I252" s="75"/>
      <c r="J252" s="75"/>
      <c r="K252" s="75"/>
    </row>
    <row r="253" spans="1:11" ht="20.25" customHeight="1" x14ac:dyDescent="0.3">
      <c r="A253" s="109"/>
      <c r="B253" s="100"/>
      <c r="C253" s="7"/>
      <c r="D253" s="101"/>
      <c r="E253" s="102"/>
      <c r="F253" s="75"/>
      <c r="G253" s="150"/>
      <c r="H253" s="75"/>
      <c r="I253" s="75"/>
      <c r="J253" s="75"/>
      <c r="K253" s="75"/>
    </row>
    <row r="254" spans="1:11" ht="20.25" customHeight="1" x14ac:dyDescent="0.3">
      <c r="A254" s="109"/>
      <c r="B254" s="100"/>
      <c r="C254" s="7"/>
      <c r="D254" s="101"/>
      <c r="E254" s="102"/>
      <c r="F254" s="75"/>
      <c r="G254" s="150"/>
      <c r="H254" s="75"/>
      <c r="I254" s="75"/>
      <c r="J254" s="75"/>
      <c r="K254" s="75"/>
    </row>
    <row r="255" spans="1:11" ht="20.25" customHeight="1" x14ac:dyDescent="0.3">
      <c r="A255" s="109"/>
      <c r="B255" s="100"/>
      <c r="C255" s="7"/>
      <c r="D255" s="101"/>
      <c r="E255" s="102"/>
      <c r="F255" s="75"/>
      <c r="G255" s="150"/>
      <c r="H255" s="75"/>
      <c r="I255" s="75"/>
      <c r="J255" s="75"/>
      <c r="K255" s="75"/>
    </row>
    <row r="256" spans="1:11" ht="20.25" customHeight="1" x14ac:dyDescent="0.3">
      <c r="A256" s="109"/>
      <c r="B256" s="100"/>
      <c r="C256" s="7"/>
      <c r="D256" s="101"/>
      <c r="E256" s="102"/>
      <c r="F256" s="75"/>
      <c r="G256" s="150"/>
      <c r="H256" s="75"/>
      <c r="I256" s="75"/>
      <c r="J256" s="75"/>
      <c r="K256" s="75"/>
    </row>
    <row r="257" spans="1:11" ht="20.25" customHeight="1" x14ac:dyDescent="0.3">
      <c r="A257" s="109"/>
      <c r="B257" s="100"/>
      <c r="C257" s="7"/>
      <c r="D257" s="101"/>
      <c r="E257" s="102"/>
      <c r="F257" s="75"/>
      <c r="G257" s="150"/>
      <c r="H257" s="75"/>
      <c r="I257" s="75"/>
      <c r="J257" s="75"/>
      <c r="K257" s="75"/>
    </row>
    <row r="258" spans="1:11" ht="20.25" customHeight="1" x14ac:dyDescent="0.3">
      <c r="A258" s="109"/>
      <c r="B258" s="100"/>
      <c r="C258" s="7"/>
      <c r="D258" s="101"/>
      <c r="E258" s="102"/>
      <c r="F258" s="75"/>
      <c r="G258" s="150"/>
      <c r="H258" s="75"/>
      <c r="I258" s="75"/>
      <c r="J258" s="75"/>
      <c r="K258" s="75"/>
    </row>
    <row r="259" spans="1:11" ht="20.25" customHeight="1" x14ac:dyDescent="0.3">
      <c r="A259" s="109"/>
      <c r="B259" s="100"/>
      <c r="C259" s="7"/>
      <c r="D259" s="101"/>
      <c r="E259" s="102"/>
      <c r="F259" s="75"/>
      <c r="G259" s="150"/>
      <c r="H259" s="75"/>
      <c r="I259" s="75"/>
      <c r="J259" s="75"/>
      <c r="K259" s="75"/>
    </row>
    <row r="260" spans="1:11" ht="20.25" customHeight="1" x14ac:dyDescent="0.3">
      <c r="A260" s="109"/>
      <c r="B260" s="100"/>
      <c r="C260" s="7"/>
      <c r="D260" s="101"/>
      <c r="E260" s="102"/>
      <c r="F260" s="75"/>
      <c r="G260" s="150"/>
      <c r="H260" s="75"/>
      <c r="I260" s="75"/>
      <c r="J260" s="75"/>
      <c r="K260" s="75"/>
    </row>
    <row r="261" spans="1:11" ht="20.25" customHeight="1" x14ac:dyDescent="0.3">
      <c r="A261" s="109"/>
      <c r="B261" s="100"/>
      <c r="C261" s="7"/>
      <c r="D261" s="101"/>
      <c r="E261" s="102"/>
      <c r="F261" s="75"/>
      <c r="G261" s="150"/>
      <c r="H261" s="75"/>
      <c r="I261" s="75"/>
      <c r="J261" s="75"/>
      <c r="K261" s="75"/>
    </row>
    <row r="262" spans="1:11" ht="20.25" customHeight="1" x14ac:dyDescent="0.3">
      <c r="A262" s="109"/>
      <c r="B262" s="100"/>
      <c r="C262" s="7"/>
      <c r="D262" s="101"/>
      <c r="E262" s="102"/>
      <c r="F262" s="75"/>
      <c r="G262" s="150"/>
      <c r="H262" s="75"/>
      <c r="I262" s="75"/>
      <c r="J262" s="75"/>
      <c r="K262" s="75"/>
    </row>
    <row r="263" spans="1:11" ht="20.25" customHeight="1" x14ac:dyDescent="0.3">
      <c r="A263" s="109"/>
      <c r="B263" s="100"/>
      <c r="C263" s="7"/>
      <c r="D263" s="101"/>
      <c r="E263" s="102"/>
      <c r="F263" s="75"/>
      <c r="G263" s="150"/>
      <c r="H263" s="75"/>
      <c r="I263" s="75"/>
      <c r="J263" s="75"/>
      <c r="K263" s="75"/>
    </row>
    <row r="264" spans="1:11" ht="20.25" customHeight="1" x14ac:dyDescent="0.3">
      <c r="A264" s="109"/>
      <c r="B264" s="100"/>
      <c r="C264" s="7"/>
      <c r="D264" s="101"/>
      <c r="E264" s="102"/>
      <c r="F264" s="75"/>
      <c r="G264" s="150"/>
      <c r="H264" s="75"/>
      <c r="I264" s="75"/>
      <c r="J264" s="75"/>
      <c r="K264" s="75"/>
    </row>
    <row r="265" spans="1:11" ht="20.25" customHeight="1" x14ac:dyDescent="0.3">
      <c r="A265" s="109"/>
      <c r="B265" s="100"/>
      <c r="C265" s="7"/>
      <c r="D265" s="101"/>
      <c r="E265" s="102"/>
      <c r="F265" s="75"/>
      <c r="G265" s="150"/>
      <c r="H265" s="75"/>
      <c r="I265" s="75"/>
      <c r="J265" s="75"/>
      <c r="K265" s="75"/>
    </row>
    <row r="266" spans="1:11" ht="20.25" customHeight="1" x14ac:dyDescent="0.3">
      <c r="A266" s="109"/>
      <c r="B266" s="100"/>
      <c r="C266" s="7"/>
      <c r="D266" s="101"/>
      <c r="E266" s="102"/>
      <c r="F266" s="75"/>
      <c r="G266" s="150"/>
      <c r="H266" s="75"/>
      <c r="I266" s="75"/>
      <c r="J266" s="75"/>
      <c r="K266" s="75"/>
    </row>
    <row r="267" spans="1:11" ht="20.25" customHeight="1" x14ac:dyDescent="0.3">
      <c r="A267" s="109"/>
      <c r="B267" s="100"/>
      <c r="C267" s="7"/>
      <c r="D267" s="101"/>
      <c r="E267" s="102"/>
      <c r="F267" s="75"/>
      <c r="G267" s="150"/>
      <c r="H267" s="75"/>
      <c r="I267" s="75"/>
      <c r="J267" s="75"/>
      <c r="K267" s="75"/>
    </row>
    <row r="268" spans="1:11" ht="20.25" customHeight="1" x14ac:dyDescent="0.3">
      <c r="A268" s="109"/>
      <c r="B268" s="100"/>
      <c r="C268" s="7"/>
      <c r="D268" s="101"/>
      <c r="E268" s="102"/>
      <c r="F268" s="75"/>
      <c r="G268" s="150"/>
      <c r="H268" s="75"/>
      <c r="I268" s="75"/>
      <c r="J268" s="75"/>
      <c r="K268" s="75"/>
    </row>
    <row r="269" spans="1:11" ht="20.25" customHeight="1" x14ac:dyDescent="0.3">
      <c r="A269" s="109"/>
      <c r="B269" s="100"/>
      <c r="C269" s="7"/>
      <c r="D269" s="101"/>
      <c r="E269" s="102"/>
      <c r="F269" s="75"/>
      <c r="G269" s="150"/>
      <c r="H269" s="75"/>
      <c r="I269" s="75"/>
      <c r="J269" s="75"/>
      <c r="K269" s="75"/>
    </row>
    <row r="270" spans="1:11" ht="20.25" customHeight="1" x14ac:dyDescent="0.3">
      <c r="A270" s="109"/>
      <c r="B270" s="100"/>
      <c r="C270" s="7"/>
      <c r="D270" s="101"/>
      <c r="E270" s="102"/>
      <c r="F270" s="75"/>
      <c r="G270" s="150"/>
      <c r="H270" s="75"/>
      <c r="I270" s="75"/>
      <c r="J270" s="75"/>
      <c r="K270" s="75"/>
    </row>
    <row r="271" spans="1:11" ht="20.25" customHeight="1" x14ac:dyDescent="0.3">
      <c r="A271" s="109"/>
      <c r="B271" s="100"/>
      <c r="C271" s="7"/>
      <c r="D271" s="101"/>
      <c r="E271" s="102"/>
      <c r="F271" s="75"/>
      <c r="G271" s="150"/>
      <c r="H271" s="75"/>
      <c r="I271" s="75"/>
      <c r="J271" s="75"/>
      <c r="K271" s="75"/>
    </row>
    <row r="272" spans="1:11" ht="20.25" customHeight="1" x14ac:dyDescent="0.3">
      <c r="A272" s="109"/>
      <c r="B272" s="100"/>
      <c r="C272" s="7"/>
      <c r="D272" s="101"/>
      <c r="E272" s="102"/>
      <c r="F272" s="75"/>
      <c r="G272" s="150"/>
      <c r="H272" s="75"/>
      <c r="I272" s="75"/>
      <c r="J272" s="75"/>
      <c r="K272" s="75"/>
    </row>
    <row r="273" spans="1:11" ht="20.25" customHeight="1" x14ac:dyDescent="0.3">
      <c r="A273" s="109"/>
      <c r="B273" s="100"/>
      <c r="C273" s="7"/>
      <c r="D273" s="101"/>
      <c r="E273" s="102"/>
      <c r="F273" s="75"/>
      <c r="G273" s="150"/>
      <c r="H273" s="75"/>
      <c r="I273" s="75"/>
      <c r="J273" s="75"/>
      <c r="K273" s="75"/>
    </row>
    <row r="274" spans="1:11" ht="20.25" customHeight="1" x14ac:dyDescent="0.3">
      <c r="A274" s="109"/>
      <c r="B274" s="100"/>
      <c r="C274" s="7"/>
      <c r="D274" s="101"/>
      <c r="E274" s="102"/>
      <c r="F274" s="75"/>
      <c r="G274" s="150"/>
      <c r="H274" s="75"/>
      <c r="I274" s="75"/>
      <c r="J274" s="75"/>
      <c r="K274" s="75"/>
    </row>
    <row r="275" spans="1:11" ht="20.25" customHeight="1" x14ac:dyDescent="0.3">
      <c r="A275" s="109"/>
      <c r="B275" s="100"/>
      <c r="C275" s="7"/>
      <c r="D275" s="101"/>
      <c r="E275" s="102"/>
      <c r="F275" s="75"/>
      <c r="G275" s="150"/>
      <c r="H275" s="75"/>
      <c r="I275" s="75"/>
      <c r="J275" s="75"/>
      <c r="K275" s="75"/>
    </row>
    <row r="276" spans="1:11" ht="20.25" customHeight="1" x14ac:dyDescent="0.3">
      <c r="A276" s="109"/>
      <c r="B276" s="100"/>
      <c r="C276" s="7"/>
      <c r="D276" s="101"/>
      <c r="E276" s="102"/>
      <c r="F276" s="75"/>
      <c r="G276" s="150"/>
      <c r="H276" s="75"/>
      <c r="I276" s="75"/>
      <c r="J276" s="75"/>
      <c r="K276" s="75"/>
    </row>
    <row r="277" spans="1:11" ht="20.25" customHeight="1" x14ac:dyDescent="0.3">
      <c r="A277" s="109"/>
      <c r="B277" s="100"/>
      <c r="C277" s="7"/>
      <c r="D277" s="101"/>
      <c r="E277" s="102"/>
      <c r="F277" s="75"/>
      <c r="G277" s="150"/>
      <c r="H277" s="75"/>
      <c r="I277" s="75"/>
      <c r="J277" s="75"/>
      <c r="K277" s="75"/>
    </row>
    <row r="278" spans="1:11" ht="20.25" customHeight="1" x14ac:dyDescent="0.3">
      <c r="A278" s="109"/>
      <c r="B278" s="100"/>
      <c r="C278" s="7"/>
      <c r="D278" s="101"/>
      <c r="E278" s="102"/>
      <c r="F278" s="75"/>
      <c r="G278" s="150"/>
      <c r="H278" s="75"/>
      <c r="I278" s="75"/>
      <c r="J278" s="75"/>
      <c r="K278" s="75"/>
    </row>
    <row r="279" spans="1:11" ht="20.25" customHeight="1" x14ac:dyDescent="0.3">
      <c r="A279" s="109"/>
      <c r="B279" s="100"/>
      <c r="C279" s="7"/>
      <c r="D279" s="101"/>
      <c r="E279" s="102"/>
      <c r="F279" s="75"/>
      <c r="G279" s="150"/>
      <c r="H279" s="75"/>
      <c r="I279" s="75"/>
      <c r="J279" s="75"/>
      <c r="K279" s="75"/>
    </row>
    <row r="280" spans="1:11" ht="20.25" customHeight="1" x14ac:dyDescent="0.3">
      <c r="A280" s="109"/>
      <c r="B280" s="100"/>
      <c r="C280" s="7"/>
      <c r="D280" s="101"/>
      <c r="E280" s="102"/>
      <c r="F280" s="75"/>
      <c r="G280" s="150"/>
      <c r="H280" s="75"/>
      <c r="I280" s="75"/>
      <c r="J280" s="75"/>
      <c r="K280" s="75"/>
    </row>
    <row r="281" spans="1:11" ht="20.25" customHeight="1" x14ac:dyDescent="0.3">
      <c r="A281" s="109"/>
      <c r="B281" s="100"/>
      <c r="C281" s="7"/>
      <c r="D281" s="101"/>
      <c r="E281" s="102"/>
      <c r="F281" s="75"/>
      <c r="G281" s="150"/>
      <c r="H281" s="75"/>
      <c r="I281" s="75"/>
      <c r="J281" s="75"/>
      <c r="K281" s="75"/>
    </row>
    <row r="282" spans="1:11" ht="20.25" customHeight="1" x14ac:dyDescent="0.3">
      <c r="A282" s="109"/>
      <c r="B282" s="100"/>
      <c r="C282" s="7"/>
      <c r="D282" s="101"/>
      <c r="E282" s="102"/>
      <c r="F282" s="75"/>
      <c r="G282" s="150"/>
      <c r="H282" s="75"/>
      <c r="I282" s="75"/>
      <c r="J282" s="75"/>
      <c r="K282" s="75"/>
    </row>
    <row r="283" spans="1:11" ht="20.25" customHeight="1" x14ac:dyDescent="0.3">
      <c r="A283" s="109"/>
      <c r="B283" s="100"/>
      <c r="C283" s="7"/>
      <c r="D283" s="101"/>
      <c r="E283" s="102"/>
      <c r="F283" s="75"/>
      <c r="G283" s="150"/>
      <c r="H283" s="75"/>
      <c r="I283" s="75"/>
      <c r="J283" s="75"/>
      <c r="K283" s="75"/>
    </row>
    <row r="284" spans="1:11" ht="20.25" customHeight="1" x14ac:dyDescent="0.3">
      <c r="A284" s="109"/>
      <c r="B284" s="100"/>
      <c r="C284" s="7"/>
      <c r="D284" s="101"/>
      <c r="E284" s="102"/>
      <c r="F284" s="75"/>
      <c r="G284" s="150"/>
      <c r="H284" s="75"/>
      <c r="I284" s="75"/>
      <c r="J284" s="75"/>
      <c r="K284" s="75"/>
    </row>
    <row r="285" spans="1:11" ht="20.25" customHeight="1" x14ac:dyDescent="0.3">
      <c r="A285" s="109"/>
      <c r="B285" s="100"/>
      <c r="C285" s="7"/>
      <c r="D285" s="101"/>
      <c r="E285" s="102"/>
      <c r="F285" s="75"/>
      <c r="G285" s="150"/>
      <c r="H285" s="75"/>
      <c r="I285" s="75"/>
      <c r="J285" s="75"/>
      <c r="K285" s="75"/>
    </row>
    <row r="286" spans="1:11" ht="20.25" customHeight="1" x14ac:dyDescent="0.3">
      <c r="A286" s="109"/>
      <c r="B286" s="100"/>
      <c r="C286" s="7"/>
      <c r="D286" s="101"/>
      <c r="E286" s="102"/>
      <c r="F286" s="75"/>
      <c r="G286" s="150"/>
      <c r="H286" s="75"/>
      <c r="I286" s="75"/>
      <c r="J286" s="75"/>
      <c r="K286" s="75"/>
    </row>
    <row r="287" spans="1:11" ht="20.25" customHeight="1" x14ac:dyDescent="0.3">
      <c r="A287" s="109"/>
      <c r="B287" s="100"/>
      <c r="C287" s="7"/>
      <c r="D287" s="101"/>
      <c r="E287" s="102"/>
      <c r="F287" s="75"/>
      <c r="G287" s="150"/>
      <c r="H287" s="75"/>
      <c r="I287" s="75"/>
      <c r="J287" s="75"/>
      <c r="K287" s="75"/>
    </row>
    <row r="288" spans="1:11" ht="20.25" customHeight="1" x14ac:dyDescent="0.3">
      <c r="A288" s="109"/>
      <c r="B288" s="100"/>
      <c r="C288" s="7"/>
      <c r="D288" s="101"/>
      <c r="E288" s="102"/>
      <c r="F288" s="75"/>
      <c r="G288" s="150"/>
      <c r="H288" s="75"/>
      <c r="I288" s="75"/>
      <c r="J288" s="75"/>
      <c r="K288" s="75"/>
    </row>
    <row r="289" spans="1:11" ht="20.25" customHeight="1" x14ac:dyDescent="0.3">
      <c r="A289" s="109"/>
      <c r="B289" s="100"/>
      <c r="C289" s="7"/>
      <c r="D289" s="101"/>
      <c r="E289" s="102"/>
      <c r="F289" s="75"/>
      <c r="G289" s="150"/>
      <c r="H289" s="75"/>
      <c r="I289" s="75"/>
      <c r="J289" s="75"/>
      <c r="K289" s="75"/>
    </row>
    <row r="290" spans="1:11" ht="20.25" customHeight="1" x14ac:dyDescent="0.3">
      <c r="A290" s="109"/>
      <c r="B290" s="100"/>
      <c r="C290" s="7"/>
      <c r="D290" s="101"/>
      <c r="E290" s="102"/>
      <c r="F290" s="75"/>
      <c r="G290" s="150"/>
      <c r="H290" s="75"/>
      <c r="I290" s="75"/>
      <c r="J290" s="75"/>
      <c r="K290" s="75"/>
    </row>
    <row r="291" spans="1:11" ht="20.25" customHeight="1" x14ac:dyDescent="0.3">
      <c r="A291" s="109"/>
      <c r="B291" s="100"/>
      <c r="C291" s="7"/>
      <c r="D291" s="101"/>
      <c r="E291" s="102"/>
      <c r="F291" s="75"/>
      <c r="G291" s="150"/>
      <c r="H291" s="75"/>
      <c r="I291" s="75"/>
      <c r="J291" s="75"/>
      <c r="K291" s="75"/>
    </row>
    <row r="292" spans="1:11" ht="20.25" customHeight="1" x14ac:dyDescent="0.3">
      <c r="A292" s="109"/>
      <c r="B292" s="100"/>
      <c r="C292" s="7"/>
      <c r="D292" s="101"/>
      <c r="E292" s="102"/>
      <c r="F292" s="75"/>
      <c r="G292" s="150"/>
      <c r="H292" s="75"/>
      <c r="I292" s="75"/>
      <c r="J292" s="75"/>
      <c r="K292" s="75"/>
    </row>
    <row r="293" spans="1:11" ht="20.25" customHeight="1" x14ac:dyDescent="0.3">
      <c r="A293" s="109"/>
      <c r="B293" s="100"/>
      <c r="C293" s="7"/>
      <c r="D293" s="101"/>
      <c r="E293" s="102"/>
      <c r="F293" s="75"/>
      <c r="G293" s="150"/>
      <c r="H293" s="75"/>
      <c r="I293" s="75"/>
      <c r="J293" s="75"/>
      <c r="K293" s="75"/>
    </row>
    <row r="294" spans="1:11" ht="20.25" customHeight="1" x14ac:dyDescent="0.3">
      <c r="A294" s="109"/>
      <c r="B294" s="100"/>
      <c r="C294" s="7"/>
      <c r="D294" s="101"/>
      <c r="E294" s="102"/>
      <c r="F294" s="75"/>
      <c r="G294" s="150"/>
      <c r="H294" s="75"/>
      <c r="I294" s="75"/>
      <c r="J294" s="75"/>
      <c r="K294" s="75"/>
    </row>
    <row r="295" spans="1:11" ht="20.25" customHeight="1" x14ac:dyDescent="0.3">
      <c r="A295" s="109"/>
      <c r="B295" s="100"/>
      <c r="C295" s="7"/>
      <c r="D295" s="101"/>
      <c r="E295" s="102"/>
      <c r="F295" s="75"/>
      <c r="G295" s="150"/>
      <c r="H295" s="75"/>
      <c r="I295" s="75"/>
      <c r="J295" s="75"/>
      <c r="K295" s="75"/>
    </row>
    <row r="296" spans="1:11" ht="20.25" customHeight="1" x14ac:dyDescent="0.3">
      <c r="A296" s="109"/>
      <c r="B296" s="100"/>
      <c r="C296" s="7"/>
      <c r="D296" s="101"/>
      <c r="E296" s="102"/>
      <c r="F296" s="75"/>
      <c r="G296" s="150"/>
      <c r="H296" s="75"/>
      <c r="I296" s="75"/>
      <c r="J296" s="75"/>
      <c r="K296" s="75"/>
    </row>
    <row r="297" spans="1:11" ht="20.25" customHeight="1" x14ac:dyDescent="0.3">
      <c r="A297" s="109"/>
      <c r="B297" s="100"/>
      <c r="C297" s="7"/>
      <c r="D297" s="101"/>
      <c r="E297" s="102"/>
      <c r="F297" s="75"/>
      <c r="G297" s="150"/>
      <c r="H297" s="75"/>
      <c r="I297" s="75"/>
      <c r="J297" s="75"/>
      <c r="K297" s="75"/>
    </row>
    <row r="298" spans="1:11" ht="20.25" customHeight="1" x14ac:dyDescent="0.3">
      <c r="A298" s="109"/>
      <c r="B298" s="100"/>
      <c r="C298" s="7"/>
      <c r="D298" s="101"/>
      <c r="E298" s="102"/>
      <c r="F298" s="75"/>
      <c r="G298" s="150"/>
      <c r="H298" s="75"/>
      <c r="I298" s="75"/>
      <c r="J298" s="75"/>
      <c r="K298" s="75"/>
    </row>
    <row r="299" spans="1:11" ht="20.25" customHeight="1" x14ac:dyDescent="0.3">
      <c r="A299" s="109"/>
      <c r="B299" s="100"/>
      <c r="C299" s="7"/>
      <c r="D299" s="101"/>
      <c r="E299" s="102"/>
      <c r="F299" s="75"/>
      <c r="G299" s="150"/>
      <c r="H299" s="75"/>
      <c r="I299" s="75"/>
      <c r="J299" s="75"/>
      <c r="K299" s="75"/>
    </row>
    <row r="300" spans="1:11" ht="20.25" customHeight="1" x14ac:dyDescent="0.3">
      <c r="A300" s="109"/>
      <c r="B300" s="100"/>
      <c r="C300" s="7"/>
      <c r="D300" s="101"/>
      <c r="E300" s="102"/>
      <c r="F300" s="75"/>
      <c r="G300" s="150"/>
      <c r="H300" s="75"/>
      <c r="I300" s="75"/>
      <c r="J300" s="75"/>
      <c r="K300" s="75"/>
    </row>
    <row r="301" spans="1:11" ht="20.25" customHeight="1" x14ac:dyDescent="0.3">
      <c r="A301" s="109"/>
      <c r="B301" s="100"/>
      <c r="C301" s="7"/>
      <c r="D301" s="101"/>
      <c r="E301" s="102"/>
      <c r="F301" s="75"/>
      <c r="G301" s="150"/>
      <c r="H301" s="75"/>
      <c r="I301" s="75"/>
      <c r="J301" s="75"/>
      <c r="K301" s="75"/>
    </row>
    <row r="302" spans="1:11" ht="20.25" customHeight="1" x14ac:dyDescent="0.3">
      <c r="A302" s="109"/>
      <c r="B302" s="100"/>
      <c r="C302" s="7"/>
      <c r="D302" s="101"/>
      <c r="E302" s="102"/>
      <c r="F302" s="75"/>
      <c r="G302" s="150"/>
      <c r="H302" s="75"/>
      <c r="I302" s="75"/>
      <c r="J302" s="75"/>
      <c r="K302" s="75"/>
    </row>
    <row r="303" spans="1:11" ht="20.25" customHeight="1" x14ac:dyDescent="0.3">
      <c r="A303" s="109"/>
      <c r="B303" s="100"/>
      <c r="C303" s="7"/>
      <c r="D303" s="101"/>
      <c r="E303" s="102"/>
      <c r="F303" s="75"/>
      <c r="G303" s="150"/>
      <c r="H303" s="75"/>
      <c r="I303" s="75"/>
      <c r="J303" s="75"/>
      <c r="K303" s="75"/>
    </row>
    <row r="304" spans="1:11" ht="20.25" customHeight="1" x14ac:dyDescent="0.3">
      <c r="A304" s="109"/>
      <c r="B304" s="100"/>
      <c r="C304" s="7"/>
      <c r="D304" s="101"/>
      <c r="E304" s="102"/>
      <c r="F304" s="75"/>
      <c r="G304" s="150"/>
      <c r="H304" s="75"/>
      <c r="I304" s="75"/>
      <c r="J304" s="75"/>
      <c r="K304" s="75"/>
    </row>
    <row r="305" spans="1:11" ht="20.25" customHeight="1" x14ac:dyDescent="0.3">
      <c r="A305" s="109"/>
      <c r="B305" s="100"/>
      <c r="C305" s="7"/>
      <c r="D305" s="101"/>
      <c r="E305" s="102"/>
      <c r="F305" s="75"/>
      <c r="G305" s="150"/>
      <c r="H305" s="75"/>
      <c r="I305" s="75"/>
      <c r="J305" s="75"/>
      <c r="K305" s="75"/>
    </row>
    <row r="306" spans="1:11" ht="20.25" customHeight="1" x14ac:dyDescent="0.3">
      <c r="A306" s="109"/>
      <c r="B306" s="100"/>
      <c r="C306" s="7"/>
      <c r="D306" s="101"/>
      <c r="E306" s="102"/>
      <c r="F306" s="75"/>
      <c r="G306" s="150"/>
      <c r="H306" s="75"/>
      <c r="I306" s="75"/>
      <c r="J306" s="75"/>
      <c r="K306" s="75"/>
    </row>
    <row r="307" spans="1:11" ht="20.25" customHeight="1" x14ac:dyDescent="0.3">
      <c r="A307" s="109"/>
      <c r="B307" s="100"/>
      <c r="C307" s="7"/>
      <c r="D307" s="101"/>
      <c r="E307" s="102"/>
      <c r="F307" s="75"/>
      <c r="G307" s="150"/>
      <c r="H307" s="75"/>
      <c r="I307" s="75"/>
      <c r="J307" s="75"/>
      <c r="K307" s="75"/>
    </row>
    <row r="308" spans="1:11" ht="20.25" customHeight="1" x14ac:dyDescent="0.3">
      <c r="A308" s="109"/>
      <c r="B308" s="100"/>
      <c r="C308" s="7"/>
      <c r="D308" s="101"/>
      <c r="E308" s="102"/>
      <c r="F308" s="75"/>
      <c r="G308" s="150"/>
      <c r="H308" s="75"/>
      <c r="I308" s="75"/>
      <c r="J308" s="75"/>
      <c r="K308" s="75"/>
    </row>
    <row r="309" spans="1:11" ht="20.25" customHeight="1" x14ac:dyDescent="0.3">
      <c r="A309" s="109"/>
      <c r="B309" s="100"/>
      <c r="C309" s="7"/>
      <c r="D309" s="101"/>
      <c r="E309" s="102"/>
      <c r="F309" s="75"/>
      <c r="G309" s="150"/>
      <c r="H309" s="75"/>
      <c r="I309" s="75"/>
      <c r="J309" s="75"/>
      <c r="K309" s="75"/>
    </row>
    <row r="310" spans="1:11" ht="20.25" customHeight="1" x14ac:dyDescent="0.3">
      <c r="A310" s="109"/>
      <c r="B310" s="100"/>
      <c r="C310" s="7"/>
      <c r="D310" s="101"/>
      <c r="E310" s="102"/>
      <c r="F310" s="75"/>
      <c r="G310" s="150"/>
      <c r="H310" s="75"/>
      <c r="I310" s="75"/>
      <c r="J310" s="75"/>
      <c r="K310" s="75"/>
    </row>
    <row r="311" spans="1:11" ht="20.25" customHeight="1" x14ac:dyDescent="0.3">
      <c r="A311" s="109"/>
      <c r="B311" s="100"/>
      <c r="C311" s="7"/>
      <c r="D311" s="101"/>
      <c r="E311" s="102"/>
      <c r="F311" s="75"/>
      <c r="G311" s="150"/>
      <c r="H311" s="75"/>
      <c r="I311" s="75"/>
      <c r="J311" s="75"/>
      <c r="K311" s="75"/>
    </row>
    <row r="312" spans="1:11" ht="20.25" customHeight="1" x14ac:dyDescent="0.3">
      <c r="A312" s="109"/>
      <c r="B312" s="100"/>
      <c r="C312" s="7"/>
      <c r="D312" s="101"/>
      <c r="E312" s="102"/>
      <c r="F312" s="75"/>
      <c r="G312" s="150"/>
      <c r="H312" s="75"/>
      <c r="I312" s="75"/>
      <c r="J312" s="75"/>
      <c r="K312" s="75"/>
    </row>
    <row r="313" spans="1:11" ht="20.25" customHeight="1" x14ac:dyDescent="0.3">
      <c r="A313" s="109"/>
      <c r="B313" s="100"/>
      <c r="C313" s="7"/>
      <c r="D313" s="101"/>
      <c r="E313" s="102"/>
      <c r="F313" s="75"/>
      <c r="G313" s="150"/>
      <c r="H313" s="75"/>
      <c r="I313" s="75"/>
      <c r="J313" s="75"/>
      <c r="K313" s="75"/>
    </row>
    <row r="314" spans="1:11" ht="20.25" customHeight="1" x14ac:dyDescent="0.3">
      <c r="A314" s="109"/>
      <c r="B314" s="100"/>
      <c r="C314" s="7"/>
      <c r="D314" s="101"/>
      <c r="E314" s="102"/>
      <c r="F314" s="75"/>
      <c r="G314" s="150"/>
      <c r="H314" s="75"/>
      <c r="I314" s="75"/>
      <c r="J314" s="75"/>
      <c r="K314" s="75"/>
    </row>
    <row r="315" spans="1:11" ht="20.25" customHeight="1" x14ac:dyDescent="0.3">
      <c r="A315" s="109"/>
      <c r="B315" s="100"/>
      <c r="C315" s="7"/>
      <c r="D315" s="101"/>
      <c r="E315" s="102"/>
      <c r="F315" s="75"/>
      <c r="G315" s="150"/>
      <c r="H315" s="75"/>
      <c r="I315" s="75"/>
      <c r="J315" s="75"/>
      <c r="K315" s="75"/>
    </row>
    <row r="316" spans="1:11" ht="20.25" customHeight="1" x14ac:dyDescent="0.3">
      <c r="A316" s="109"/>
      <c r="B316" s="100"/>
      <c r="C316" s="7"/>
      <c r="D316" s="101"/>
      <c r="E316" s="102"/>
      <c r="F316" s="75"/>
      <c r="G316" s="150"/>
      <c r="H316" s="75"/>
      <c r="I316" s="75"/>
      <c r="J316" s="75"/>
      <c r="K316" s="75"/>
    </row>
    <row r="317" spans="1:11" ht="20.25" customHeight="1" x14ac:dyDescent="0.3">
      <c r="A317" s="109"/>
      <c r="B317" s="100"/>
      <c r="C317" s="7"/>
      <c r="D317" s="101"/>
      <c r="E317" s="102"/>
      <c r="F317" s="75"/>
      <c r="G317" s="150"/>
      <c r="H317" s="75"/>
      <c r="I317" s="75"/>
      <c r="J317" s="75"/>
      <c r="K317" s="75"/>
    </row>
    <row r="318" spans="1:11" ht="20.25" customHeight="1" x14ac:dyDescent="0.3">
      <c r="A318" s="109"/>
      <c r="B318" s="100"/>
      <c r="C318" s="7"/>
      <c r="D318" s="101"/>
      <c r="E318" s="102"/>
      <c r="F318" s="75"/>
      <c r="G318" s="150"/>
      <c r="H318" s="75"/>
      <c r="I318" s="75"/>
      <c r="J318" s="75"/>
      <c r="K318" s="75"/>
    </row>
    <row r="319" spans="1:11" ht="20.25" customHeight="1" x14ac:dyDescent="0.3">
      <c r="A319" s="109"/>
      <c r="B319" s="100"/>
      <c r="C319" s="7"/>
      <c r="D319" s="101"/>
      <c r="E319" s="102"/>
      <c r="F319" s="75"/>
      <c r="G319" s="150"/>
      <c r="H319" s="75"/>
      <c r="I319" s="75"/>
      <c r="J319" s="75"/>
      <c r="K319" s="75"/>
    </row>
    <row r="320" spans="1:11" ht="20.25" customHeight="1" x14ac:dyDescent="0.3">
      <c r="A320" s="109"/>
      <c r="B320" s="100"/>
      <c r="C320" s="7"/>
      <c r="D320" s="101"/>
      <c r="E320" s="102"/>
      <c r="F320" s="75"/>
      <c r="G320" s="150"/>
      <c r="H320" s="75"/>
      <c r="I320" s="75"/>
      <c r="J320" s="75"/>
      <c r="K320" s="75"/>
    </row>
    <row r="321" spans="1:11" ht="20.25" customHeight="1" x14ac:dyDescent="0.3">
      <c r="A321" s="109"/>
      <c r="B321" s="100"/>
      <c r="C321" s="7"/>
      <c r="D321" s="101"/>
      <c r="E321" s="102"/>
      <c r="F321" s="75"/>
      <c r="G321" s="150"/>
      <c r="H321" s="75"/>
      <c r="I321" s="75"/>
      <c r="J321" s="75"/>
      <c r="K321" s="75"/>
    </row>
    <row r="322" spans="1:11" ht="20.25" customHeight="1" x14ac:dyDescent="0.3">
      <c r="A322" s="109"/>
      <c r="B322" s="100"/>
      <c r="C322" s="7"/>
      <c r="D322" s="101"/>
      <c r="E322" s="102"/>
      <c r="F322" s="75"/>
      <c r="G322" s="150"/>
      <c r="H322" s="75"/>
      <c r="I322" s="75"/>
      <c r="J322" s="75"/>
      <c r="K322" s="75"/>
    </row>
    <row r="323" spans="1:11" ht="20.25" customHeight="1" x14ac:dyDescent="0.3">
      <c r="A323" s="109"/>
      <c r="B323" s="100"/>
      <c r="C323" s="7"/>
      <c r="D323" s="101"/>
      <c r="E323" s="102"/>
      <c r="F323" s="75"/>
      <c r="G323" s="150"/>
      <c r="H323" s="75"/>
      <c r="I323" s="75"/>
      <c r="J323" s="75"/>
      <c r="K323" s="75"/>
    </row>
    <row r="324" spans="1:11" ht="20.25" customHeight="1" x14ac:dyDescent="0.3">
      <c r="A324" s="109"/>
      <c r="B324" s="100"/>
      <c r="C324" s="7"/>
      <c r="D324" s="101"/>
      <c r="E324" s="102"/>
      <c r="F324" s="75"/>
      <c r="G324" s="150"/>
      <c r="H324" s="75"/>
      <c r="I324" s="75"/>
      <c r="J324" s="75"/>
      <c r="K324" s="75"/>
    </row>
    <row r="325" spans="1:11" ht="20.25" customHeight="1" x14ac:dyDescent="0.3">
      <c r="A325" s="109"/>
      <c r="B325" s="100"/>
      <c r="C325" s="7"/>
      <c r="D325" s="101"/>
      <c r="E325" s="102"/>
      <c r="F325" s="75"/>
      <c r="G325" s="150"/>
      <c r="H325" s="75"/>
      <c r="I325" s="75"/>
      <c r="J325" s="75"/>
      <c r="K325" s="75"/>
    </row>
    <row r="326" spans="1:11" ht="20.25" customHeight="1" x14ac:dyDescent="0.3">
      <c r="A326" s="109"/>
      <c r="B326" s="100"/>
      <c r="C326" s="7"/>
      <c r="D326" s="101"/>
      <c r="E326" s="102"/>
      <c r="F326" s="75"/>
      <c r="G326" s="150"/>
      <c r="H326" s="75"/>
      <c r="I326" s="75"/>
      <c r="J326" s="75"/>
      <c r="K326" s="75"/>
    </row>
    <row r="327" spans="1:11" ht="20.25" customHeight="1" x14ac:dyDescent="0.3">
      <c r="A327" s="109"/>
      <c r="B327" s="100"/>
      <c r="C327" s="7"/>
      <c r="D327" s="101"/>
      <c r="E327" s="102"/>
      <c r="F327" s="75"/>
      <c r="G327" s="150"/>
      <c r="H327" s="75"/>
      <c r="I327" s="75"/>
      <c r="J327" s="75"/>
      <c r="K327" s="75"/>
    </row>
    <row r="328" spans="1:11" ht="20.25" customHeight="1" x14ac:dyDescent="0.3">
      <c r="A328" s="109"/>
      <c r="B328" s="100"/>
      <c r="C328" s="7"/>
      <c r="D328" s="101"/>
      <c r="E328" s="102"/>
      <c r="F328" s="75"/>
      <c r="G328" s="150"/>
      <c r="H328" s="75"/>
      <c r="I328" s="75"/>
      <c r="J328" s="75"/>
      <c r="K328" s="75"/>
    </row>
    <row r="329" spans="1:11" ht="20.25" customHeight="1" x14ac:dyDescent="0.3">
      <c r="A329" s="109"/>
      <c r="B329" s="100"/>
      <c r="C329" s="7"/>
      <c r="D329" s="101"/>
      <c r="E329" s="102"/>
      <c r="F329" s="75"/>
      <c r="G329" s="150"/>
      <c r="H329" s="75"/>
      <c r="I329" s="75"/>
      <c r="J329" s="75"/>
      <c r="K329" s="75"/>
    </row>
    <row r="330" spans="1:11" ht="20.25" customHeight="1" x14ac:dyDescent="0.3">
      <c r="A330" s="109"/>
      <c r="B330" s="100"/>
      <c r="C330" s="7"/>
      <c r="D330" s="101"/>
      <c r="E330" s="102"/>
      <c r="F330" s="75"/>
      <c r="G330" s="150"/>
      <c r="H330" s="75"/>
      <c r="I330" s="75"/>
      <c r="J330" s="75"/>
      <c r="K330" s="75"/>
    </row>
    <row r="331" spans="1:11" ht="20.25" customHeight="1" x14ac:dyDescent="0.3">
      <c r="A331" s="109"/>
      <c r="B331" s="100"/>
      <c r="C331" s="7"/>
      <c r="D331" s="101"/>
      <c r="E331" s="102"/>
      <c r="F331" s="75"/>
      <c r="G331" s="150"/>
      <c r="H331" s="75"/>
      <c r="I331" s="75"/>
      <c r="J331" s="75"/>
      <c r="K331" s="75"/>
    </row>
    <row r="332" spans="1:11" ht="20.25" customHeight="1" x14ac:dyDescent="0.3">
      <c r="A332" s="109"/>
      <c r="B332" s="100"/>
      <c r="C332" s="7"/>
      <c r="D332" s="101"/>
      <c r="E332" s="102"/>
      <c r="F332" s="75"/>
      <c r="G332" s="150"/>
      <c r="H332" s="75"/>
      <c r="I332" s="75"/>
      <c r="J332" s="75"/>
      <c r="K332" s="75"/>
    </row>
    <row r="333" spans="1:11" ht="20.25" customHeight="1" x14ac:dyDescent="0.3">
      <c r="A333" s="109"/>
      <c r="B333" s="100"/>
      <c r="C333" s="7"/>
      <c r="D333" s="101"/>
      <c r="E333" s="102"/>
      <c r="F333" s="75"/>
      <c r="G333" s="150"/>
      <c r="H333" s="75"/>
      <c r="I333" s="75"/>
      <c r="J333" s="75"/>
      <c r="K333" s="75"/>
    </row>
    <row r="334" spans="1:11" ht="20.25" customHeight="1" x14ac:dyDescent="0.3">
      <c r="A334" s="109"/>
      <c r="B334" s="100"/>
      <c r="C334" s="7"/>
      <c r="D334" s="101"/>
      <c r="E334" s="102"/>
      <c r="F334" s="75"/>
      <c r="G334" s="150"/>
      <c r="H334" s="75"/>
      <c r="I334" s="75"/>
      <c r="J334" s="75"/>
      <c r="K334" s="75"/>
    </row>
    <row r="335" spans="1:11" ht="20.25" customHeight="1" x14ac:dyDescent="0.3">
      <c r="A335" s="109"/>
      <c r="B335" s="100"/>
      <c r="C335" s="7"/>
      <c r="D335" s="101"/>
      <c r="E335" s="102"/>
      <c r="F335" s="75"/>
      <c r="G335" s="150"/>
      <c r="H335" s="75"/>
      <c r="I335" s="75"/>
      <c r="J335" s="75"/>
      <c r="K335" s="75"/>
    </row>
    <row r="336" spans="1:11" ht="20.25" customHeight="1" x14ac:dyDescent="0.3">
      <c r="A336" s="109"/>
      <c r="B336" s="100"/>
      <c r="C336" s="7"/>
      <c r="D336" s="101"/>
      <c r="E336" s="102"/>
      <c r="F336" s="75"/>
      <c r="G336" s="150"/>
      <c r="H336" s="75"/>
      <c r="I336" s="75"/>
      <c r="J336" s="75"/>
      <c r="K336" s="75"/>
    </row>
    <row r="337" spans="1:11" ht="20.25" customHeight="1" x14ac:dyDescent="0.3">
      <c r="A337" s="109"/>
      <c r="B337" s="100"/>
      <c r="C337" s="7"/>
      <c r="D337" s="101"/>
      <c r="E337" s="102"/>
      <c r="F337" s="75"/>
      <c r="G337" s="150"/>
      <c r="H337" s="75"/>
      <c r="I337" s="75"/>
      <c r="J337" s="75"/>
      <c r="K337" s="75"/>
    </row>
    <row r="338" spans="1:11" ht="20.25" customHeight="1" x14ac:dyDescent="0.3">
      <c r="A338" s="109"/>
      <c r="B338" s="100"/>
      <c r="C338" s="7"/>
      <c r="D338" s="101"/>
      <c r="E338" s="102"/>
      <c r="F338" s="75"/>
      <c r="G338" s="150"/>
      <c r="H338" s="75"/>
      <c r="I338" s="75"/>
      <c r="J338" s="75"/>
      <c r="K338" s="75"/>
    </row>
    <row r="339" spans="1:11" ht="20.25" customHeight="1" x14ac:dyDescent="0.3">
      <c r="A339" s="109"/>
      <c r="B339" s="100"/>
      <c r="C339" s="7"/>
      <c r="D339" s="101"/>
      <c r="E339" s="102"/>
      <c r="F339" s="75"/>
      <c r="G339" s="150"/>
      <c r="H339" s="75"/>
      <c r="I339" s="75"/>
      <c r="J339" s="75"/>
      <c r="K339" s="75"/>
    </row>
    <row r="340" spans="1:11" ht="20.25" customHeight="1" x14ac:dyDescent="0.3">
      <c r="A340" s="109"/>
      <c r="B340" s="100"/>
      <c r="C340" s="7"/>
      <c r="D340" s="101"/>
      <c r="E340" s="102"/>
      <c r="F340" s="75"/>
      <c r="G340" s="150"/>
      <c r="H340" s="75"/>
      <c r="I340" s="75"/>
      <c r="J340" s="75"/>
      <c r="K340" s="75"/>
    </row>
    <row r="341" spans="1:11" ht="20.25" customHeight="1" x14ac:dyDescent="0.3">
      <c r="A341" s="109"/>
      <c r="B341" s="100"/>
      <c r="C341" s="7"/>
      <c r="D341" s="101"/>
      <c r="E341" s="102"/>
      <c r="F341" s="75"/>
      <c r="G341" s="150"/>
      <c r="H341" s="75"/>
      <c r="I341" s="75"/>
      <c r="J341" s="75"/>
      <c r="K341" s="75"/>
    </row>
    <row r="342" spans="1:11" ht="20.25" customHeight="1" x14ac:dyDescent="0.3">
      <c r="A342" s="109"/>
      <c r="B342" s="100"/>
      <c r="C342" s="7"/>
      <c r="D342" s="101"/>
      <c r="E342" s="102"/>
      <c r="F342" s="75"/>
      <c r="G342" s="150"/>
      <c r="H342" s="75"/>
      <c r="I342" s="75"/>
      <c r="J342" s="75"/>
      <c r="K342" s="75"/>
    </row>
    <row r="343" spans="1:11" ht="20.25" customHeight="1" x14ac:dyDescent="0.3">
      <c r="A343" s="109"/>
      <c r="B343" s="100"/>
      <c r="C343" s="7"/>
      <c r="D343" s="101"/>
      <c r="E343" s="102"/>
      <c r="F343" s="75"/>
      <c r="G343" s="150"/>
      <c r="H343" s="75"/>
      <c r="I343" s="75"/>
      <c r="J343" s="75"/>
      <c r="K343" s="75"/>
    </row>
    <row r="344" spans="1:11" ht="20.25" customHeight="1" x14ac:dyDescent="0.3">
      <c r="A344" s="109"/>
      <c r="B344" s="100"/>
      <c r="C344" s="7"/>
      <c r="D344" s="101"/>
      <c r="E344" s="102"/>
      <c r="F344" s="75"/>
      <c r="G344" s="150"/>
      <c r="H344" s="75"/>
      <c r="I344" s="75"/>
      <c r="J344" s="75"/>
      <c r="K344" s="75"/>
    </row>
    <row r="345" spans="1:11" ht="20.25" customHeight="1" x14ac:dyDescent="0.3">
      <c r="A345" s="109"/>
      <c r="B345" s="100"/>
      <c r="C345" s="7"/>
      <c r="D345" s="101"/>
      <c r="E345" s="102"/>
      <c r="F345" s="75"/>
      <c r="G345" s="150"/>
      <c r="H345" s="75"/>
      <c r="I345" s="75"/>
      <c r="J345" s="75"/>
      <c r="K345" s="75"/>
    </row>
    <row r="346" spans="1:11" ht="20.25" customHeight="1" x14ac:dyDescent="0.3">
      <c r="A346" s="109"/>
      <c r="B346" s="100"/>
      <c r="C346" s="7"/>
      <c r="D346" s="101"/>
      <c r="E346" s="102"/>
      <c r="F346" s="75"/>
      <c r="G346" s="150"/>
      <c r="H346" s="75"/>
      <c r="I346" s="75"/>
      <c r="J346" s="75"/>
      <c r="K346" s="75"/>
    </row>
    <row r="347" spans="1:11" ht="20.25" customHeight="1" x14ac:dyDescent="0.3">
      <c r="A347" s="109"/>
      <c r="B347" s="100"/>
      <c r="C347" s="7"/>
      <c r="D347" s="101"/>
      <c r="E347" s="102"/>
      <c r="F347" s="75"/>
      <c r="G347" s="150"/>
      <c r="H347" s="75"/>
      <c r="I347" s="75"/>
      <c r="J347" s="75"/>
      <c r="K347" s="75"/>
    </row>
    <row r="348" spans="1:11" ht="20.25" customHeight="1" x14ac:dyDescent="0.3">
      <c r="A348" s="109"/>
      <c r="B348" s="100"/>
      <c r="C348" s="7"/>
      <c r="D348" s="101"/>
      <c r="E348" s="102"/>
      <c r="F348" s="75"/>
      <c r="G348" s="150"/>
      <c r="H348" s="75"/>
      <c r="I348" s="75"/>
      <c r="J348" s="75"/>
      <c r="K348" s="75"/>
    </row>
    <row r="349" spans="1:11" ht="20.25" customHeight="1" x14ac:dyDescent="0.3">
      <c r="A349" s="109"/>
      <c r="B349" s="100"/>
      <c r="C349" s="7"/>
      <c r="D349" s="101"/>
      <c r="E349" s="102"/>
      <c r="F349" s="75"/>
      <c r="G349" s="150"/>
      <c r="H349" s="75"/>
      <c r="I349" s="75"/>
      <c r="J349" s="75"/>
      <c r="K349" s="75"/>
    </row>
    <row r="350" spans="1:11" ht="20.25" customHeight="1" x14ac:dyDescent="0.3">
      <c r="A350" s="109"/>
      <c r="B350" s="100"/>
      <c r="C350" s="7"/>
      <c r="D350" s="101"/>
      <c r="E350" s="102"/>
      <c r="F350" s="75"/>
      <c r="G350" s="150"/>
      <c r="H350" s="75"/>
      <c r="I350" s="75"/>
      <c r="J350" s="75"/>
      <c r="K350" s="75"/>
    </row>
    <row r="351" spans="1:11" ht="20.25" customHeight="1" x14ac:dyDescent="0.3">
      <c r="A351" s="109"/>
      <c r="B351" s="100"/>
      <c r="C351" s="7"/>
      <c r="D351" s="101"/>
      <c r="E351" s="102"/>
      <c r="F351" s="75"/>
      <c r="G351" s="150"/>
      <c r="H351" s="75"/>
      <c r="I351" s="75"/>
      <c r="J351" s="75"/>
      <c r="K351" s="75"/>
    </row>
    <row r="352" spans="1:11" ht="20.25" customHeight="1" x14ac:dyDescent="0.3">
      <c r="A352" s="109"/>
      <c r="B352" s="100"/>
      <c r="C352" s="7"/>
      <c r="D352" s="101"/>
      <c r="E352" s="102"/>
      <c r="F352" s="75"/>
      <c r="G352" s="150"/>
      <c r="H352" s="75"/>
      <c r="I352" s="75"/>
      <c r="J352" s="75"/>
      <c r="K352" s="75"/>
    </row>
    <row r="353" spans="1:11" ht="20.25" customHeight="1" x14ac:dyDescent="0.3">
      <c r="A353" s="109"/>
      <c r="B353" s="100"/>
      <c r="C353" s="7"/>
      <c r="D353" s="101"/>
      <c r="E353" s="102"/>
      <c r="F353" s="75"/>
      <c r="G353" s="150"/>
      <c r="H353" s="75"/>
      <c r="I353" s="75"/>
      <c r="J353" s="75"/>
      <c r="K353" s="75"/>
    </row>
    <row r="354" spans="1:11" ht="20.25" customHeight="1" x14ac:dyDescent="0.3">
      <c r="A354" s="109"/>
      <c r="B354" s="100"/>
      <c r="C354" s="7"/>
      <c r="D354" s="101"/>
      <c r="E354" s="102"/>
      <c r="F354" s="75"/>
      <c r="G354" s="150"/>
      <c r="H354" s="75"/>
      <c r="I354" s="75"/>
      <c r="J354" s="75"/>
      <c r="K354" s="75"/>
    </row>
    <row r="355" spans="1:11" ht="20.25" customHeight="1" x14ac:dyDescent="0.3">
      <c r="A355" s="109"/>
      <c r="B355" s="100"/>
      <c r="C355" s="7"/>
      <c r="D355" s="101"/>
      <c r="E355" s="102"/>
      <c r="F355" s="75"/>
      <c r="G355" s="150"/>
      <c r="H355" s="75"/>
      <c r="I355" s="75"/>
      <c r="J355" s="75"/>
      <c r="K355" s="75"/>
    </row>
    <row r="356" spans="1:11" ht="20.25" customHeight="1" x14ac:dyDescent="0.3">
      <c r="A356" s="109"/>
      <c r="B356" s="100"/>
      <c r="C356" s="7"/>
      <c r="D356" s="101"/>
      <c r="E356" s="102"/>
      <c r="F356" s="75"/>
      <c r="G356" s="150"/>
      <c r="H356" s="75"/>
      <c r="I356" s="75"/>
      <c r="J356" s="75"/>
      <c r="K356" s="75"/>
    </row>
    <row r="357" spans="1:11" ht="20.25" customHeight="1" x14ac:dyDescent="0.3">
      <c r="A357" s="109"/>
      <c r="B357" s="100"/>
      <c r="C357" s="7"/>
      <c r="D357" s="101"/>
      <c r="E357" s="102"/>
      <c r="F357" s="75"/>
      <c r="G357" s="150"/>
      <c r="H357" s="75"/>
      <c r="I357" s="75"/>
      <c r="J357" s="75"/>
      <c r="K357" s="75"/>
    </row>
    <row r="358" spans="1:11" ht="20.25" customHeight="1" x14ac:dyDescent="0.3">
      <c r="A358" s="109"/>
      <c r="B358" s="100"/>
      <c r="C358" s="7"/>
      <c r="D358" s="101"/>
      <c r="E358" s="102"/>
      <c r="F358" s="75"/>
      <c r="G358" s="150"/>
      <c r="H358" s="75"/>
      <c r="I358" s="75"/>
      <c r="J358" s="75"/>
      <c r="K358" s="75"/>
    </row>
    <row r="359" spans="1:11" ht="20.25" customHeight="1" x14ac:dyDescent="0.3">
      <c r="A359" s="109"/>
      <c r="B359" s="100"/>
      <c r="C359" s="7"/>
      <c r="D359" s="101"/>
      <c r="E359" s="102"/>
      <c r="F359" s="75"/>
      <c r="G359" s="150"/>
      <c r="H359" s="75"/>
      <c r="I359" s="75"/>
      <c r="J359" s="75"/>
      <c r="K359" s="75"/>
    </row>
    <row r="360" spans="1:11" ht="20.25" customHeight="1" x14ac:dyDescent="0.3">
      <c r="A360" s="109"/>
      <c r="B360" s="100"/>
      <c r="C360" s="7"/>
      <c r="D360" s="101"/>
      <c r="E360" s="102"/>
      <c r="F360" s="75"/>
      <c r="G360" s="150"/>
      <c r="H360" s="75"/>
      <c r="I360" s="75"/>
      <c r="J360" s="75"/>
      <c r="K360" s="75"/>
    </row>
    <row r="361" spans="1:11" ht="20.25" customHeight="1" x14ac:dyDescent="0.3">
      <c r="A361" s="109"/>
      <c r="B361" s="100"/>
      <c r="C361" s="7"/>
      <c r="D361" s="101"/>
      <c r="E361" s="102"/>
      <c r="F361" s="75"/>
      <c r="G361" s="150"/>
      <c r="H361" s="75"/>
      <c r="I361" s="75"/>
      <c r="J361" s="75"/>
      <c r="K361" s="75"/>
    </row>
    <row r="362" spans="1:11" ht="20.25" customHeight="1" x14ac:dyDescent="0.3">
      <c r="A362" s="109"/>
      <c r="B362" s="100"/>
      <c r="C362" s="7"/>
      <c r="D362" s="101"/>
      <c r="E362" s="102"/>
      <c r="F362" s="75"/>
      <c r="G362" s="150"/>
      <c r="H362" s="75"/>
      <c r="I362" s="75"/>
      <c r="J362" s="75"/>
      <c r="K362" s="75"/>
    </row>
    <row r="363" spans="1:11" ht="20.25" customHeight="1" x14ac:dyDescent="0.3">
      <c r="A363" s="109"/>
      <c r="B363" s="100"/>
      <c r="C363" s="7"/>
      <c r="D363" s="101"/>
      <c r="E363" s="102"/>
      <c r="F363" s="75"/>
      <c r="G363" s="150"/>
      <c r="H363" s="75"/>
      <c r="I363" s="75"/>
      <c r="J363" s="75"/>
      <c r="K363" s="75"/>
    </row>
    <row r="364" spans="1:11" ht="20.25" customHeight="1" x14ac:dyDescent="0.3">
      <c r="A364" s="109"/>
      <c r="B364" s="100"/>
      <c r="C364" s="7"/>
      <c r="D364" s="101"/>
      <c r="E364" s="102"/>
      <c r="F364" s="75"/>
      <c r="G364" s="150"/>
      <c r="H364" s="75"/>
      <c r="I364" s="75"/>
      <c r="J364" s="75"/>
      <c r="K364" s="75"/>
    </row>
    <row r="365" spans="1:11" ht="20.25" customHeight="1" x14ac:dyDescent="0.3">
      <c r="A365" s="109"/>
      <c r="B365" s="100"/>
      <c r="C365" s="7"/>
      <c r="D365" s="101"/>
      <c r="E365" s="102"/>
      <c r="F365" s="75"/>
      <c r="G365" s="150"/>
      <c r="H365" s="75"/>
      <c r="I365" s="75"/>
      <c r="J365" s="75"/>
      <c r="K365" s="75"/>
    </row>
    <row r="366" spans="1:11" ht="20.25" customHeight="1" x14ac:dyDescent="0.3">
      <c r="A366" s="109"/>
      <c r="B366" s="100"/>
      <c r="C366" s="7"/>
      <c r="D366" s="101"/>
      <c r="E366" s="102"/>
      <c r="F366" s="75"/>
      <c r="G366" s="150"/>
      <c r="H366" s="75"/>
      <c r="I366" s="75"/>
      <c r="J366" s="75"/>
      <c r="K366" s="75"/>
    </row>
    <row r="367" spans="1:11" ht="20.25" customHeight="1" x14ac:dyDescent="0.3">
      <c r="A367" s="109"/>
      <c r="B367" s="100"/>
      <c r="C367" s="7"/>
      <c r="D367" s="101"/>
      <c r="E367" s="102"/>
      <c r="F367" s="75"/>
      <c r="G367" s="150"/>
      <c r="H367" s="75"/>
      <c r="I367" s="75"/>
      <c r="J367" s="75"/>
      <c r="K367" s="75"/>
    </row>
    <row r="368" spans="1:11" ht="20.25" customHeight="1" x14ac:dyDescent="0.3">
      <c r="A368" s="109"/>
      <c r="B368" s="100"/>
      <c r="C368" s="7"/>
      <c r="D368" s="101"/>
      <c r="E368" s="102"/>
      <c r="F368" s="75"/>
      <c r="G368" s="150"/>
      <c r="H368" s="75"/>
      <c r="I368" s="75"/>
      <c r="J368" s="75"/>
      <c r="K368" s="75"/>
    </row>
    <row r="369" spans="1:11" ht="20.25" customHeight="1" x14ac:dyDescent="0.3">
      <c r="A369" s="109"/>
      <c r="B369" s="100"/>
      <c r="C369" s="7"/>
      <c r="D369" s="101"/>
      <c r="E369" s="102"/>
      <c r="F369" s="75"/>
      <c r="G369" s="150"/>
      <c r="H369" s="75"/>
      <c r="I369" s="75"/>
      <c r="J369" s="75"/>
      <c r="K369" s="75"/>
    </row>
    <row r="370" spans="1:11" ht="20.25" customHeight="1" x14ac:dyDescent="0.3">
      <c r="A370" s="109"/>
      <c r="B370" s="100"/>
      <c r="C370" s="7"/>
      <c r="D370" s="101"/>
      <c r="E370" s="102"/>
      <c r="F370" s="75"/>
      <c r="G370" s="150"/>
      <c r="H370" s="75"/>
      <c r="I370" s="75"/>
      <c r="J370" s="75"/>
      <c r="K370" s="75"/>
    </row>
    <row r="371" spans="1:11" ht="20.25" customHeight="1" x14ac:dyDescent="0.3">
      <c r="A371" s="109"/>
      <c r="B371" s="100"/>
      <c r="C371" s="7"/>
      <c r="D371" s="101"/>
      <c r="E371" s="102"/>
      <c r="F371" s="75"/>
      <c r="G371" s="150"/>
      <c r="H371" s="75"/>
      <c r="I371" s="75"/>
      <c r="J371" s="75"/>
      <c r="K371" s="75"/>
    </row>
    <row r="372" spans="1:11" ht="20.25" customHeight="1" x14ac:dyDescent="0.3">
      <c r="A372" s="109"/>
      <c r="B372" s="100"/>
      <c r="C372" s="7"/>
      <c r="D372" s="101"/>
      <c r="E372" s="102"/>
      <c r="F372" s="75"/>
      <c r="G372" s="150"/>
      <c r="H372" s="75"/>
      <c r="I372" s="75"/>
      <c r="J372" s="75"/>
      <c r="K372" s="75"/>
    </row>
    <row r="373" spans="1:11" ht="20.25" customHeight="1" x14ac:dyDescent="0.3">
      <c r="A373" s="109"/>
      <c r="B373" s="100"/>
      <c r="C373" s="7"/>
      <c r="D373" s="101"/>
      <c r="E373" s="102"/>
      <c r="F373" s="75"/>
      <c r="G373" s="150"/>
      <c r="H373" s="75"/>
      <c r="I373" s="75"/>
      <c r="J373" s="75"/>
      <c r="K373" s="75"/>
    </row>
    <row r="374" spans="1:11" ht="20.25" customHeight="1" x14ac:dyDescent="0.3">
      <c r="A374" s="109"/>
      <c r="B374" s="100"/>
      <c r="C374" s="7"/>
      <c r="D374" s="101"/>
      <c r="E374" s="102"/>
      <c r="F374" s="75"/>
      <c r="G374" s="150"/>
      <c r="H374" s="75"/>
      <c r="I374" s="75"/>
      <c r="J374" s="75"/>
      <c r="K374" s="75"/>
    </row>
    <row r="375" spans="1:11" ht="20.25" customHeight="1" x14ac:dyDescent="0.3">
      <c r="A375" s="109"/>
      <c r="B375" s="100"/>
      <c r="C375" s="7"/>
      <c r="D375" s="101"/>
      <c r="E375" s="102"/>
      <c r="F375" s="75"/>
      <c r="G375" s="150"/>
      <c r="H375" s="75"/>
      <c r="I375" s="75"/>
      <c r="J375" s="75"/>
      <c r="K375" s="75"/>
    </row>
    <row r="376" spans="1:11" ht="20.25" customHeight="1" x14ac:dyDescent="0.3">
      <c r="A376" s="109"/>
      <c r="B376" s="100"/>
      <c r="C376" s="7"/>
      <c r="D376" s="101"/>
      <c r="E376" s="102"/>
      <c r="F376" s="75"/>
      <c r="G376" s="150"/>
      <c r="H376" s="75"/>
      <c r="I376" s="75"/>
      <c r="J376" s="75"/>
      <c r="K376" s="75"/>
    </row>
    <row r="377" spans="1:11" ht="20.25" customHeight="1" x14ac:dyDescent="0.3">
      <c r="A377" s="109"/>
      <c r="B377" s="100"/>
      <c r="C377" s="7"/>
      <c r="D377" s="101"/>
      <c r="E377" s="102"/>
      <c r="F377" s="75"/>
      <c r="G377" s="150"/>
      <c r="H377" s="75"/>
      <c r="I377" s="75"/>
      <c r="J377" s="75"/>
      <c r="K377" s="75"/>
    </row>
    <row r="378" spans="1:11" ht="20.25" customHeight="1" x14ac:dyDescent="0.3">
      <c r="A378" s="109"/>
      <c r="B378" s="100"/>
      <c r="C378" s="7"/>
      <c r="D378" s="101"/>
      <c r="E378" s="102"/>
      <c r="F378" s="75"/>
      <c r="G378" s="150"/>
      <c r="H378" s="75"/>
      <c r="I378" s="75"/>
      <c r="J378" s="75"/>
      <c r="K378" s="75"/>
    </row>
    <row r="379" spans="1:11" ht="20.25" customHeight="1" x14ac:dyDescent="0.3">
      <c r="A379" s="109"/>
      <c r="B379" s="100"/>
      <c r="C379" s="7"/>
      <c r="D379" s="101"/>
      <c r="E379" s="102"/>
      <c r="F379" s="75"/>
      <c r="G379" s="150"/>
      <c r="H379" s="75"/>
      <c r="I379" s="75"/>
      <c r="J379" s="75"/>
      <c r="K379" s="75"/>
    </row>
    <row r="380" spans="1:11" ht="20.25" customHeight="1" x14ac:dyDescent="0.3">
      <c r="A380" s="109"/>
      <c r="B380" s="100"/>
      <c r="C380" s="7"/>
      <c r="D380" s="101"/>
      <c r="E380" s="102"/>
      <c r="F380" s="75"/>
      <c r="G380" s="150"/>
      <c r="H380" s="75"/>
      <c r="I380" s="75"/>
      <c r="J380" s="75"/>
      <c r="K380" s="75"/>
    </row>
    <row r="381" spans="1:11" ht="20.25" customHeight="1" x14ac:dyDescent="0.3">
      <c r="A381" s="109"/>
      <c r="B381" s="100"/>
      <c r="C381" s="7"/>
      <c r="D381" s="101"/>
      <c r="E381" s="102"/>
      <c r="F381" s="75"/>
      <c r="G381" s="150"/>
      <c r="H381" s="75"/>
      <c r="I381" s="75"/>
      <c r="J381" s="75"/>
      <c r="K381" s="75"/>
    </row>
    <row r="382" spans="1:11" ht="20.25" customHeight="1" x14ac:dyDescent="0.3">
      <c r="A382" s="109"/>
      <c r="B382" s="100"/>
      <c r="C382" s="7"/>
      <c r="D382" s="101"/>
      <c r="E382" s="102"/>
      <c r="F382" s="75"/>
      <c r="G382" s="150"/>
      <c r="H382" s="75"/>
      <c r="I382" s="75"/>
      <c r="J382" s="75"/>
      <c r="K382" s="75"/>
    </row>
    <row r="383" spans="1:11" ht="20.25" customHeight="1" x14ac:dyDescent="0.3">
      <c r="A383" s="109"/>
      <c r="B383" s="100"/>
      <c r="C383" s="7"/>
      <c r="D383" s="101"/>
      <c r="E383" s="102"/>
      <c r="F383" s="75"/>
      <c r="G383" s="150"/>
      <c r="H383" s="75"/>
      <c r="I383" s="75"/>
      <c r="J383" s="75"/>
      <c r="K383" s="75"/>
    </row>
    <row r="384" spans="1:11" ht="20.25" customHeight="1" x14ac:dyDescent="0.3">
      <c r="A384" s="109"/>
      <c r="B384" s="100"/>
      <c r="C384" s="7"/>
      <c r="D384" s="101"/>
      <c r="E384" s="102"/>
      <c r="F384" s="75"/>
      <c r="G384" s="150"/>
      <c r="H384" s="75"/>
      <c r="I384" s="75"/>
      <c r="J384" s="75"/>
      <c r="K384" s="75"/>
    </row>
    <row r="385" spans="1:11" ht="20.25" customHeight="1" x14ac:dyDescent="0.3">
      <c r="A385" s="109"/>
      <c r="B385" s="100"/>
      <c r="C385" s="7"/>
      <c r="D385" s="101"/>
      <c r="E385" s="102"/>
      <c r="F385" s="75"/>
      <c r="G385" s="150"/>
      <c r="H385" s="75"/>
      <c r="I385" s="75"/>
      <c r="J385" s="75"/>
      <c r="K385" s="75"/>
    </row>
    <row r="386" spans="1:11" ht="20.25" customHeight="1" x14ac:dyDescent="0.3">
      <c r="A386" s="109"/>
      <c r="B386" s="100"/>
      <c r="C386" s="7"/>
      <c r="D386" s="101"/>
      <c r="E386" s="102"/>
      <c r="F386" s="75"/>
      <c r="G386" s="150"/>
      <c r="H386" s="75"/>
      <c r="I386" s="75"/>
      <c r="J386" s="75"/>
      <c r="K386" s="75"/>
    </row>
    <row r="387" spans="1:11" ht="20.25" customHeight="1" x14ac:dyDescent="0.3">
      <c r="A387" s="109"/>
      <c r="B387" s="100"/>
      <c r="C387" s="7"/>
      <c r="D387" s="101"/>
      <c r="E387" s="102"/>
      <c r="F387" s="75"/>
      <c r="G387" s="150"/>
      <c r="H387" s="75"/>
      <c r="I387" s="75"/>
      <c r="J387" s="75"/>
      <c r="K387" s="75"/>
    </row>
    <row r="388" spans="1:11" ht="20.25" customHeight="1" x14ac:dyDescent="0.3">
      <c r="A388" s="109"/>
      <c r="B388" s="100"/>
      <c r="C388" s="7"/>
      <c r="D388" s="101"/>
      <c r="E388" s="102"/>
      <c r="F388" s="75"/>
      <c r="G388" s="150"/>
      <c r="H388" s="75"/>
      <c r="I388" s="75"/>
      <c r="J388" s="75"/>
      <c r="K388" s="75"/>
    </row>
    <row r="389" spans="1:11" ht="20.25" customHeight="1" x14ac:dyDescent="0.3">
      <c r="A389" s="109"/>
      <c r="B389" s="100"/>
      <c r="C389" s="7"/>
      <c r="D389" s="101"/>
      <c r="E389" s="102"/>
      <c r="F389" s="75"/>
      <c r="G389" s="150"/>
      <c r="H389" s="75"/>
      <c r="I389" s="75"/>
      <c r="J389" s="75"/>
      <c r="K389" s="75"/>
    </row>
    <row r="390" spans="1:11" ht="20.25" customHeight="1" x14ac:dyDescent="0.3">
      <c r="A390" s="109"/>
      <c r="B390" s="100"/>
      <c r="C390" s="7"/>
      <c r="D390" s="101"/>
      <c r="E390" s="102"/>
      <c r="F390" s="75"/>
      <c r="G390" s="150"/>
      <c r="H390" s="75"/>
      <c r="I390" s="75"/>
      <c r="J390" s="75"/>
      <c r="K390" s="75"/>
    </row>
    <row r="391" spans="1:11" ht="20.25" customHeight="1" x14ac:dyDescent="0.3">
      <c r="A391" s="109"/>
      <c r="B391" s="100"/>
      <c r="C391" s="7"/>
      <c r="D391" s="101"/>
      <c r="E391" s="102"/>
      <c r="F391" s="75"/>
      <c r="G391" s="150"/>
      <c r="H391" s="75"/>
      <c r="I391" s="75"/>
      <c r="J391" s="75"/>
      <c r="K391" s="75"/>
    </row>
    <row r="392" spans="1:11" ht="20.25" customHeight="1" x14ac:dyDescent="0.3">
      <c r="A392" s="109"/>
      <c r="B392" s="100"/>
      <c r="C392" s="7"/>
      <c r="D392" s="101"/>
      <c r="E392" s="102"/>
      <c r="F392" s="75"/>
      <c r="G392" s="150"/>
      <c r="H392" s="75"/>
      <c r="I392" s="75"/>
      <c r="J392" s="75"/>
      <c r="K392" s="75"/>
    </row>
    <row r="393" spans="1:11" ht="20.25" customHeight="1" x14ac:dyDescent="0.3">
      <c r="A393" s="109"/>
      <c r="B393" s="100"/>
      <c r="C393" s="7"/>
      <c r="D393" s="101"/>
      <c r="E393" s="102"/>
      <c r="F393" s="75"/>
      <c r="G393" s="150"/>
      <c r="H393" s="75"/>
      <c r="I393" s="75"/>
      <c r="J393" s="75"/>
      <c r="K393" s="75"/>
    </row>
    <row r="394" spans="1:11" ht="20.25" customHeight="1" x14ac:dyDescent="0.3">
      <c r="A394" s="109"/>
      <c r="B394" s="100"/>
      <c r="C394" s="7"/>
      <c r="D394" s="101"/>
      <c r="E394" s="102"/>
      <c r="F394" s="75"/>
      <c r="G394" s="150"/>
      <c r="H394" s="75"/>
      <c r="I394" s="75"/>
      <c r="J394" s="75"/>
      <c r="K394" s="75"/>
    </row>
    <row r="395" spans="1:11" ht="20.25" customHeight="1" x14ac:dyDescent="0.3">
      <c r="A395" s="109"/>
      <c r="B395" s="100"/>
      <c r="C395" s="7"/>
      <c r="D395" s="101"/>
      <c r="E395" s="102"/>
      <c r="F395" s="75"/>
      <c r="G395" s="150"/>
      <c r="H395" s="75"/>
      <c r="I395" s="75"/>
      <c r="J395" s="75"/>
      <c r="K395" s="75"/>
    </row>
    <row r="396" spans="1:11" ht="20.25" customHeight="1" x14ac:dyDescent="0.3">
      <c r="A396" s="109"/>
      <c r="B396" s="100"/>
      <c r="C396" s="7"/>
      <c r="D396" s="101"/>
      <c r="E396" s="102"/>
      <c r="F396" s="75"/>
      <c r="G396" s="150"/>
      <c r="H396" s="75"/>
      <c r="I396" s="75"/>
      <c r="J396" s="75"/>
      <c r="K396" s="75"/>
    </row>
    <row r="397" spans="1:11" ht="20.25" customHeight="1" x14ac:dyDescent="0.3">
      <c r="A397" s="109"/>
      <c r="B397" s="100"/>
      <c r="C397" s="7"/>
      <c r="D397" s="101"/>
      <c r="E397" s="102"/>
      <c r="F397" s="75"/>
      <c r="G397" s="150"/>
      <c r="H397" s="75"/>
      <c r="I397" s="75"/>
      <c r="J397" s="75"/>
      <c r="K397" s="75"/>
    </row>
    <row r="398" spans="1:11" ht="20.25" customHeight="1" x14ac:dyDescent="0.3">
      <c r="A398" s="109"/>
      <c r="B398" s="100"/>
      <c r="C398" s="7"/>
      <c r="D398" s="101"/>
      <c r="E398" s="102"/>
      <c r="F398" s="75"/>
      <c r="G398" s="150"/>
      <c r="H398" s="75"/>
      <c r="I398" s="75"/>
      <c r="J398" s="75"/>
      <c r="K398" s="75"/>
    </row>
    <row r="399" spans="1:11" ht="20.25" customHeight="1" x14ac:dyDescent="0.3">
      <c r="A399" s="109"/>
      <c r="B399" s="100"/>
      <c r="C399" s="7"/>
      <c r="D399" s="101"/>
      <c r="E399" s="102"/>
      <c r="F399" s="75"/>
      <c r="G399" s="150"/>
      <c r="H399" s="75"/>
      <c r="I399" s="75"/>
      <c r="J399" s="75"/>
      <c r="K399" s="75"/>
    </row>
    <row r="400" spans="1:11" ht="20.25" customHeight="1" x14ac:dyDescent="0.3">
      <c r="A400" s="109"/>
      <c r="B400" s="100"/>
      <c r="C400" s="7"/>
      <c r="D400" s="101"/>
      <c r="E400" s="102"/>
      <c r="F400" s="75"/>
      <c r="G400" s="150"/>
      <c r="H400" s="75"/>
      <c r="I400" s="75"/>
      <c r="J400" s="75"/>
      <c r="K400" s="75"/>
    </row>
    <row r="401" spans="1:11" ht="20.25" customHeight="1" x14ac:dyDescent="0.3">
      <c r="A401" s="109"/>
      <c r="B401" s="100"/>
      <c r="C401" s="7"/>
      <c r="D401" s="101"/>
      <c r="E401" s="102"/>
      <c r="F401" s="75"/>
      <c r="G401" s="150"/>
      <c r="H401" s="75"/>
      <c r="I401" s="75"/>
      <c r="J401" s="75"/>
      <c r="K401" s="75"/>
    </row>
    <row r="402" spans="1:11" ht="20.25" customHeight="1" x14ac:dyDescent="0.3">
      <c r="A402" s="109"/>
      <c r="B402" s="100"/>
      <c r="C402" s="7"/>
      <c r="D402" s="101"/>
      <c r="E402" s="102"/>
      <c r="F402" s="75"/>
      <c r="G402" s="150"/>
      <c r="H402" s="75"/>
      <c r="I402" s="75"/>
      <c r="J402" s="75"/>
      <c r="K402" s="75"/>
    </row>
    <row r="403" spans="1:11" ht="20.25" customHeight="1" x14ac:dyDescent="0.3">
      <c r="A403" s="109"/>
      <c r="B403" s="100"/>
      <c r="C403" s="7"/>
      <c r="D403" s="101"/>
      <c r="E403" s="102"/>
      <c r="F403" s="75"/>
      <c r="G403" s="150"/>
      <c r="H403" s="75"/>
      <c r="I403" s="75"/>
      <c r="J403" s="75"/>
      <c r="K403" s="75"/>
    </row>
    <row r="404" spans="1:11" ht="20.25" customHeight="1" x14ac:dyDescent="0.3">
      <c r="A404" s="109"/>
      <c r="B404" s="100"/>
      <c r="C404" s="7"/>
      <c r="D404" s="101"/>
      <c r="E404" s="102"/>
      <c r="F404" s="75"/>
      <c r="G404" s="150"/>
      <c r="H404" s="75"/>
      <c r="I404" s="75"/>
      <c r="J404" s="75"/>
      <c r="K404" s="75"/>
    </row>
    <row r="405" spans="1:11" ht="20.25" customHeight="1" x14ac:dyDescent="0.3">
      <c r="A405" s="109"/>
      <c r="B405" s="100"/>
      <c r="C405" s="7"/>
      <c r="D405" s="101"/>
      <c r="E405" s="102"/>
      <c r="F405" s="75"/>
      <c r="G405" s="150"/>
      <c r="H405" s="75"/>
      <c r="I405" s="75"/>
      <c r="J405" s="75"/>
      <c r="K405" s="75"/>
    </row>
    <row r="406" spans="1:11" ht="20.25" customHeight="1" x14ac:dyDescent="0.3">
      <c r="A406" s="109"/>
      <c r="B406" s="100"/>
      <c r="C406" s="7"/>
      <c r="D406" s="101"/>
      <c r="E406" s="102"/>
      <c r="F406" s="75"/>
      <c r="G406" s="150"/>
      <c r="H406" s="75"/>
      <c r="I406" s="75"/>
      <c r="J406" s="75"/>
      <c r="K406" s="75"/>
    </row>
    <row r="407" spans="1:11" ht="20.25" customHeight="1" x14ac:dyDescent="0.3">
      <c r="A407" s="109"/>
      <c r="B407" s="100"/>
      <c r="C407" s="7"/>
      <c r="D407" s="101"/>
      <c r="E407" s="102"/>
      <c r="F407" s="75"/>
      <c r="G407" s="150"/>
      <c r="H407" s="75"/>
      <c r="I407" s="75"/>
      <c r="J407" s="75"/>
      <c r="K407" s="75"/>
    </row>
    <row r="408" spans="1:11" ht="20.25" customHeight="1" x14ac:dyDescent="0.3">
      <c r="A408" s="109"/>
      <c r="B408" s="100"/>
      <c r="C408" s="7"/>
      <c r="D408" s="101"/>
      <c r="E408" s="102"/>
      <c r="F408" s="75"/>
      <c r="G408" s="150"/>
      <c r="H408" s="75"/>
      <c r="I408" s="75"/>
      <c r="J408" s="75"/>
      <c r="K408" s="75"/>
    </row>
    <row r="409" spans="1:11" ht="20.25" customHeight="1" x14ac:dyDescent="0.3">
      <c r="A409" s="109"/>
      <c r="B409" s="100"/>
      <c r="C409" s="7"/>
      <c r="D409" s="101"/>
      <c r="E409" s="102"/>
      <c r="F409" s="75"/>
      <c r="G409" s="150"/>
      <c r="H409" s="75"/>
      <c r="I409" s="75"/>
      <c r="J409" s="75"/>
      <c r="K409" s="75"/>
    </row>
    <row r="410" spans="1:11" ht="20.25" customHeight="1" x14ac:dyDescent="0.3">
      <c r="A410" s="109"/>
      <c r="B410" s="100"/>
      <c r="C410" s="7"/>
      <c r="D410" s="101"/>
      <c r="E410" s="102"/>
      <c r="F410" s="75"/>
      <c r="G410" s="150"/>
      <c r="H410" s="75"/>
      <c r="I410" s="75"/>
      <c r="J410" s="75"/>
      <c r="K410" s="75"/>
    </row>
    <row r="411" spans="1:11" ht="20.25" customHeight="1" x14ac:dyDescent="0.3">
      <c r="A411" s="109"/>
      <c r="B411" s="100"/>
      <c r="C411" s="7"/>
      <c r="D411" s="101"/>
      <c r="E411" s="102"/>
      <c r="F411" s="75"/>
      <c r="G411" s="150"/>
      <c r="H411" s="75"/>
      <c r="I411" s="75"/>
      <c r="J411" s="75"/>
      <c r="K411" s="75"/>
    </row>
    <row r="412" spans="1:11" ht="20.25" customHeight="1" x14ac:dyDescent="0.3">
      <c r="A412" s="109"/>
      <c r="B412" s="100"/>
      <c r="C412" s="7"/>
      <c r="D412" s="101"/>
      <c r="E412" s="102"/>
      <c r="F412" s="75"/>
      <c r="G412" s="150"/>
      <c r="H412" s="75"/>
      <c r="I412" s="75"/>
      <c r="J412" s="75"/>
      <c r="K412" s="75"/>
    </row>
    <row r="413" spans="1:11" ht="20.25" customHeight="1" x14ac:dyDescent="0.3">
      <c r="A413" s="109"/>
      <c r="B413" s="100"/>
      <c r="C413" s="7"/>
      <c r="D413" s="101"/>
      <c r="E413" s="102"/>
      <c r="F413" s="75"/>
      <c r="G413" s="148"/>
      <c r="H413" s="75"/>
      <c r="I413" s="75"/>
      <c r="J413" s="75"/>
      <c r="K413" s="75"/>
    </row>
    <row r="414" spans="1:11" ht="20.25" customHeight="1" x14ac:dyDescent="0.3">
      <c r="A414" s="109"/>
      <c r="B414" s="100"/>
      <c r="C414" s="7"/>
      <c r="D414" s="101"/>
      <c r="E414" s="102"/>
      <c r="F414" s="75"/>
      <c r="G414" s="148"/>
      <c r="H414" s="75"/>
      <c r="I414" s="75"/>
      <c r="J414" s="75"/>
      <c r="K414" s="75"/>
    </row>
    <row r="415" spans="1:11" ht="20.25" customHeight="1" x14ac:dyDescent="0.3">
      <c r="A415" s="109"/>
      <c r="B415" s="100"/>
      <c r="C415" s="7"/>
      <c r="D415" s="101"/>
      <c r="E415" s="102"/>
      <c r="F415" s="75"/>
      <c r="G415" s="148"/>
      <c r="H415" s="75"/>
      <c r="I415" s="75"/>
      <c r="J415" s="75"/>
      <c r="K415" s="75"/>
    </row>
    <row r="416" spans="1:11" ht="20.25" customHeight="1" x14ac:dyDescent="0.3">
      <c r="A416" s="109"/>
      <c r="B416" s="100"/>
      <c r="C416" s="7"/>
      <c r="D416" s="101"/>
      <c r="E416" s="102"/>
      <c r="F416" s="75"/>
      <c r="G416" s="148"/>
      <c r="H416" s="75"/>
      <c r="I416" s="75"/>
      <c r="J416" s="75"/>
      <c r="K416" s="75"/>
    </row>
    <row r="417" spans="1:11" ht="20.25" customHeight="1" x14ac:dyDescent="0.3">
      <c r="A417" s="109"/>
      <c r="B417" s="100"/>
      <c r="C417" s="7"/>
      <c r="D417" s="101"/>
      <c r="E417" s="102"/>
      <c r="F417" s="75"/>
      <c r="G417" s="148"/>
      <c r="H417" s="75"/>
      <c r="I417" s="75"/>
      <c r="J417" s="75"/>
      <c r="K417" s="75"/>
    </row>
    <row r="418" spans="1:11" ht="20.25" customHeight="1" x14ac:dyDescent="0.3">
      <c r="A418" s="109"/>
      <c r="B418" s="100"/>
      <c r="C418" s="7"/>
      <c r="D418" s="101"/>
      <c r="E418" s="102"/>
      <c r="F418" s="75"/>
      <c r="G418" s="148"/>
      <c r="H418" s="75"/>
      <c r="I418" s="75"/>
      <c r="J418" s="75"/>
      <c r="K418" s="75"/>
    </row>
    <row r="419" spans="1:11" ht="20.25" customHeight="1" x14ac:dyDescent="0.3">
      <c r="A419" s="109"/>
      <c r="B419" s="100"/>
      <c r="C419" s="7"/>
      <c r="D419" s="101"/>
      <c r="E419" s="102"/>
      <c r="F419" s="75"/>
      <c r="G419" s="148"/>
      <c r="H419" s="75"/>
      <c r="I419" s="75"/>
      <c r="J419" s="75"/>
      <c r="K419" s="75"/>
    </row>
    <row r="420" spans="1:11" ht="20.25" customHeight="1" x14ac:dyDescent="0.3">
      <c r="A420" s="109"/>
      <c r="B420" s="100"/>
      <c r="C420" s="7"/>
      <c r="D420" s="101"/>
      <c r="E420" s="102"/>
      <c r="F420" s="75"/>
      <c r="G420" s="148"/>
      <c r="H420" s="75"/>
      <c r="I420" s="75"/>
      <c r="J420" s="75"/>
      <c r="K420" s="75"/>
    </row>
    <row r="421" spans="1:11" ht="20.25" customHeight="1" x14ac:dyDescent="0.3">
      <c r="A421" s="109"/>
      <c r="B421" s="100"/>
      <c r="C421" s="7"/>
      <c r="D421" s="101"/>
      <c r="E421" s="102"/>
      <c r="F421" s="75"/>
      <c r="G421" s="121"/>
      <c r="H421" s="75"/>
      <c r="I421" s="75"/>
      <c r="J421" s="75"/>
      <c r="K421" s="75"/>
    </row>
    <row r="422" spans="1:11" ht="20.25" customHeight="1" x14ac:dyDescent="0.3">
      <c r="A422" s="109"/>
      <c r="B422" s="100"/>
      <c r="C422" s="7"/>
      <c r="D422" s="101"/>
      <c r="E422" s="102"/>
      <c r="F422" s="75"/>
      <c r="G422" s="121"/>
      <c r="H422" s="75"/>
      <c r="I422" s="75"/>
      <c r="J422" s="75"/>
      <c r="K422" s="75"/>
    </row>
    <row r="423" spans="1:11" ht="20.25" customHeight="1" x14ac:dyDescent="0.3">
      <c r="A423" s="109"/>
      <c r="B423" s="100"/>
      <c r="C423" s="7"/>
      <c r="D423" s="101"/>
      <c r="E423" s="102"/>
      <c r="F423" s="75"/>
      <c r="G423" s="121"/>
      <c r="H423" s="75"/>
      <c r="I423" s="75"/>
      <c r="J423" s="75"/>
      <c r="K423" s="75"/>
    </row>
    <row r="424" spans="1:11" ht="20.25" customHeight="1" x14ac:dyDescent="0.3">
      <c r="A424" s="109"/>
      <c r="B424" s="100"/>
      <c r="C424" s="7"/>
      <c r="D424" s="101"/>
      <c r="E424" s="102"/>
      <c r="F424" s="75"/>
      <c r="G424" s="121"/>
      <c r="H424" s="75"/>
      <c r="I424" s="75"/>
      <c r="J424" s="75"/>
      <c r="K424" s="75"/>
    </row>
    <row r="425" spans="1:11" ht="20.25" customHeight="1" x14ac:dyDescent="0.3">
      <c r="A425" s="109"/>
      <c r="B425" s="100"/>
      <c r="C425" s="7"/>
      <c r="D425" s="101"/>
      <c r="E425" s="102"/>
      <c r="F425" s="75"/>
      <c r="G425" s="121"/>
      <c r="H425" s="75"/>
      <c r="I425" s="75"/>
      <c r="J425" s="75"/>
      <c r="K425" s="75"/>
    </row>
    <row r="426" spans="1:11" ht="20.25" customHeight="1" x14ac:dyDescent="0.3">
      <c r="A426" s="109"/>
      <c r="B426" s="100"/>
      <c r="C426" s="7"/>
      <c r="D426" s="101"/>
      <c r="E426" s="102"/>
      <c r="F426" s="75"/>
      <c r="G426" s="121"/>
      <c r="H426" s="75"/>
      <c r="I426" s="75"/>
      <c r="J426" s="75"/>
      <c r="K426" s="75"/>
    </row>
    <row r="427" spans="1:11" ht="20.25" customHeight="1" x14ac:dyDescent="0.3">
      <c r="A427" s="109"/>
      <c r="B427" s="100"/>
      <c r="C427" s="7"/>
      <c r="D427" s="101"/>
      <c r="E427" s="102"/>
      <c r="F427" s="75"/>
      <c r="G427" s="121"/>
      <c r="H427" s="75"/>
      <c r="I427" s="75"/>
      <c r="J427" s="75"/>
      <c r="K427" s="75"/>
    </row>
    <row r="428" spans="1:11" ht="20.25" customHeight="1" x14ac:dyDescent="0.3">
      <c r="A428" s="109"/>
      <c r="B428" s="100"/>
      <c r="C428" s="7"/>
      <c r="D428" s="101"/>
      <c r="E428" s="102"/>
      <c r="F428" s="75"/>
      <c r="G428" s="121"/>
      <c r="H428" s="75"/>
      <c r="I428" s="75"/>
      <c r="J428" s="75"/>
      <c r="K428" s="75"/>
    </row>
    <row r="429" spans="1:11" ht="20.25" customHeight="1" x14ac:dyDescent="0.3">
      <c r="A429" s="109"/>
      <c r="B429" s="100"/>
      <c r="C429" s="7"/>
      <c r="D429" s="101"/>
      <c r="E429" s="102"/>
      <c r="F429" s="75"/>
      <c r="G429" s="121"/>
      <c r="H429" s="75"/>
      <c r="I429" s="75"/>
      <c r="J429" s="75"/>
      <c r="K429" s="75"/>
    </row>
    <row r="430" spans="1:11" ht="20.25" customHeight="1" x14ac:dyDescent="0.3">
      <c r="A430" s="109"/>
      <c r="B430" s="100"/>
      <c r="C430" s="7"/>
      <c r="D430" s="101"/>
      <c r="E430" s="102"/>
      <c r="F430" s="75"/>
      <c r="G430" s="121"/>
      <c r="H430" s="75"/>
      <c r="I430" s="75"/>
      <c r="J430" s="75"/>
      <c r="K430" s="75"/>
    </row>
    <row r="431" spans="1:11" ht="20.25" customHeight="1" x14ac:dyDescent="0.3">
      <c r="A431" s="109"/>
      <c r="B431" s="100"/>
      <c r="C431" s="7"/>
      <c r="D431" s="101"/>
      <c r="E431" s="102"/>
      <c r="F431" s="75"/>
      <c r="G431" s="121"/>
      <c r="H431" s="75"/>
      <c r="I431" s="75"/>
      <c r="J431" s="75"/>
      <c r="K431" s="75"/>
    </row>
    <row r="432" spans="1:11" ht="20.25" customHeight="1" x14ac:dyDescent="0.3">
      <c r="A432" s="109"/>
      <c r="B432" s="100"/>
      <c r="C432" s="7"/>
      <c r="D432" s="101"/>
      <c r="E432" s="102"/>
      <c r="F432" s="75"/>
      <c r="G432" s="121"/>
      <c r="H432" s="75"/>
      <c r="I432" s="75"/>
      <c r="J432" s="75"/>
      <c r="K432" s="75"/>
    </row>
    <row r="433" spans="1:11" ht="20.25" customHeight="1" x14ac:dyDescent="0.3">
      <c r="A433" s="109"/>
      <c r="B433" s="100"/>
      <c r="C433" s="7"/>
      <c r="D433" s="101"/>
      <c r="E433" s="102"/>
      <c r="F433" s="75"/>
      <c r="G433" s="121"/>
      <c r="H433" s="75"/>
      <c r="I433" s="75"/>
      <c r="J433" s="75"/>
      <c r="K433" s="75"/>
    </row>
    <row r="434" spans="1:11" ht="20.25" customHeight="1" x14ac:dyDescent="0.3">
      <c r="A434" s="109"/>
      <c r="B434" s="100"/>
      <c r="C434" s="7"/>
      <c r="D434" s="101"/>
      <c r="E434" s="102"/>
      <c r="F434" s="75"/>
      <c r="G434" s="121"/>
      <c r="H434" s="75"/>
      <c r="I434" s="75"/>
      <c r="J434" s="75"/>
      <c r="K434" s="75"/>
    </row>
    <row r="435" spans="1:11" ht="20.25" customHeight="1" x14ac:dyDescent="0.3">
      <c r="A435" s="109"/>
      <c r="B435" s="100"/>
      <c r="C435" s="7"/>
      <c r="D435" s="101"/>
      <c r="E435" s="102"/>
      <c r="F435" s="75"/>
      <c r="G435" s="121"/>
      <c r="H435" s="75"/>
      <c r="I435" s="75"/>
      <c r="J435" s="75"/>
      <c r="K435" s="75"/>
    </row>
    <row r="436" spans="1:11" ht="20.25" customHeight="1" x14ac:dyDescent="0.3">
      <c r="A436" s="109"/>
      <c r="B436" s="100"/>
      <c r="C436" s="7"/>
      <c r="D436" s="101"/>
      <c r="E436" s="102"/>
      <c r="F436" s="75"/>
      <c r="G436" s="121"/>
      <c r="H436" s="75"/>
      <c r="I436" s="75"/>
      <c r="J436" s="75"/>
      <c r="K436" s="75"/>
    </row>
    <row r="437" spans="1:11" ht="20.25" customHeight="1" x14ac:dyDescent="0.3">
      <c r="A437" s="109"/>
      <c r="B437" s="100"/>
      <c r="C437" s="7"/>
      <c r="D437" s="101"/>
      <c r="E437" s="102"/>
      <c r="F437" s="75"/>
      <c r="G437" s="121"/>
      <c r="H437" s="75"/>
      <c r="I437" s="75"/>
      <c r="J437" s="75"/>
      <c r="K437" s="75"/>
    </row>
    <row r="438" spans="1:11" ht="20.25" customHeight="1" x14ac:dyDescent="0.3">
      <c r="A438" s="109"/>
      <c r="B438" s="100"/>
      <c r="C438" s="7"/>
      <c r="D438" s="101"/>
      <c r="E438" s="102"/>
      <c r="F438" s="75"/>
      <c r="G438" s="121"/>
      <c r="H438" s="75"/>
      <c r="I438" s="75"/>
      <c r="J438" s="75"/>
      <c r="K438" s="75"/>
    </row>
    <row r="439" spans="1:11" ht="20.25" customHeight="1" x14ac:dyDescent="0.3">
      <c r="A439" s="109"/>
      <c r="B439" s="100"/>
      <c r="C439" s="7"/>
      <c r="D439" s="101"/>
      <c r="E439" s="102"/>
      <c r="F439" s="75"/>
      <c r="G439" s="121"/>
      <c r="H439" s="75"/>
      <c r="I439" s="75"/>
      <c r="J439" s="75"/>
      <c r="K439" s="75"/>
    </row>
    <row r="440" spans="1:11" ht="20.25" customHeight="1" x14ac:dyDescent="0.3">
      <c r="A440" s="109"/>
      <c r="B440" s="100"/>
      <c r="C440" s="7"/>
      <c r="D440" s="101"/>
      <c r="E440" s="102"/>
      <c r="F440" s="75"/>
      <c r="G440" s="121"/>
      <c r="H440" s="75"/>
      <c r="I440" s="75"/>
      <c r="J440" s="75"/>
      <c r="K440" s="75"/>
    </row>
    <row r="441" spans="1:11" ht="20.25" customHeight="1" x14ac:dyDescent="0.3">
      <c r="A441" s="109"/>
      <c r="B441" s="100"/>
      <c r="C441" s="7"/>
      <c r="D441" s="101"/>
      <c r="E441" s="102"/>
      <c r="F441" s="75"/>
      <c r="G441" s="121"/>
      <c r="H441" s="75"/>
      <c r="I441" s="75"/>
      <c r="J441" s="75"/>
      <c r="K441" s="75"/>
    </row>
    <row r="442" spans="1:11" ht="20.25" customHeight="1" x14ac:dyDescent="0.3">
      <c r="A442" s="109"/>
      <c r="B442" s="100"/>
      <c r="C442" s="7"/>
      <c r="D442" s="101"/>
      <c r="E442" s="102"/>
      <c r="F442" s="75"/>
      <c r="G442" s="121"/>
      <c r="H442" s="75"/>
      <c r="I442" s="75"/>
      <c r="J442" s="75"/>
      <c r="K442" s="75"/>
    </row>
    <row r="443" spans="1:11" ht="20.25" customHeight="1" x14ac:dyDescent="0.3">
      <c r="A443" s="109"/>
      <c r="B443" s="100"/>
      <c r="C443" s="7"/>
      <c r="D443" s="101"/>
      <c r="E443" s="102"/>
      <c r="F443" s="75"/>
      <c r="G443" s="121"/>
      <c r="H443" s="75"/>
      <c r="I443" s="75"/>
      <c r="J443" s="75"/>
      <c r="K443" s="75"/>
    </row>
    <row r="444" spans="1:11" ht="20.25" customHeight="1" x14ac:dyDescent="0.3">
      <c r="A444" s="109"/>
      <c r="B444" s="100"/>
      <c r="C444" s="7"/>
      <c r="D444" s="101"/>
      <c r="E444" s="102"/>
      <c r="F444" s="75"/>
      <c r="G444" s="121"/>
      <c r="H444" s="75"/>
      <c r="I444" s="75"/>
      <c r="J444" s="75"/>
      <c r="K444" s="75"/>
    </row>
    <row r="445" spans="1:11" ht="20.25" customHeight="1" x14ac:dyDescent="0.3">
      <c r="A445" s="109"/>
      <c r="B445" s="100"/>
      <c r="C445" s="7"/>
      <c r="D445" s="101"/>
      <c r="E445" s="102"/>
      <c r="F445" s="75"/>
      <c r="G445" s="121"/>
      <c r="H445" s="75"/>
      <c r="I445" s="75"/>
      <c r="J445" s="75"/>
      <c r="K445" s="75"/>
    </row>
    <row r="446" spans="1:11" ht="20.25" customHeight="1" x14ac:dyDescent="0.3">
      <c r="A446" s="109"/>
      <c r="B446" s="100"/>
      <c r="C446" s="7"/>
      <c r="D446" s="101"/>
      <c r="E446" s="102"/>
      <c r="F446" s="75"/>
      <c r="G446" s="121"/>
      <c r="H446" s="75"/>
      <c r="I446" s="75"/>
      <c r="J446" s="75"/>
      <c r="K446" s="75"/>
    </row>
    <row r="447" spans="1:11" ht="20.25" customHeight="1" x14ac:dyDescent="0.3">
      <c r="A447" s="109"/>
      <c r="B447" s="100"/>
      <c r="C447" s="7"/>
      <c r="D447" s="101"/>
      <c r="E447" s="102"/>
      <c r="F447" s="75"/>
      <c r="G447" s="121"/>
      <c r="H447" s="75"/>
      <c r="I447" s="75"/>
      <c r="J447" s="75"/>
      <c r="K447" s="75"/>
    </row>
    <row r="448" spans="1:11" ht="20.25" customHeight="1" x14ac:dyDescent="0.3">
      <c r="A448" s="109"/>
      <c r="B448" s="100"/>
      <c r="C448" s="7"/>
      <c r="D448" s="101"/>
      <c r="E448" s="102"/>
      <c r="F448" s="75"/>
      <c r="G448" s="121"/>
      <c r="H448" s="75"/>
      <c r="I448" s="75"/>
      <c r="J448" s="75"/>
      <c r="K448" s="75"/>
    </row>
    <row r="449" spans="1:11" ht="20.25" customHeight="1" x14ac:dyDescent="0.3">
      <c r="A449" s="109"/>
      <c r="B449" s="100"/>
      <c r="C449" s="7"/>
      <c r="D449" s="101"/>
      <c r="E449" s="102"/>
      <c r="F449" s="75"/>
      <c r="G449" s="121"/>
      <c r="H449" s="75"/>
      <c r="I449" s="75"/>
      <c r="J449" s="75"/>
      <c r="K449" s="75"/>
    </row>
    <row r="450" spans="1:11" ht="20.25" customHeight="1" x14ac:dyDescent="0.3">
      <c r="A450" s="109"/>
      <c r="B450" s="100"/>
      <c r="C450" s="7"/>
      <c r="D450" s="101"/>
      <c r="E450" s="102"/>
      <c r="F450" s="75"/>
      <c r="G450" s="121"/>
      <c r="H450" s="75"/>
      <c r="I450" s="75"/>
      <c r="J450" s="75"/>
      <c r="K450" s="75"/>
    </row>
    <row r="451" spans="1:11" ht="20.25" customHeight="1" x14ac:dyDescent="0.3">
      <c r="A451" s="109"/>
      <c r="B451" s="100"/>
      <c r="C451" s="7"/>
      <c r="D451" s="101"/>
      <c r="E451" s="102"/>
      <c r="F451" s="75"/>
      <c r="G451" s="121"/>
      <c r="H451" s="75"/>
      <c r="I451" s="75"/>
      <c r="J451" s="75"/>
      <c r="K451" s="75"/>
    </row>
    <row r="452" spans="1:11" ht="20.25" customHeight="1" x14ac:dyDescent="0.3">
      <c r="A452" s="109"/>
      <c r="B452" s="100"/>
      <c r="C452" s="7"/>
      <c r="D452" s="101"/>
      <c r="E452" s="102"/>
      <c r="F452" s="75"/>
      <c r="G452" s="121"/>
      <c r="H452" s="75"/>
      <c r="I452" s="75"/>
      <c r="J452" s="75"/>
      <c r="K452" s="75"/>
    </row>
    <row r="453" spans="1:11" ht="20.25" customHeight="1" x14ac:dyDescent="0.3">
      <c r="A453" s="109"/>
      <c r="B453" s="100"/>
      <c r="C453" s="7"/>
      <c r="D453" s="101"/>
      <c r="E453" s="102"/>
      <c r="F453" s="75"/>
      <c r="G453" s="121"/>
      <c r="H453" s="75"/>
      <c r="I453" s="75"/>
      <c r="J453" s="75"/>
      <c r="K453" s="75"/>
    </row>
    <row r="454" spans="1:11" ht="20.25" customHeight="1" x14ac:dyDescent="0.3">
      <c r="A454" s="109"/>
      <c r="B454" s="100"/>
      <c r="C454" s="7"/>
      <c r="D454" s="101"/>
      <c r="E454" s="102"/>
      <c r="F454" s="75"/>
      <c r="G454" s="121"/>
      <c r="H454" s="75"/>
      <c r="I454" s="75"/>
      <c r="J454" s="75"/>
      <c r="K454" s="75"/>
    </row>
    <row r="455" spans="1:11" ht="20.25" customHeight="1" x14ac:dyDescent="0.3">
      <c r="A455" s="109"/>
      <c r="B455" s="100"/>
      <c r="C455" s="7"/>
      <c r="D455" s="101"/>
      <c r="E455" s="102"/>
      <c r="F455" s="75"/>
      <c r="G455" s="121"/>
      <c r="H455" s="75"/>
      <c r="I455" s="75"/>
      <c r="J455" s="75"/>
      <c r="K455" s="75"/>
    </row>
    <row r="456" spans="1:11" ht="20.25" customHeight="1" x14ac:dyDescent="0.3">
      <c r="A456" s="109"/>
      <c r="B456" s="100"/>
      <c r="C456" s="7"/>
      <c r="D456" s="101"/>
      <c r="E456" s="102"/>
      <c r="F456" s="75"/>
      <c r="G456" s="121"/>
      <c r="H456" s="75"/>
      <c r="I456" s="75"/>
      <c r="J456" s="75"/>
      <c r="K456" s="75"/>
    </row>
    <row r="457" spans="1:11" ht="20.25" customHeight="1" x14ac:dyDescent="0.3">
      <c r="A457" s="109"/>
      <c r="B457" s="100"/>
      <c r="C457" s="7"/>
      <c r="D457" s="101"/>
      <c r="E457" s="102"/>
      <c r="F457" s="75"/>
      <c r="G457" s="121"/>
      <c r="H457" s="75"/>
      <c r="I457" s="75"/>
      <c r="J457" s="75"/>
      <c r="K457" s="75"/>
    </row>
    <row r="458" spans="1:11" ht="20.25" customHeight="1" x14ac:dyDescent="0.3">
      <c r="A458" s="109"/>
      <c r="B458" s="100"/>
      <c r="C458" s="7"/>
      <c r="D458" s="101"/>
      <c r="E458" s="102"/>
      <c r="F458" s="75"/>
      <c r="G458" s="121"/>
      <c r="H458" s="75"/>
      <c r="I458" s="75"/>
      <c r="J458" s="75"/>
      <c r="K458" s="75"/>
    </row>
    <row r="459" spans="1:11" ht="20.25" customHeight="1" x14ac:dyDescent="0.3">
      <c r="A459" s="109"/>
      <c r="B459" s="100"/>
      <c r="C459" s="7"/>
      <c r="D459" s="101"/>
      <c r="E459" s="102"/>
      <c r="F459" s="75"/>
      <c r="G459" s="121"/>
      <c r="H459" s="75"/>
      <c r="I459" s="75"/>
      <c r="J459" s="75"/>
      <c r="K459" s="75"/>
    </row>
    <row r="460" spans="1:11" ht="20.25" customHeight="1" x14ac:dyDescent="0.3">
      <c r="A460" s="109"/>
      <c r="B460" s="100"/>
      <c r="C460" s="7"/>
      <c r="D460" s="101"/>
      <c r="E460" s="102"/>
      <c r="F460" s="75"/>
      <c r="G460" s="121"/>
      <c r="H460" s="75"/>
      <c r="I460" s="75"/>
      <c r="J460" s="75"/>
      <c r="K460" s="75"/>
    </row>
    <row r="461" spans="1:11" ht="20.25" customHeight="1" x14ac:dyDescent="0.3">
      <c r="A461" s="109"/>
      <c r="B461" s="100"/>
      <c r="C461" s="7"/>
      <c r="D461" s="101"/>
      <c r="E461" s="102"/>
      <c r="F461" s="75"/>
      <c r="G461" s="121"/>
      <c r="H461" s="75"/>
      <c r="I461" s="75"/>
      <c r="J461" s="75"/>
      <c r="K461" s="75"/>
    </row>
    <row r="462" spans="1:11" ht="20.25" customHeight="1" x14ac:dyDescent="0.3">
      <c r="A462" s="109"/>
      <c r="B462" s="100"/>
      <c r="C462" s="7"/>
      <c r="D462" s="101"/>
      <c r="E462" s="102"/>
      <c r="F462" s="75"/>
      <c r="G462" s="121"/>
      <c r="H462" s="75"/>
      <c r="I462" s="75"/>
      <c r="J462" s="75"/>
      <c r="K462" s="75"/>
    </row>
    <row r="463" spans="1:11" ht="20.25" customHeight="1" x14ac:dyDescent="0.3">
      <c r="A463" s="109"/>
      <c r="B463" s="100"/>
      <c r="C463" s="7"/>
      <c r="D463" s="101"/>
      <c r="E463" s="102"/>
      <c r="F463" s="75"/>
      <c r="G463" s="121"/>
      <c r="H463" s="75"/>
      <c r="I463" s="75"/>
      <c r="J463" s="75"/>
      <c r="K463" s="75"/>
    </row>
    <row r="464" spans="1:11" ht="20.25" customHeight="1" x14ac:dyDescent="0.3">
      <c r="A464" s="109"/>
      <c r="B464" s="100"/>
      <c r="C464" s="7"/>
      <c r="D464" s="101"/>
      <c r="E464" s="102"/>
      <c r="F464" s="75"/>
      <c r="G464" s="121"/>
      <c r="H464" s="75"/>
      <c r="I464" s="75"/>
      <c r="J464" s="75"/>
      <c r="K464" s="75"/>
    </row>
    <row r="465" spans="1:11" ht="20.25" customHeight="1" x14ac:dyDescent="0.3">
      <c r="A465" s="109"/>
      <c r="B465" s="100"/>
      <c r="C465" s="7"/>
      <c r="D465" s="101"/>
      <c r="E465" s="102"/>
      <c r="F465" s="75"/>
      <c r="G465" s="121"/>
      <c r="H465" s="75"/>
      <c r="I465" s="75"/>
      <c r="J465" s="75"/>
      <c r="K465" s="75"/>
    </row>
    <row r="466" spans="1:11" ht="20.25" customHeight="1" x14ac:dyDescent="0.3">
      <c r="A466" s="109"/>
      <c r="B466" s="100"/>
      <c r="C466" s="7"/>
      <c r="D466" s="101"/>
      <c r="E466" s="102"/>
      <c r="F466" s="75"/>
      <c r="G466" s="121"/>
      <c r="H466" s="75"/>
      <c r="I466" s="75"/>
      <c r="J466" s="75"/>
      <c r="K466" s="75"/>
    </row>
    <row r="467" spans="1:11" ht="20.25" customHeight="1" x14ac:dyDescent="0.3">
      <c r="A467" s="109"/>
      <c r="B467" s="100"/>
      <c r="C467" s="7"/>
      <c r="D467" s="101"/>
      <c r="E467" s="102"/>
      <c r="F467" s="75"/>
      <c r="G467" s="121"/>
      <c r="H467" s="75"/>
      <c r="I467" s="75"/>
      <c r="J467" s="75"/>
      <c r="K467" s="75"/>
    </row>
    <row r="468" spans="1:11" ht="20.25" customHeight="1" x14ac:dyDescent="0.3">
      <c r="A468" s="109"/>
      <c r="B468" s="100"/>
      <c r="C468" s="7"/>
      <c r="D468" s="101"/>
      <c r="E468" s="102"/>
      <c r="F468" s="75"/>
      <c r="G468" s="121"/>
      <c r="H468" s="75"/>
      <c r="I468" s="75"/>
      <c r="J468" s="75"/>
      <c r="K468" s="75"/>
    </row>
    <row r="469" spans="1:11" ht="20.25" customHeight="1" x14ac:dyDescent="0.3">
      <c r="A469" s="109"/>
      <c r="B469" s="100"/>
      <c r="C469" s="7"/>
      <c r="D469" s="101"/>
      <c r="E469" s="102"/>
      <c r="F469" s="75"/>
      <c r="G469" s="121"/>
      <c r="H469" s="75"/>
      <c r="I469" s="75"/>
      <c r="J469" s="75"/>
      <c r="K469" s="75"/>
    </row>
    <row r="470" spans="1:11" ht="20.25" customHeight="1" x14ac:dyDescent="0.3">
      <c r="A470" s="109"/>
      <c r="B470" s="100"/>
      <c r="C470" s="7"/>
      <c r="D470" s="101"/>
      <c r="E470" s="102"/>
      <c r="F470" s="75"/>
      <c r="G470" s="121"/>
      <c r="H470" s="75"/>
      <c r="I470" s="75"/>
      <c r="J470" s="75"/>
      <c r="K470" s="75"/>
    </row>
    <row r="471" spans="1:11" ht="20.25" customHeight="1" x14ac:dyDescent="0.3">
      <c r="A471" s="109"/>
      <c r="B471" s="100"/>
      <c r="C471" s="7"/>
      <c r="D471" s="101"/>
      <c r="E471" s="102"/>
      <c r="F471" s="75"/>
      <c r="G471" s="121"/>
      <c r="H471" s="75"/>
      <c r="I471" s="75"/>
      <c r="J471" s="75"/>
      <c r="K471" s="75"/>
    </row>
    <row r="472" spans="1:11" ht="20.25" customHeight="1" x14ac:dyDescent="0.3">
      <c r="A472" s="109"/>
      <c r="B472" s="100"/>
      <c r="C472" s="7"/>
      <c r="D472" s="101"/>
      <c r="E472" s="102"/>
      <c r="F472" s="75"/>
      <c r="G472" s="121"/>
      <c r="H472" s="75"/>
      <c r="I472" s="75"/>
      <c r="J472" s="75"/>
      <c r="K472" s="75"/>
    </row>
    <row r="473" spans="1:11" ht="20.25" customHeight="1" x14ac:dyDescent="0.3">
      <c r="A473" s="109"/>
      <c r="B473" s="100"/>
      <c r="C473" s="7"/>
      <c r="D473" s="101"/>
      <c r="E473" s="102"/>
      <c r="F473" s="75"/>
      <c r="G473" s="121"/>
      <c r="H473" s="75"/>
      <c r="I473" s="75"/>
      <c r="J473" s="75"/>
      <c r="K473" s="75"/>
    </row>
    <row r="474" spans="1:11" ht="20.25" customHeight="1" x14ac:dyDescent="0.3">
      <c r="A474" s="109"/>
      <c r="B474" s="100"/>
      <c r="C474" s="7"/>
      <c r="D474" s="101"/>
      <c r="E474" s="102"/>
      <c r="F474" s="75"/>
      <c r="G474" s="121"/>
      <c r="H474" s="75"/>
      <c r="I474" s="75"/>
      <c r="J474" s="75"/>
      <c r="K474" s="75"/>
    </row>
    <row r="475" spans="1:11" ht="20.25" customHeight="1" x14ac:dyDescent="0.3">
      <c r="A475" s="109"/>
      <c r="B475" s="100"/>
      <c r="C475" s="7"/>
      <c r="D475" s="101"/>
      <c r="E475" s="102"/>
      <c r="F475" s="75"/>
      <c r="G475" s="121"/>
      <c r="H475" s="75"/>
      <c r="I475" s="75"/>
      <c r="J475" s="75"/>
      <c r="K475" s="75"/>
    </row>
    <row r="476" spans="1:11" ht="20.25" customHeight="1" x14ac:dyDescent="0.3">
      <c r="A476" s="109"/>
      <c r="B476" s="100"/>
      <c r="C476" s="7"/>
      <c r="D476" s="101"/>
      <c r="E476" s="102"/>
      <c r="F476" s="75"/>
      <c r="G476" s="121"/>
      <c r="H476" s="75"/>
      <c r="I476" s="75"/>
      <c r="J476" s="75"/>
      <c r="K476" s="75"/>
    </row>
    <row r="477" spans="1:11" ht="20.25" customHeight="1" x14ac:dyDescent="0.3">
      <c r="A477" s="109"/>
      <c r="B477" s="100"/>
      <c r="C477" s="7"/>
      <c r="D477" s="101"/>
      <c r="E477" s="102"/>
      <c r="F477" s="75"/>
      <c r="G477" s="121"/>
      <c r="H477" s="75"/>
      <c r="I477" s="75"/>
      <c r="J477" s="75"/>
      <c r="K477" s="75"/>
    </row>
    <row r="478" spans="1:11" ht="20.25" customHeight="1" x14ac:dyDescent="0.3">
      <c r="A478" s="109"/>
      <c r="B478" s="100"/>
      <c r="C478" s="7"/>
      <c r="D478" s="101"/>
      <c r="E478" s="102"/>
      <c r="F478" s="75"/>
      <c r="G478" s="121"/>
      <c r="H478" s="75"/>
      <c r="I478" s="75"/>
      <c r="J478" s="75"/>
      <c r="K478" s="75"/>
    </row>
    <row r="479" spans="1:11" ht="20.25" customHeight="1" x14ac:dyDescent="0.3">
      <c r="A479" s="109"/>
      <c r="B479" s="100"/>
      <c r="C479" s="7"/>
      <c r="D479" s="101"/>
      <c r="E479" s="102"/>
      <c r="F479" s="75"/>
      <c r="G479" s="121"/>
      <c r="H479" s="75"/>
      <c r="I479" s="75"/>
      <c r="J479" s="75"/>
      <c r="K479" s="75"/>
    </row>
    <row r="480" spans="1:11" ht="20.25" customHeight="1" x14ac:dyDescent="0.3">
      <c r="A480" s="109"/>
      <c r="B480" s="100"/>
      <c r="C480" s="7"/>
      <c r="D480" s="101"/>
      <c r="E480" s="102"/>
      <c r="F480" s="75"/>
      <c r="G480" s="121"/>
      <c r="H480" s="75"/>
      <c r="I480" s="75"/>
      <c r="J480" s="75"/>
      <c r="K480" s="75"/>
    </row>
    <row r="481" spans="1:11" ht="20.25" customHeight="1" x14ac:dyDescent="0.3">
      <c r="A481" s="109"/>
      <c r="B481" s="100"/>
      <c r="C481" s="7"/>
      <c r="D481" s="101"/>
      <c r="E481" s="102"/>
      <c r="F481" s="75"/>
      <c r="G481" s="121"/>
      <c r="H481" s="75"/>
      <c r="I481" s="75"/>
      <c r="J481" s="75"/>
      <c r="K481" s="75"/>
    </row>
    <row r="482" spans="1:11" ht="20.25" customHeight="1" x14ac:dyDescent="0.3">
      <c r="A482" s="109"/>
      <c r="B482" s="100"/>
      <c r="C482" s="7"/>
      <c r="D482" s="101"/>
      <c r="E482" s="102"/>
      <c r="F482" s="75"/>
      <c r="G482" s="121"/>
      <c r="H482" s="75"/>
      <c r="I482" s="75"/>
      <c r="J482" s="75"/>
      <c r="K482" s="75"/>
    </row>
    <row r="483" spans="1:11" ht="20.25" customHeight="1" x14ac:dyDescent="0.3">
      <c r="A483" s="109"/>
      <c r="B483" s="100"/>
      <c r="C483" s="7"/>
      <c r="D483" s="101"/>
      <c r="E483" s="102"/>
      <c r="F483" s="75"/>
      <c r="G483" s="121"/>
      <c r="H483" s="75"/>
      <c r="I483" s="75"/>
      <c r="J483" s="75"/>
      <c r="K483" s="75"/>
    </row>
    <row r="484" spans="1:11" ht="20.25" customHeight="1" x14ac:dyDescent="0.3">
      <c r="A484" s="109"/>
      <c r="B484" s="100"/>
      <c r="C484" s="7"/>
      <c r="D484" s="101"/>
      <c r="E484" s="102"/>
      <c r="F484" s="75"/>
      <c r="G484" s="121"/>
      <c r="H484" s="75"/>
      <c r="I484" s="75"/>
      <c r="J484" s="75"/>
      <c r="K484" s="75"/>
    </row>
    <row r="485" spans="1:11" ht="20.25" customHeight="1" x14ac:dyDescent="0.3">
      <c r="A485" s="109"/>
      <c r="B485" s="100"/>
      <c r="C485" s="7"/>
      <c r="D485" s="101"/>
      <c r="E485" s="102"/>
      <c r="F485" s="75"/>
      <c r="G485" s="121"/>
      <c r="H485" s="75"/>
      <c r="I485" s="75"/>
      <c r="J485" s="75"/>
      <c r="K485" s="75"/>
    </row>
    <row r="486" spans="1:11" ht="20.25" customHeight="1" x14ac:dyDescent="0.3">
      <c r="A486" s="109"/>
      <c r="B486" s="100"/>
      <c r="C486" s="7"/>
      <c r="D486" s="101"/>
      <c r="E486" s="102"/>
      <c r="F486" s="75"/>
      <c r="G486" s="121"/>
      <c r="H486" s="75"/>
      <c r="I486" s="75"/>
      <c r="J486" s="75"/>
      <c r="K486" s="75"/>
    </row>
    <row r="487" spans="1:11" ht="20.25" customHeight="1" x14ac:dyDescent="0.3">
      <c r="A487" s="109"/>
      <c r="B487" s="100"/>
      <c r="C487" s="7"/>
      <c r="D487" s="101"/>
      <c r="E487" s="102"/>
      <c r="F487" s="75"/>
      <c r="G487" s="121"/>
      <c r="H487" s="75"/>
      <c r="I487" s="75"/>
      <c r="J487" s="75"/>
      <c r="K487" s="75"/>
    </row>
    <row r="488" spans="1:11" ht="20.25" customHeight="1" x14ac:dyDescent="0.3">
      <c r="A488" s="109"/>
      <c r="B488" s="100"/>
      <c r="C488" s="7"/>
      <c r="D488" s="101"/>
      <c r="E488" s="102"/>
      <c r="F488" s="75"/>
      <c r="G488" s="121"/>
      <c r="H488" s="75"/>
      <c r="I488" s="75"/>
      <c r="J488" s="75"/>
      <c r="K488" s="75"/>
    </row>
    <row r="489" spans="1:11" ht="20.25" customHeight="1" x14ac:dyDescent="0.3">
      <c r="A489" s="109"/>
      <c r="B489" s="100"/>
      <c r="C489" s="7"/>
      <c r="D489" s="101"/>
      <c r="E489" s="102"/>
      <c r="F489" s="75"/>
      <c r="G489" s="121"/>
      <c r="H489" s="75"/>
      <c r="I489" s="75"/>
      <c r="J489" s="75"/>
      <c r="K489" s="75"/>
    </row>
    <row r="490" spans="1:11" ht="20.25" customHeight="1" x14ac:dyDescent="0.3">
      <c r="A490" s="109"/>
      <c r="B490" s="100"/>
      <c r="C490" s="7"/>
      <c r="D490" s="101"/>
      <c r="E490" s="102"/>
      <c r="F490" s="75"/>
      <c r="G490" s="121"/>
      <c r="H490" s="75"/>
      <c r="I490" s="75"/>
      <c r="J490" s="75"/>
      <c r="K490" s="75"/>
    </row>
    <row r="491" spans="1:11" ht="20.25" customHeight="1" x14ac:dyDescent="0.3">
      <c r="A491" s="109"/>
      <c r="B491" s="100"/>
      <c r="C491" s="7"/>
      <c r="D491" s="101"/>
      <c r="E491" s="102"/>
      <c r="F491" s="75"/>
      <c r="G491" s="121"/>
      <c r="H491" s="75"/>
      <c r="I491" s="75"/>
      <c r="J491" s="75"/>
      <c r="K491" s="75"/>
    </row>
    <row r="492" spans="1:11" ht="20.25" customHeight="1" x14ac:dyDescent="0.3">
      <c r="A492" s="109"/>
      <c r="B492" s="100"/>
      <c r="C492" s="7"/>
      <c r="D492" s="101"/>
      <c r="E492" s="102"/>
      <c r="F492" s="75"/>
      <c r="G492" s="121"/>
      <c r="H492" s="75"/>
      <c r="I492" s="75"/>
      <c r="J492" s="75"/>
      <c r="K492" s="75"/>
    </row>
    <row r="493" spans="1:11" ht="20.25" customHeight="1" x14ac:dyDescent="0.3">
      <c r="A493" s="109"/>
      <c r="B493" s="100"/>
      <c r="C493" s="7"/>
      <c r="D493" s="101"/>
      <c r="E493" s="102"/>
      <c r="F493" s="75"/>
      <c r="G493" s="121"/>
      <c r="H493" s="75"/>
      <c r="I493" s="75"/>
      <c r="J493" s="75"/>
      <c r="K493" s="75"/>
    </row>
    <row r="494" spans="1:11" ht="20.25" customHeight="1" x14ac:dyDescent="0.3">
      <c r="A494" s="109"/>
      <c r="B494" s="100"/>
      <c r="C494" s="7"/>
      <c r="D494" s="101"/>
      <c r="E494" s="102"/>
      <c r="F494" s="75"/>
      <c r="G494" s="121"/>
      <c r="H494" s="75"/>
      <c r="I494" s="75"/>
      <c r="J494" s="75"/>
      <c r="K494" s="75"/>
    </row>
    <row r="495" spans="1:11" ht="20.25" customHeight="1" x14ac:dyDescent="0.3">
      <c r="A495" s="109"/>
      <c r="B495" s="100"/>
      <c r="C495" s="7"/>
      <c r="D495" s="101"/>
      <c r="E495" s="102"/>
      <c r="F495" s="75"/>
      <c r="G495" s="121"/>
      <c r="H495" s="75"/>
      <c r="I495" s="75"/>
      <c r="J495" s="75"/>
      <c r="K495" s="75"/>
    </row>
    <row r="496" spans="1:11" ht="20.25" customHeight="1" x14ac:dyDescent="0.3">
      <c r="A496" s="109"/>
      <c r="B496" s="100"/>
      <c r="C496" s="7"/>
      <c r="D496" s="101"/>
      <c r="E496" s="102"/>
      <c r="F496" s="75"/>
      <c r="G496" s="121"/>
      <c r="H496" s="75"/>
      <c r="I496" s="75"/>
      <c r="J496" s="75"/>
      <c r="K496" s="75"/>
    </row>
    <row r="497" spans="1:11" ht="20.25" customHeight="1" x14ac:dyDescent="0.3">
      <c r="A497" s="109"/>
      <c r="B497" s="100"/>
      <c r="C497" s="7"/>
      <c r="D497" s="101"/>
      <c r="E497" s="102"/>
      <c r="F497" s="75"/>
      <c r="G497" s="121"/>
      <c r="H497" s="75"/>
      <c r="I497" s="75"/>
      <c r="J497" s="75"/>
      <c r="K497" s="75"/>
    </row>
    <row r="498" spans="1:11" ht="20.25" customHeight="1" x14ac:dyDescent="0.3">
      <c r="A498" s="109"/>
      <c r="B498" s="100"/>
      <c r="C498" s="7"/>
      <c r="D498" s="101"/>
      <c r="E498" s="102"/>
      <c r="F498" s="75"/>
      <c r="G498" s="121"/>
      <c r="H498" s="75"/>
      <c r="I498" s="75"/>
      <c r="J498" s="75"/>
      <c r="K498" s="75"/>
    </row>
    <row r="499" spans="1:11" ht="20.25" customHeight="1" x14ac:dyDescent="0.3">
      <c r="A499" s="109"/>
      <c r="B499" s="100"/>
      <c r="C499" s="7"/>
      <c r="D499" s="101"/>
      <c r="E499" s="102"/>
      <c r="F499" s="75"/>
      <c r="G499" s="121"/>
      <c r="H499" s="75"/>
      <c r="I499" s="75"/>
      <c r="J499" s="75"/>
      <c r="K499" s="75"/>
    </row>
    <row r="500" spans="1:11" ht="20.25" customHeight="1" x14ac:dyDescent="0.3">
      <c r="A500" s="109"/>
      <c r="B500" s="100"/>
      <c r="C500" s="7"/>
      <c r="D500" s="101"/>
      <c r="E500" s="102"/>
      <c r="F500" s="75"/>
      <c r="G500" s="121"/>
      <c r="H500" s="75"/>
      <c r="I500" s="75"/>
      <c r="J500" s="75"/>
      <c r="K500" s="75"/>
    </row>
    <row r="501" spans="1:11" ht="20.25" customHeight="1" x14ac:dyDescent="0.3">
      <c r="A501" s="109"/>
      <c r="B501" s="100"/>
      <c r="C501" s="7"/>
      <c r="D501" s="101"/>
      <c r="E501" s="102"/>
      <c r="F501" s="75"/>
      <c r="G501" s="121"/>
      <c r="H501" s="75"/>
      <c r="I501" s="75"/>
      <c r="J501" s="75"/>
      <c r="K501" s="75"/>
    </row>
    <row r="502" spans="1:11" ht="20.25" customHeight="1" x14ac:dyDescent="0.3">
      <c r="A502" s="109"/>
      <c r="B502" s="100"/>
      <c r="C502" s="7"/>
      <c r="D502" s="101"/>
      <c r="E502" s="102"/>
      <c r="F502" s="75"/>
      <c r="G502" s="121"/>
      <c r="H502" s="75"/>
      <c r="I502" s="75"/>
      <c r="J502" s="75"/>
      <c r="K502" s="75"/>
    </row>
    <row r="503" spans="1:11" ht="20.25" customHeight="1" x14ac:dyDescent="0.3">
      <c r="A503" s="109"/>
      <c r="B503" s="100"/>
      <c r="C503" s="7"/>
      <c r="D503" s="101"/>
      <c r="E503" s="102"/>
      <c r="F503" s="75"/>
      <c r="G503" s="121"/>
      <c r="H503" s="75"/>
      <c r="I503" s="75"/>
      <c r="J503" s="75"/>
      <c r="K503" s="75"/>
    </row>
    <row r="504" spans="1:11" ht="20.25" customHeight="1" x14ac:dyDescent="0.3">
      <c r="A504" s="109"/>
      <c r="B504" s="100"/>
      <c r="C504" s="7"/>
      <c r="D504" s="101"/>
      <c r="E504" s="102"/>
      <c r="F504" s="75"/>
      <c r="G504" s="121"/>
      <c r="H504" s="75"/>
      <c r="I504" s="75"/>
      <c r="J504" s="75"/>
      <c r="K504" s="75"/>
    </row>
    <row r="505" spans="1:11" ht="20.25" customHeight="1" x14ac:dyDescent="0.3">
      <c r="A505" s="109"/>
      <c r="B505" s="100"/>
      <c r="C505" s="7"/>
      <c r="D505" s="101"/>
      <c r="E505" s="102"/>
      <c r="F505" s="75"/>
      <c r="G505" s="121"/>
      <c r="H505" s="75"/>
      <c r="I505" s="75"/>
      <c r="J505" s="75"/>
      <c r="K505" s="75"/>
    </row>
    <row r="506" spans="1:11" ht="20.25" customHeight="1" x14ac:dyDescent="0.3">
      <c r="A506" s="109"/>
      <c r="B506" s="100"/>
      <c r="C506" s="7"/>
      <c r="D506" s="101"/>
      <c r="E506" s="102"/>
      <c r="F506" s="75"/>
      <c r="G506" s="121"/>
      <c r="H506" s="75"/>
      <c r="I506" s="75"/>
      <c r="J506" s="75"/>
      <c r="K506" s="75"/>
    </row>
    <row r="507" spans="1:11" ht="20.25" customHeight="1" x14ac:dyDescent="0.3">
      <c r="A507" s="109"/>
      <c r="B507" s="100"/>
      <c r="C507" s="7"/>
      <c r="D507" s="101"/>
      <c r="E507" s="102"/>
      <c r="F507" s="75"/>
      <c r="G507" s="121"/>
      <c r="H507" s="75"/>
      <c r="I507" s="75"/>
      <c r="J507" s="75"/>
      <c r="K507" s="75"/>
    </row>
    <row r="508" spans="1:11" ht="20.25" customHeight="1" x14ac:dyDescent="0.3">
      <c r="A508" s="109"/>
      <c r="B508" s="100"/>
      <c r="C508" s="7"/>
      <c r="D508" s="101"/>
      <c r="E508" s="102"/>
      <c r="F508" s="75"/>
      <c r="G508" s="121"/>
      <c r="H508" s="75"/>
      <c r="I508" s="75"/>
      <c r="J508" s="75"/>
      <c r="K508" s="75"/>
    </row>
    <row r="509" spans="1:11" ht="20.25" customHeight="1" x14ac:dyDescent="0.3">
      <c r="A509" s="109"/>
      <c r="B509" s="100"/>
      <c r="C509" s="7"/>
      <c r="D509" s="101"/>
      <c r="E509" s="102"/>
      <c r="F509" s="75"/>
      <c r="G509" s="121"/>
      <c r="H509" s="75"/>
      <c r="I509" s="75"/>
      <c r="J509" s="75"/>
      <c r="K509" s="75"/>
    </row>
    <row r="510" spans="1:11" ht="20.25" customHeight="1" x14ac:dyDescent="0.3">
      <c r="A510" s="109"/>
      <c r="B510" s="100"/>
      <c r="C510" s="7"/>
      <c r="D510" s="101"/>
      <c r="E510" s="102"/>
      <c r="F510" s="75"/>
      <c r="G510" s="121"/>
      <c r="H510" s="75"/>
      <c r="I510" s="75"/>
      <c r="J510" s="75"/>
      <c r="K510" s="75"/>
    </row>
    <row r="511" spans="1:11" ht="20.25" customHeight="1" x14ac:dyDescent="0.3">
      <c r="A511" s="109"/>
      <c r="B511" s="100"/>
      <c r="C511" s="7"/>
      <c r="D511" s="101"/>
      <c r="E511" s="102"/>
      <c r="F511" s="75"/>
      <c r="G511" s="121"/>
      <c r="H511" s="75"/>
      <c r="I511" s="75"/>
      <c r="J511" s="75"/>
      <c r="K511" s="75"/>
    </row>
    <row r="512" spans="1:11" ht="20.25" customHeight="1" x14ac:dyDescent="0.3">
      <c r="A512" s="109"/>
      <c r="B512" s="100"/>
      <c r="C512" s="7"/>
      <c r="D512" s="101"/>
      <c r="E512" s="102"/>
      <c r="F512" s="75"/>
      <c r="G512" s="121"/>
      <c r="H512" s="75"/>
      <c r="I512" s="75"/>
      <c r="J512" s="75"/>
      <c r="K512" s="75"/>
    </row>
    <row r="513" spans="1:11" ht="20.25" customHeight="1" x14ac:dyDescent="0.3">
      <c r="A513" s="109"/>
      <c r="B513" s="100"/>
      <c r="C513" s="7"/>
      <c r="D513" s="101"/>
      <c r="E513" s="102"/>
      <c r="F513" s="75"/>
      <c r="G513" s="121"/>
      <c r="H513" s="75"/>
      <c r="I513" s="75"/>
      <c r="J513" s="75"/>
      <c r="K513" s="75"/>
    </row>
    <row r="514" spans="1:11" ht="20.25" customHeight="1" x14ac:dyDescent="0.3">
      <c r="A514" s="109"/>
      <c r="B514" s="100"/>
      <c r="C514" s="7"/>
      <c r="D514" s="101"/>
      <c r="E514" s="102"/>
      <c r="F514" s="75"/>
      <c r="G514" s="121"/>
      <c r="H514" s="75"/>
      <c r="I514" s="75"/>
      <c r="J514" s="75"/>
      <c r="K514" s="75"/>
    </row>
    <row r="515" spans="1:11" ht="20.25" customHeight="1" x14ac:dyDescent="0.3">
      <c r="A515" s="109"/>
      <c r="B515" s="100"/>
      <c r="C515" s="7"/>
      <c r="D515" s="101"/>
      <c r="E515" s="102"/>
      <c r="F515" s="75"/>
      <c r="G515" s="121"/>
      <c r="H515" s="75"/>
      <c r="I515" s="75"/>
      <c r="J515" s="75"/>
      <c r="K515" s="75"/>
    </row>
    <row r="516" spans="1:11" ht="20.25" customHeight="1" x14ac:dyDescent="0.3">
      <c r="A516" s="109"/>
      <c r="B516" s="100"/>
      <c r="C516" s="7"/>
      <c r="D516" s="101"/>
      <c r="E516" s="102"/>
      <c r="F516" s="75"/>
      <c r="G516" s="121"/>
      <c r="H516" s="75"/>
      <c r="I516" s="75"/>
      <c r="J516" s="75"/>
      <c r="K516" s="75"/>
    </row>
    <row r="517" spans="1:11" ht="20.25" customHeight="1" x14ac:dyDescent="0.3">
      <c r="A517" s="109"/>
      <c r="B517" s="100"/>
      <c r="C517" s="7"/>
      <c r="D517" s="101"/>
      <c r="E517" s="102"/>
      <c r="F517" s="75"/>
      <c r="G517" s="121"/>
      <c r="H517" s="75"/>
      <c r="I517" s="75"/>
      <c r="J517" s="75"/>
      <c r="K517" s="75"/>
    </row>
    <row r="518" spans="1:11" ht="20.25" customHeight="1" x14ac:dyDescent="0.3">
      <c r="A518" s="109"/>
      <c r="B518" s="100"/>
      <c r="C518" s="7"/>
      <c r="D518" s="101"/>
      <c r="E518" s="102"/>
      <c r="F518" s="75"/>
      <c r="G518" s="121"/>
      <c r="H518" s="75"/>
      <c r="I518" s="75"/>
      <c r="J518" s="75"/>
      <c r="K518" s="75"/>
    </row>
    <row r="519" spans="1:11" ht="20.25" customHeight="1" x14ac:dyDescent="0.3">
      <c r="A519" s="109"/>
      <c r="B519" s="100"/>
      <c r="C519" s="7"/>
      <c r="D519" s="101"/>
      <c r="E519" s="102"/>
      <c r="F519" s="75"/>
      <c r="G519" s="121"/>
      <c r="H519" s="75"/>
      <c r="I519" s="75"/>
      <c r="J519" s="75"/>
      <c r="K519" s="75"/>
    </row>
    <row r="520" spans="1:11" ht="20.25" customHeight="1" x14ac:dyDescent="0.3">
      <c r="A520" s="109"/>
      <c r="B520" s="100"/>
      <c r="C520" s="7"/>
      <c r="D520" s="101"/>
      <c r="E520" s="102"/>
      <c r="F520" s="75"/>
      <c r="G520" s="121"/>
      <c r="H520" s="75"/>
      <c r="I520" s="75"/>
      <c r="J520" s="75"/>
      <c r="K520" s="75"/>
    </row>
    <row r="521" spans="1:11" ht="20.25" customHeight="1" x14ac:dyDescent="0.3">
      <c r="A521" s="109"/>
      <c r="B521" s="100"/>
      <c r="C521" s="7"/>
      <c r="D521" s="101"/>
      <c r="E521" s="102"/>
      <c r="F521" s="75"/>
      <c r="G521" s="121"/>
      <c r="H521" s="75"/>
      <c r="I521" s="75"/>
      <c r="J521" s="75"/>
      <c r="K521" s="75"/>
    </row>
    <row r="522" spans="1:11" ht="20.25" customHeight="1" x14ac:dyDescent="0.3">
      <c r="A522" s="109"/>
      <c r="B522" s="100"/>
      <c r="C522" s="7"/>
      <c r="D522" s="101"/>
      <c r="E522" s="102"/>
      <c r="F522" s="75"/>
      <c r="G522" s="121"/>
      <c r="H522" s="75"/>
      <c r="I522" s="75"/>
      <c r="J522" s="75"/>
      <c r="K522" s="75"/>
    </row>
    <row r="523" spans="1:11" ht="20.25" customHeight="1" x14ac:dyDescent="0.3">
      <c r="A523" s="109"/>
      <c r="B523" s="100"/>
      <c r="C523" s="7"/>
      <c r="D523" s="101"/>
      <c r="E523" s="102"/>
      <c r="F523" s="75"/>
      <c r="G523" s="121"/>
      <c r="H523" s="75"/>
      <c r="I523" s="75"/>
      <c r="J523" s="75"/>
      <c r="K523" s="75"/>
    </row>
    <row r="524" spans="1:11" ht="20.25" customHeight="1" x14ac:dyDescent="0.3">
      <c r="A524" s="109"/>
      <c r="B524" s="100"/>
      <c r="C524" s="7"/>
      <c r="D524" s="101"/>
      <c r="E524" s="102"/>
      <c r="F524" s="75"/>
      <c r="G524" s="121"/>
      <c r="H524" s="75"/>
      <c r="I524" s="75"/>
      <c r="J524" s="75"/>
      <c r="K524" s="75"/>
    </row>
    <row r="525" spans="1:11" ht="20.25" customHeight="1" x14ac:dyDescent="0.3">
      <c r="A525" s="109"/>
      <c r="B525" s="100"/>
      <c r="C525" s="7"/>
      <c r="D525" s="101"/>
      <c r="E525" s="102"/>
      <c r="F525" s="75"/>
      <c r="G525" s="121"/>
      <c r="H525" s="75"/>
      <c r="I525" s="75"/>
      <c r="J525" s="75"/>
      <c r="K525" s="75"/>
    </row>
    <row r="526" spans="1:11" ht="20.25" customHeight="1" x14ac:dyDescent="0.3">
      <c r="A526" s="109"/>
      <c r="B526" s="100"/>
      <c r="C526" s="7"/>
      <c r="D526" s="101"/>
      <c r="E526" s="102"/>
      <c r="F526" s="75"/>
      <c r="G526" s="121"/>
      <c r="H526" s="75"/>
      <c r="I526" s="75"/>
      <c r="J526" s="75"/>
      <c r="K526" s="75"/>
    </row>
    <row r="527" spans="1:11" ht="20.25" customHeight="1" x14ac:dyDescent="0.3">
      <c r="A527" s="109"/>
      <c r="B527" s="100"/>
      <c r="C527" s="7"/>
      <c r="D527" s="101"/>
      <c r="E527" s="102"/>
      <c r="F527" s="75"/>
      <c r="G527" s="121"/>
      <c r="H527" s="75"/>
      <c r="I527" s="75"/>
      <c r="J527" s="75"/>
      <c r="K527" s="75"/>
    </row>
    <row r="528" spans="1:11" ht="20.25" customHeight="1" x14ac:dyDescent="0.3">
      <c r="A528" s="109"/>
      <c r="B528" s="100"/>
      <c r="C528" s="7"/>
      <c r="D528" s="101"/>
      <c r="E528" s="102"/>
      <c r="F528" s="75"/>
      <c r="G528" s="121"/>
      <c r="H528" s="75"/>
      <c r="I528" s="75"/>
      <c r="J528" s="75"/>
      <c r="K528" s="75"/>
    </row>
    <row r="529" spans="1:11" ht="20.25" customHeight="1" x14ac:dyDescent="0.3">
      <c r="A529" s="109"/>
      <c r="B529" s="100"/>
      <c r="C529" s="7"/>
      <c r="D529" s="101"/>
      <c r="E529" s="102"/>
      <c r="F529" s="75"/>
      <c r="G529" s="121"/>
      <c r="H529" s="75"/>
      <c r="I529" s="75"/>
      <c r="J529" s="75"/>
      <c r="K529" s="75"/>
    </row>
    <row r="530" spans="1:11" ht="20.25" customHeight="1" x14ac:dyDescent="0.3">
      <c r="A530" s="109"/>
      <c r="B530" s="100"/>
      <c r="C530" s="7"/>
      <c r="D530" s="101"/>
      <c r="E530" s="102"/>
      <c r="F530" s="75"/>
      <c r="G530" s="121"/>
      <c r="H530" s="75"/>
      <c r="I530" s="75"/>
      <c r="J530" s="75"/>
      <c r="K530" s="75"/>
    </row>
    <row r="531" spans="1:11" ht="20.25" customHeight="1" x14ac:dyDescent="0.3">
      <c r="A531" s="109"/>
      <c r="B531" s="100"/>
      <c r="C531" s="7"/>
      <c r="D531" s="101"/>
      <c r="E531" s="102"/>
      <c r="F531" s="75"/>
      <c r="G531" s="121"/>
      <c r="H531" s="75"/>
      <c r="I531" s="75"/>
      <c r="J531" s="75"/>
      <c r="K531" s="75"/>
    </row>
    <row r="532" spans="1:11" ht="20.25" customHeight="1" x14ac:dyDescent="0.3">
      <c r="A532" s="109"/>
      <c r="B532" s="100"/>
      <c r="C532" s="7"/>
      <c r="D532" s="101"/>
      <c r="E532" s="102"/>
      <c r="F532" s="75"/>
      <c r="G532" s="121"/>
      <c r="H532" s="75"/>
      <c r="I532" s="75"/>
      <c r="J532" s="75"/>
      <c r="K532" s="75"/>
    </row>
    <row r="533" spans="1:11" ht="20.25" customHeight="1" x14ac:dyDescent="0.3">
      <c r="A533" s="109"/>
      <c r="B533" s="100"/>
      <c r="C533" s="7"/>
      <c r="D533" s="101"/>
      <c r="E533" s="102"/>
      <c r="F533" s="75"/>
      <c r="G533" s="121"/>
      <c r="H533" s="75"/>
      <c r="I533" s="75"/>
      <c r="J533" s="75"/>
      <c r="K533" s="75"/>
    </row>
    <row r="534" spans="1:11" ht="20.25" customHeight="1" x14ac:dyDescent="0.3">
      <c r="A534" s="109"/>
      <c r="B534" s="100"/>
      <c r="C534" s="7"/>
      <c r="D534" s="101"/>
      <c r="E534" s="102"/>
      <c r="F534" s="75"/>
      <c r="G534" s="121"/>
      <c r="H534" s="75"/>
      <c r="I534" s="75"/>
      <c r="J534" s="75"/>
      <c r="K534" s="75"/>
    </row>
    <row r="535" spans="1:11" ht="20.25" customHeight="1" x14ac:dyDescent="0.3">
      <c r="A535" s="109"/>
      <c r="B535" s="100"/>
      <c r="C535" s="7"/>
      <c r="D535" s="101"/>
      <c r="E535" s="102"/>
      <c r="F535" s="75"/>
      <c r="G535" s="121"/>
      <c r="H535" s="75"/>
      <c r="I535" s="75"/>
      <c r="J535" s="75"/>
      <c r="K535" s="75"/>
    </row>
    <row r="536" spans="1:11" ht="20.25" customHeight="1" x14ac:dyDescent="0.3">
      <c r="A536" s="109"/>
      <c r="B536" s="100"/>
      <c r="C536" s="7"/>
      <c r="D536" s="101"/>
      <c r="E536" s="102"/>
      <c r="F536" s="75"/>
      <c r="G536" s="121"/>
      <c r="H536" s="75"/>
      <c r="I536" s="75"/>
      <c r="J536" s="75"/>
      <c r="K536" s="75"/>
    </row>
    <row r="537" spans="1:11" ht="20.25" customHeight="1" x14ac:dyDescent="0.3">
      <c r="A537" s="109"/>
      <c r="B537" s="100"/>
      <c r="C537" s="7"/>
      <c r="D537" s="101"/>
      <c r="E537" s="102"/>
      <c r="F537" s="75"/>
      <c r="G537" s="121"/>
      <c r="H537" s="75"/>
      <c r="I537" s="75"/>
      <c r="J537" s="75"/>
      <c r="K537" s="75"/>
    </row>
    <row r="538" spans="1:11" ht="20.25" customHeight="1" x14ac:dyDescent="0.3">
      <c r="A538" s="109"/>
      <c r="B538" s="100"/>
      <c r="C538" s="7"/>
      <c r="D538" s="101"/>
      <c r="E538" s="102"/>
      <c r="F538" s="75"/>
      <c r="G538" s="121"/>
      <c r="H538" s="75"/>
      <c r="I538" s="75"/>
      <c r="J538" s="75"/>
      <c r="K538" s="75"/>
    </row>
    <row r="539" spans="1:11" ht="20.25" customHeight="1" x14ac:dyDescent="0.3">
      <c r="A539" s="109"/>
      <c r="B539" s="100"/>
      <c r="C539" s="7"/>
      <c r="D539" s="101"/>
      <c r="E539" s="102"/>
      <c r="F539" s="75"/>
      <c r="G539" s="121"/>
      <c r="H539" s="75"/>
      <c r="I539" s="75"/>
      <c r="J539" s="75"/>
      <c r="K539" s="75"/>
    </row>
    <row r="540" spans="1:11" ht="20.25" customHeight="1" x14ac:dyDescent="0.3">
      <c r="A540" s="109"/>
      <c r="B540" s="100"/>
      <c r="C540" s="7"/>
      <c r="D540" s="101"/>
      <c r="E540" s="102"/>
      <c r="F540" s="75"/>
      <c r="G540" s="121"/>
      <c r="H540" s="75"/>
      <c r="I540" s="75"/>
      <c r="J540" s="75"/>
      <c r="K540" s="75"/>
    </row>
    <row r="541" spans="1:11" ht="20.25" customHeight="1" x14ac:dyDescent="0.3">
      <c r="A541" s="109"/>
      <c r="B541" s="100"/>
      <c r="C541" s="7"/>
      <c r="D541" s="101"/>
      <c r="E541" s="102"/>
      <c r="F541" s="75"/>
      <c r="G541" s="121"/>
      <c r="H541" s="75"/>
      <c r="I541" s="75"/>
      <c r="J541" s="75"/>
      <c r="K541" s="75"/>
    </row>
    <row r="542" spans="1:11" ht="20.25" customHeight="1" x14ac:dyDescent="0.3">
      <c r="A542" s="109"/>
      <c r="B542" s="100"/>
      <c r="C542" s="7"/>
      <c r="D542" s="101"/>
      <c r="E542" s="102"/>
      <c r="F542" s="75"/>
      <c r="G542" s="121"/>
      <c r="H542" s="75"/>
      <c r="I542" s="75"/>
      <c r="J542" s="75"/>
      <c r="K542" s="75"/>
    </row>
    <row r="543" spans="1:11" ht="20.25" customHeight="1" x14ac:dyDescent="0.3">
      <c r="A543" s="109"/>
      <c r="B543" s="100"/>
      <c r="C543" s="7"/>
      <c r="D543" s="101"/>
      <c r="E543" s="102"/>
      <c r="F543" s="75"/>
      <c r="G543" s="121"/>
      <c r="H543" s="75"/>
      <c r="I543" s="75"/>
      <c r="J543" s="75"/>
      <c r="K543" s="75"/>
    </row>
    <row r="544" spans="1:11" ht="20.25" customHeight="1" x14ac:dyDescent="0.3">
      <c r="A544" s="109"/>
      <c r="B544" s="100"/>
      <c r="C544" s="7"/>
      <c r="D544" s="101"/>
      <c r="E544" s="102"/>
      <c r="F544" s="75"/>
      <c r="G544" s="121"/>
      <c r="H544" s="75"/>
      <c r="I544" s="75"/>
      <c r="J544" s="75"/>
      <c r="K544" s="75"/>
    </row>
    <row r="545" spans="1:11" ht="20.25" customHeight="1" x14ac:dyDescent="0.3">
      <c r="A545" s="109"/>
      <c r="B545" s="100"/>
      <c r="C545" s="7"/>
      <c r="D545" s="101"/>
      <c r="E545" s="102"/>
      <c r="F545" s="75"/>
      <c r="G545" s="121"/>
      <c r="H545" s="75"/>
      <c r="I545" s="75"/>
      <c r="J545" s="75"/>
      <c r="K545" s="75"/>
    </row>
    <row r="546" spans="1:11" ht="20.25" customHeight="1" x14ac:dyDescent="0.3">
      <c r="A546" s="109"/>
      <c r="B546" s="100"/>
      <c r="C546" s="7"/>
      <c r="D546" s="101"/>
      <c r="E546" s="102"/>
      <c r="F546" s="75"/>
      <c r="G546" s="121"/>
      <c r="H546" s="75"/>
      <c r="I546" s="75"/>
      <c r="J546" s="75"/>
      <c r="K546" s="75"/>
    </row>
    <row r="547" spans="1:11" ht="20.25" customHeight="1" x14ac:dyDescent="0.3">
      <c r="A547" s="109"/>
      <c r="B547" s="100"/>
      <c r="C547" s="7"/>
      <c r="D547" s="101"/>
      <c r="E547" s="102"/>
      <c r="F547" s="75"/>
      <c r="G547" s="121"/>
      <c r="H547" s="75"/>
      <c r="I547" s="75"/>
      <c r="J547" s="75"/>
      <c r="K547" s="75"/>
    </row>
    <row r="548" spans="1:11" ht="20.25" customHeight="1" x14ac:dyDescent="0.3">
      <c r="A548" s="109"/>
      <c r="B548" s="100"/>
      <c r="C548" s="7"/>
      <c r="D548" s="101"/>
      <c r="E548" s="102"/>
      <c r="F548" s="75"/>
      <c r="G548" s="121"/>
      <c r="H548" s="75"/>
      <c r="I548" s="75"/>
      <c r="J548" s="75"/>
      <c r="K548" s="75"/>
    </row>
    <row r="549" spans="1:11" ht="20.25" customHeight="1" x14ac:dyDescent="0.3">
      <c r="A549" s="109"/>
      <c r="B549" s="100"/>
      <c r="C549" s="7"/>
      <c r="D549" s="101"/>
      <c r="E549" s="102"/>
      <c r="F549" s="75"/>
      <c r="G549" s="121"/>
      <c r="H549" s="75"/>
      <c r="I549" s="75"/>
      <c r="J549" s="75"/>
      <c r="K549" s="75"/>
    </row>
    <row r="550" spans="1:11" ht="20.25" customHeight="1" x14ac:dyDescent="0.3">
      <c r="A550" s="109"/>
      <c r="B550" s="100"/>
      <c r="C550" s="7"/>
      <c r="D550" s="101"/>
      <c r="E550" s="102"/>
      <c r="F550" s="75"/>
      <c r="G550" s="121"/>
      <c r="H550" s="75"/>
      <c r="I550" s="75"/>
      <c r="J550" s="75"/>
      <c r="K550" s="75"/>
    </row>
    <row r="551" spans="1:11" ht="20.25" customHeight="1" x14ac:dyDescent="0.3">
      <c r="A551" s="109"/>
      <c r="B551" s="100"/>
      <c r="C551" s="7"/>
      <c r="D551" s="101"/>
      <c r="E551" s="102"/>
      <c r="F551" s="75"/>
      <c r="G551" s="121"/>
      <c r="H551" s="75"/>
      <c r="I551" s="75"/>
      <c r="J551" s="75"/>
      <c r="K551" s="75"/>
    </row>
    <row r="552" spans="1:11" ht="20.25" customHeight="1" x14ac:dyDescent="0.3">
      <c r="A552" s="109"/>
      <c r="B552" s="100"/>
      <c r="C552" s="7"/>
      <c r="D552" s="101"/>
      <c r="E552" s="102"/>
      <c r="F552" s="75"/>
      <c r="G552" s="121"/>
      <c r="H552" s="75"/>
      <c r="I552" s="75"/>
      <c r="J552" s="75"/>
      <c r="K552" s="75"/>
    </row>
    <row r="553" spans="1:11" ht="20.25" customHeight="1" x14ac:dyDescent="0.3">
      <c r="A553" s="109"/>
      <c r="B553" s="100"/>
      <c r="C553" s="7"/>
      <c r="D553" s="101"/>
      <c r="E553" s="102"/>
      <c r="F553" s="75"/>
      <c r="G553" s="121"/>
      <c r="H553" s="75"/>
      <c r="I553" s="75"/>
      <c r="J553" s="75"/>
      <c r="K553" s="75"/>
    </row>
    <row r="554" spans="1:11" ht="20.25" customHeight="1" x14ac:dyDescent="0.3">
      <c r="A554" s="109"/>
      <c r="B554" s="100"/>
      <c r="C554" s="7"/>
      <c r="D554" s="101"/>
      <c r="E554" s="102"/>
      <c r="F554" s="75"/>
      <c r="G554" s="121"/>
      <c r="H554" s="75"/>
      <c r="I554" s="75"/>
      <c r="J554" s="75"/>
      <c r="K554" s="75"/>
    </row>
    <row r="555" spans="1:11" ht="20.25" customHeight="1" x14ac:dyDescent="0.3">
      <c r="A555" s="109"/>
      <c r="B555" s="100"/>
      <c r="C555" s="7"/>
      <c r="D555" s="101"/>
      <c r="E555" s="102"/>
      <c r="F555" s="75"/>
      <c r="G555" s="121"/>
      <c r="H555" s="75"/>
      <c r="I555" s="75"/>
      <c r="J555" s="75"/>
      <c r="K555" s="75"/>
    </row>
    <row r="556" spans="1:11" ht="20.25" customHeight="1" x14ac:dyDescent="0.3">
      <c r="A556" s="109"/>
      <c r="B556" s="100"/>
      <c r="C556" s="7"/>
      <c r="D556" s="101"/>
      <c r="E556" s="102"/>
      <c r="F556" s="75"/>
      <c r="G556" s="121"/>
      <c r="H556" s="75"/>
      <c r="I556" s="75"/>
      <c r="J556" s="75"/>
      <c r="K556" s="75"/>
    </row>
    <row r="557" spans="1:11" ht="20.25" customHeight="1" x14ac:dyDescent="0.3">
      <c r="A557" s="109"/>
      <c r="B557" s="100"/>
      <c r="C557" s="7"/>
      <c r="D557" s="101"/>
      <c r="E557" s="102"/>
      <c r="F557" s="75"/>
      <c r="G557" s="121"/>
      <c r="H557" s="75"/>
      <c r="I557" s="75"/>
      <c r="J557" s="75"/>
      <c r="K557" s="75"/>
    </row>
    <row r="558" spans="1:11" ht="20.25" customHeight="1" x14ac:dyDescent="0.3">
      <c r="A558" s="109"/>
      <c r="B558" s="100"/>
      <c r="C558" s="7"/>
      <c r="D558" s="101"/>
      <c r="E558" s="102"/>
      <c r="F558" s="75"/>
      <c r="G558" s="121"/>
      <c r="H558" s="75"/>
      <c r="I558" s="75"/>
      <c r="J558" s="75"/>
      <c r="K558" s="75"/>
    </row>
    <row r="559" spans="1:11" ht="20.25" customHeight="1" x14ac:dyDescent="0.3">
      <c r="A559" s="109"/>
      <c r="B559" s="100"/>
      <c r="C559" s="7"/>
      <c r="D559" s="101"/>
      <c r="E559" s="102"/>
      <c r="F559" s="75"/>
      <c r="G559" s="121"/>
      <c r="H559" s="75"/>
      <c r="I559" s="75"/>
      <c r="J559" s="75"/>
      <c r="K559" s="75"/>
    </row>
    <row r="560" spans="1:11" ht="20.25" customHeight="1" x14ac:dyDescent="0.3">
      <c r="A560" s="109"/>
      <c r="B560" s="100"/>
      <c r="C560" s="7"/>
      <c r="D560" s="101"/>
      <c r="E560" s="102"/>
      <c r="F560" s="75"/>
      <c r="G560" s="121"/>
      <c r="H560" s="75"/>
      <c r="I560" s="75"/>
      <c r="J560" s="75"/>
      <c r="K560" s="75"/>
    </row>
    <row r="561" spans="1:11" ht="20.25" customHeight="1" x14ac:dyDescent="0.3">
      <c r="A561" s="109"/>
      <c r="B561" s="100"/>
      <c r="C561" s="7"/>
      <c r="D561" s="101"/>
      <c r="E561" s="102"/>
      <c r="F561" s="75"/>
      <c r="G561" s="121"/>
      <c r="H561" s="75"/>
      <c r="I561" s="75"/>
      <c r="J561" s="75"/>
      <c r="K561" s="75"/>
    </row>
    <row r="562" spans="1:11" ht="20.25" customHeight="1" x14ac:dyDescent="0.3">
      <c r="A562" s="109"/>
      <c r="B562" s="100"/>
      <c r="C562" s="7"/>
      <c r="D562" s="101"/>
      <c r="E562" s="102"/>
      <c r="F562" s="75"/>
      <c r="G562" s="121"/>
      <c r="H562" s="75"/>
      <c r="I562" s="75"/>
      <c r="J562" s="75"/>
      <c r="K562" s="75"/>
    </row>
    <row r="563" spans="1:11" ht="20.25" customHeight="1" x14ac:dyDescent="0.3">
      <c r="A563" s="109"/>
      <c r="B563" s="100"/>
      <c r="C563" s="7"/>
      <c r="D563" s="101"/>
      <c r="E563" s="102"/>
      <c r="F563" s="75"/>
      <c r="G563" s="121"/>
      <c r="H563" s="75"/>
      <c r="I563" s="75"/>
      <c r="J563" s="75"/>
      <c r="K563" s="75"/>
    </row>
    <row r="564" spans="1:11" ht="20.25" customHeight="1" x14ac:dyDescent="0.3">
      <c r="A564" s="109"/>
      <c r="B564" s="100"/>
      <c r="C564" s="7"/>
      <c r="D564" s="101"/>
      <c r="E564" s="102"/>
      <c r="F564" s="75"/>
      <c r="G564" s="121"/>
      <c r="H564" s="75"/>
      <c r="I564" s="75"/>
      <c r="J564" s="75"/>
      <c r="K564" s="75"/>
    </row>
    <row r="565" spans="1:11" ht="20.25" customHeight="1" x14ac:dyDescent="0.3">
      <c r="A565" s="109"/>
      <c r="B565" s="100"/>
      <c r="C565" s="7"/>
      <c r="D565" s="101"/>
      <c r="E565" s="102"/>
      <c r="F565" s="75"/>
      <c r="G565" s="121"/>
      <c r="H565" s="75"/>
      <c r="I565" s="75"/>
      <c r="J565" s="75"/>
      <c r="K565" s="75"/>
    </row>
    <row r="566" spans="1:11" ht="20.25" customHeight="1" x14ac:dyDescent="0.3">
      <c r="A566" s="109"/>
      <c r="B566" s="100"/>
      <c r="C566" s="7"/>
      <c r="D566" s="101"/>
      <c r="E566" s="102"/>
      <c r="F566" s="75"/>
      <c r="G566" s="121"/>
      <c r="H566" s="75"/>
      <c r="I566" s="75"/>
      <c r="J566" s="75"/>
      <c r="K566" s="75"/>
    </row>
    <row r="567" spans="1:11" ht="20.25" customHeight="1" x14ac:dyDescent="0.3">
      <c r="A567" s="109"/>
      <c r="B567" s="100"/>
      <c r="C567" s="7"/>
      <c r="D567" s="101"/>
      <c r="E567" s="102"/>
      <c r="F567" s="75"/>
      <c r="G567" s="121"/>
      <c r="H567" s="75"/>
      <c r="I567" s="75"/>
      <c r="J567" s="75"/>
      <c r="K567" s="75"/>
    </row>
    <row r="568" spans="1:11" ht="20.25" customHeight="1" x14ac:dyDescent="0.3">
      <c r="A568" s="109"/>
      <c r="B568" s="100"/>
      <c r="C568" s="7"/>
      <c r="D568" s="101"/>
      <c r="E568" s="102"/>
      <c r="F568" s="75"/>
      <c r="G568" s="121"/>
      <c r="H568" s="75"/>
      <c r="I568" s="75"/>
      <c r="J568" s="75"/>
      <c r="K568" s="75"/>
    </row>
    <row r="569" spans="1:11" ht="20.25" customHeight="1" x14ac:dyDescent="0.3">
      <c r="A569" s="109"/>
      <c r="B569" s="100"/>
      <c r="C569" s="7"/>
      <c r="D569" s="101"/>
      <c r="E569" s="102"/>
      <c r="F569" s="75"/>
      <c r="G569" s="121"/>
      <c r="H569" s="75"/>
      <c r="I569" s="75"/>
      <c r="J569" s="75"/>
      <c r="K569" s="75"/>
    </row>
    <row r="570" spans="1:11" ht="20.25" customHeight="1" x14ac:dyDescent="0.3">
      <c r="A570" s="109"/>
      <c r="B570" s="100"/>
      <c r="C570" s="7"/>
      <c r="D570" s="101"/>
      <c r="E570" s="102"/>
      <c r="F570" s="75"/>
      <c r="G570" s="121"/>
      <c r="H570" s="75"/>
      <c r="I570" s="75"/>
      <c r="J570" s="75"/>
      <c r="K570" s="75"/>
    </row>
    <row r="571" spans="1:11" ht="20.25" customHeight="1" x14ac:dyDescent="0.3">
      <c r="A571" s="109"/>
      <c r="B571" s="100"/>
      <c r="C571" s="7"/>
      <c r="D571" s="101"/>
      <c r="E571" s="102"/>
      <c r="F571" s="75"/>
      <c r="G571" s="121"/>
      <c r="H571" s="75"/>
      <c r="I571" s="75"/>
      <c r="J571" s="75"/>
      <c r="K571" s="75"/>
    </row>
    <row r="572" spans="1:11" ht="20.25" customHeight="1" x14ac:dyDescent="0.3">
      <c r="A572" s="109"/>
      <c r="B572" s="100"/>
      <c r="C572" s="7"/>
      <c r="D572" s="101"/>
      <c r="E572" s="102"/>
      <c r="F572" s="75"/>
      <c r="G572" s="121"/>
      <c r="H572" s="75"/>
      <c r="I572" s="75"/>
      <c r="J572" s="75"/>
      <c r="K572" s="75"/>
    </row>
    <row r="573" spans="1:11" ht="20.25" customHeight="1" x14ac:dyDescent="0.3">
      <c r="A573" s="109"/>
      <c r="B573" s="100"/>
      <c r="C573" s="7"/>
      <c r="D573" s="101"/>
      <c r="E573" s="102"/>
      <c r="F573" s="75"/>
      <c r="G573" s="121"/>
      <c r="H573" s="75"/>
      <c r="I573" s="75"/>
      <c r="J573" s="75"/>
      <c r="K573" s="75"/>
    </row>
    <row r="574" spans="1:11" ht="20.25" customHeight="1" x14ac:dyDescent="0.3">
      <c r="A574" s="109"/>
      <c r="B574" s="100"/>
      <c r="C574" s="7"/>
      <c r="D574" s="101"/>
      <c r="E574" s="102"/>
      <c r="F574" s="75"/>
      <c r="G574" s="121"/>
      <c r="H574" s="75"/>
      <c r="I574" s="75"/>
      <c r="J574" s="75"/>
      <c r="K574" s="75"/>
    </row>
    <row r="575" spans="1:11" ht="20.25" customHeight="1" x14ac:dyDescent="0.3">
      <c r="A575" s="109"/>
      <c r="B575" s="100"/>
      <c r="C575" s="7"/>
      <c r="D575" s="101"/>
      <c r="E575" s="102"/>
      <c r="F575" s="75"/>
      <c r="G575" s="121"/>
      <c r="H575" s="75"/>
      <c r="I575" s="75"/>
      <c r="J575" s="75"/>
      <c r="K575" s="75"/>
    </row>
    <row r="576" spans="1:11" ht="20.25" customHeight="1" x14ac:dyDescent="0.3">
      <c r="A576" s="109"/>
      <c r="B576" s="100"/>
      <c r="C576" s="7"/>
      <c r="D576" s="101"/>
      <c r="E576" s="102"/>
      <c r="F576" s="75"/>
      <c r="G576" s="121"/>
      <c r="H576" s="75"/>
      <c r="I576" s="75"/>
      <c r="J576" s="75"/>
      <c r="K576" s="75"/>
    </row>
    <row r="577" spans="1:11" ht="20.25" customHeight="1" x14ac:dyDescent="0.3">
      <c r="A577" s="109"/>
      <c r="B577" s="100"/>
      <c r="C577" s="7"/>
      <c r="D577" s="101"/>
      <c r="E577" s="102"/>
      <c r="F577" s="75"/>
      <c r="G577" s="121"/>
      <c r="H577" s="75"/>
      <c r="I577" s="75"/>
      <c r="J577" s="75"/>
      <c r="K577" s="75"/>
    </row>
    <row r="578" spans="1:11" ht="20.25" customHeight="1" x14ac:dyDescent="0.3">
      <c r="A578" s="109"/>
      <c r="B578" s="100"/>
      <c r="C578" s="7"/>
      <c r="D578" s="101"/>
      <c r="E578" s="102"/>
      <c r="F578" s="75"/>
      <c r="G578" s="121"/>
      <c r="H578" s="75"/>
      <c r="I578" s="75"/>
      <c r="J578" s="75"/>
      <c r="K578" s="75"/>
    </row>
    <row r="579" spans="1:11" ht="20.25" customHeight="1" x14ac:dyDescent="0.3">
      <c r="A579" s="109"/>
      <c r="B579" s="100"/>
      <c r="C579" s="7"/>
      <c r="D579" s="101"/>
      <c r="E579" s="102"/>
      <c r="F579" s="75"/>
      <c r="G579" s="121"/>
      <c r="H579" s="75"/>
      <c r="I579" s="75"/>
      <c r="J579" s="75"/>
      <c r="K579" s="75"/>
    </row>
    <row r="580" spans="1:11" ht="20.25" customHeight="1" x14ac:dyDescent="0.3">
      <c r="A580" s="109"/>
      <c r="B580" s="100"/>
      <c r="C580" s="7"/>
      <c r="D580" s="101"/>
      <c r="E580" s="102"/>
      <c r="F580" s="75"/>
      <c r="G580" s="121"/>
      <c r="H580" s="75"/>
      <c r="I580" s="75"/>
      <c r="J580" s="75"/>
      <c r="K580" s="75"/>
    </row>
    <row r="581" spans="1:11" ht="20.25" customHeight="1" x14ac:dyDescent="0.3">
      <c r="A581" s="109"/>
      <c r="B581" s="100"/>
      <c r="C581" s="7"/>
      <c r="D581" s="101"/>
      <c r="E581" s="102"/>
      <c r="F581" s="75"/>
      <c r="G581" s="121"/>
      <c r="H581" s="75"/>
      <c r="I581" s="75"/>
      <c r="J581" s="75"/>
      <c r="K581" s="75"/>
    </row>
    <row r="582" spans="1:11" ht="20.25" customHeight="1" x14ac:dyDescent="0.3">
      <c r="A582" s="109"/>
      <c r="B582" s="100"/>
      <c r="C582" s="7"/>
      <c r="D582" s="101"/>
      <c r="E582" s="102"/>
      <c r="F582" s="75"/>
      <c r="G582" s="121"/>
      <c r="H582" s="75"/>
      <c r="I582" s="75"/>
      <c r="J582" s="75"/>
      <c r="K582" s="75"/>
    </row>
    <row r="583" spans="1:11" ht="20.25" customHeight="1" x14ac:dyDescent="0.3">
      <c r="A583" s="109"/>
      <c r="B583" s="100"/>
      <c r="C583" s="7"/>
      <c r="D583" s="101"/>
      <c r="E583" s="102"/>
      <c r="F583" s="75"/>
      <c r="G583" s="121"/>
      <c r="H583" s="75"/>
      <c r="I583" s="75"/>
      <c r="J583" s="75"/>
      <c r="K583" s="75"/>
    </row>
    <row r="584" spans="1:11" ht="20.25" customHeight="1" x14ac:dyDescent="0.3">
      <c r="A584" s="109"/>
      <c r="B584" s="100"/>
      <c r="C584" s="7"/>
      <c r="D584" s="101"/>
      <c r="E584" s="102"/>
      <c r="F584" s="75"/>
      <c r="G584" s="121"/>
      <c r="H584" s="75"/>
      <c r="I584" s="75"/>
      <c r="J584" s="75"/>
      <c r="K584" s="75"/>
    </row>
    <row r="585" spans="1:11" ht="20.25" customHeight="1" x14ac:dyDescent="0.3">
      <c r="A585" s="109"/>
      <c r="B585" s="100"/>
      <c r="C585" s="7"/>
      <c r="D585" s="101"/>
      <c r="E585" s="102"/>
      <c r="F585" s="75"/>
      <c r="G585" s="121"/>
      <c r="H585" s="75"/>
      <c r="I585" s="75"/>
      <c r="J585" s="75"/>
      <c r="K585" s="75"/>
    </row>
    <row r="586" spans="1:11" ht="20.25" customHeight="1" x14ac:dyDescent="0.3">
      <c r="A586" s="109"/>
      <c r="B586" s="100"/>
      <c r="C586" s="7"/>
      <c r="D586" s="101"/>
      <c r="E586" s="102"/>
      <c r="F586" s="75"/>
      <c r="G586" s="121"/>
      <c r="H586" s="75"/>
      <c r="I586" s="75"/>
      <c r="J586" s="75"/>
      <c r="K586" s="75"/>
    </row>
    <row r="587" spans="1:11" ht="20.25" customHeight="1" x14ac:dyDescent="0.3">
      <c r="A587" s="109"/>
      <c r="B587" s="100"/>
      <c r="C587" s="7"/>
      <c r="D587" s="101"/>
      <c r="E587" s="102"/>
      <c r="F587" s="75"/>
      <c r="G587" s="121"/>
      <c r="H587" s="75"/>
      <c r="I587" s="75"/>
      <c r="J587" s="75"/>
      <c r="K587" s="75"/>
    </row>
    <row r="588" spans="1:11" ht="20.25" customHeight="1" x14ac:dyDescent="0.3">
      <c r="A588" s="109"/>
      <c r="B588" s="100"/>
      <c r="C588" s="7"/>
      <c r="D588" s="101"/>
      <c r="E588" s="102"/>
      <c r="F588" s="75"/>
      <c r="G588" s="121"/>
      <c r="H588" s="75"/>
      <c r="I588" s="75"/>
      <c r="J588" s="75"/>
      <c r="K588" s="75"/>
    </row>
    <row r="589" spans="1:11" ht="20.25" customHeight="1" x14ac:dyDescent="0.3">
      <c r="A589" s="109"/>
      <c r="B589" s="100"/>
      <c r="C589" s="7"/>
      <c r="D589" s="101"/>
      <c r="E589" s="102"/>
      <c r="F589" s="75"/>
      <c r="G589" s="121"/>
      <c r="H589" s="75"/>
      <c r="I589" s="75"/>
      <c r="J589" s="75"/>
      <c r="K589" s="75"/>
    </row>
    <row r="590" spans="1:11" ht="20.25" customHeight="1" x14ac:dyDescent="0.3">
      <c r="A590" s="109"/>
      <c r="B590" s="100"/>
      <c r="C590" s="7"/>
      <c r="D590" s="101"/>
      <c r="E590" s="102"/>
      <c r="F590" s="75"/>
      <c r="G590" s="121"/>
      <c r="H590" s="75"/>
      <c r="I590" s="75"/>
      <c r="J590" s="75"/>
      <c r="K590" s="75"/>
    </row>
    <row r="591" spans="1:11" ht="20.25" customHeight="1" x14ac:dyDescent="0.3">
      <c r="A591" s="109"/>
      <c r="B591" s="100"/>
      <c r="C591" s="7"/>
      <c r="D591" s="101"/>
      <c r="E591" s="102"/>
      <c r="F591" s="75"/>
      <c r="G591" s="121"/>
      <c r="H591" s="75"/>
      <c r="I591" s="75"/>
      <c r="J591" s="75"/>
      <c r="K591" s="75"/>
    </row>
    <row r="592" spans="1:11" ht="20.25" customHeight="1" x14ac:dyDescent="0.3">
      <c r="A592" s="109"/>
      <c r="B592" s="100"/>
      <c r="C592" s="7"/>
      <c r="D592" s="101"/>
      <c r="E592" s="102"/>
      <c r="F592" s="75"/>
      <c r="G592" s="121"/>
      <c r="H592" s="75"/>
      <c r="I592" s="75"/>
      <c r="J592" s="75"/>
      <c r="K592" s="75"/>
    </row>
    <row r="593" spans="1:11" ht="20.25" customHeight="1" x14ac:dyDescent="0.3">
      <c r="A593" s="109"/>
      <c r="B593" s="100"/>
      <c r="C593" s="7"/>
      <c r="D593" s="101"/>
      <c r="E593" s="102"/>
      <c r="F593" s="75"/>
      <c r="G593" s="121"/>
      <c r="H593" s="75"/>
      <c r="I593" s="75"/>
      <c r="J593" s="75"/>
      <c r="K593" s="75"/>
    </row>
    <row r="594" spans="1:11" ht="20.25" customHeight="1" x14ac:dyDescent="0.3">
      <c r="A594" s="109"/>
      <c r="B594" s="100"/>
      <c r="C594" s="7"/>
      <c r="D594" s="101"/>
      <c r="E594" s="102"/>
      <c r="F594" s="75"/>
      <c r="G594" s="121"/>
      <c r="H594" s="75"/>
      <c r="I594" s="75"/>
      <c r="J594" s="75"/>
      <c r="K594" s="75"/>
    </row>
    <row r="595" spans="1:11" ht="20.25" customHeight="1" x14ac:dyDescent="0.3">
      <c r="A595" s="109"/>
      <c r="B595" s="100"/>
      <c r="C595" s="7"/>
      <c r="D595" s="101"/>
      <c r="E595" s="102"/>
      <c r="F595" s="75"/>
      <c r="G595" s="121"/>
      <c r="H595" s="75"/>
      <c r="I595" s="75"/>
      <c r="J595" s="75"/>
      <c r="K595" s="75"/>
    </row>
    <row r="596" spans="1:11" ht="20.25" customHeight="1" x14ac:dyDescent="0.3">
      <c r="A596" s="109"/>
      <c r="B596" s="100"/>
      <c r="C596" s="7"/>
      <c r="D596" s="101"/>
      <c r="E596" s="102"/>
      <c r="F596" s="75"/>
      <c r="G596" s="121"/>
      <c r="H596" s="75"/>
      <c r="I596" s="75"/>
      <c r="J596" s="75"/>
      <c r="K596" s="75"/>
    </row>
    <row r="597" spans="1:11" ht="20.25" customHeight="1" x14ac:dyDescent="0.3">
      <c r="A597" s="109"/>
      <c r="B597" s="100"/>
      <c r="C597" s="7"/>
      <c r="D597" s="101"/>
      <c r="E597" s="102"/>
      <c r="F597" s="75"/>
      <c r="G597" s="121"/>
      <c r="H597" s="75"/>
      <c r="I597" s="75"/>
      <c r="J597" s="75"/>
      <c r="K597" s="75"/>
    </row>
    <row r="598" spans="1:11" ht="20.25" customHeight="1" x14ac:dyDescent="0.3">
      <c r="A598" s="109"/>
      <c r="B598" s="100"/>
      <c r="C598" s="7"/>
      <c r="D598" s="101"/>
      <c r="E598" s="102"/>
      <c r="F598" s="75"/>
      <c r="G598" s="121"/>
      <c r="H598" s="75"/>
      <c r="I598" s="75"/>
      <c r="J598" s="75"/>
      <c r="K598" s="75"/>
    </row>
    <row r="599" spans="1:11" ht="20.25" customHeight="1" x14ac:dyDescent="0.3">
      <c r="A599" s="109"/>
      <c r="B599" s="100"/>
      <c r="C599" s="7"/>
      <c r="D599" s="101"/>
      <c r="E599" s="102"/>
      <c r="F599" s="75"/>
      <c r="G599" s="121"/>
      <c r="H599" s="75"/>
      <c r="I599" s="75"/>
      <c r="J599" s="75"/>
      <c r="K599" s="75"/>
    </row>
    <row r="600" spans="1:11" ht="20.25" customHeight="1" x14ac:dyDescent="0.3">
      <c r="A600" s="109"/>
      <c r="B600" s="100"/>
      <c r="C600" s="7"/>
      <c r="D600" s="101"/>
      <c r="E600" s="102"/>
      <c r="F600" s="75"/>
      <c r="G600" s="121"/>
      <c r="H600" s="75"/>
      <c r="I600" s="75"/>
      <c r="J600" s="75"/>
      <c r="K600" s="75"/>
    </row>
    <row r="601" spans="1:11" ht="20.25" customHeight="1" x14ac:dyDescent="0.3">
      <c r="A601" s="109"/>
      <c r="B601" s="100"/>
      <c r="C601" s="7"/>
      <c r="D601" s="101"/>
      <c r="E601" s="102"/>
      <c r="F601" s="75"/>
      <c r="G601" s="121"/>
      <c r="H601" s="75"/>
      <c r="I601" s="75"/>
      <c r="J601" s="75"/>
      <c r="K601" s="75"/>
    </row>
    <row r="602" spans="1:11" ht="20.25" customHeight="1" x14ac:dyDescent="0.3">
      <c r="A602" s="109"/>
      <c r="B602" s="100"/>
      <c r="C602" s="7"/>
      <c r="D602" s="101"/>
      <c r="E602" s="102"/>
      <c r="F602" s="75"/>
      <c r="G602" s="121"/>
      <c r="H602" s="75"/>
      <c r="I602" s="75"/>
      <c r="J602" s="75"/>
      <c r="K602" s="75"/>
    </row>
    <row r="603" spans="1:11" ht="20.25" customHeight="1" x14ac:dyDescent="0.3">
      <c r="A603" s="109"/>
      <c r="B603" s="100"/>
      <c r="C603" s="7"/>
      <c r="D603" s="101"/>
      <c r="E603" s="102"/>
      <c r="F603" s="75"/>
      <c r="G603" s="121"/>
      <c r="H603" s="75"/>
      <c r="I603" s="75"/>
      <c r="J603" s="75"/>
      <c r="K603" s="75"/>
    </row>
    <row r="604" spans="1:11" ht="20.25" customHeight="1" x14ac:dyDescent="0.3">
      <c r="A604" s="109"/>
      <c r="B604" s="100"/>
      <c r="C604" s="7"/>
      <c r="D604" s="101"/>
      <c r="E604" s="102"/>
      <c r="F604" s="75"/>
      <c r="G604" s="121"/>
      <c r="H604" s="75"/>
      <c r="I604" s="75"/>
      <c r="J604" s="75"/>
      <c r="K604" s="75"/>
    </row>
    <row r="605" spans="1:11" ht="20.25" customHeight="1" x14ac:dyDescent="0.3">
      <c r="A605" s="109"/>
      <c r="B605" s="100"/>
      <c r="C605" s="7"/>
      <c r="D605" s="101"/>
      <c r="E605" s="102"/>
      <c r="F605" s="75"/>
      <c r="G605" s="121"/>
      <c r="H605" s="75"/>
      <c r="I605" s="75"/>
      <c r="J605" s="75"/>
      <c r="K605" s="75"/>
    </row>
    <row r="606" spans="1:11" ht="20.25" customHeight="1" x14ac:dyDescent="0.3">
      <c r="A606" s="109"/>
      <c r="B606" s="100"/>
      <c r="C606" s="7"/>
      <c r="D606" s="101"/>
      <c r="E606" s="102"/>
      <c r="F606" s="75"/>
      <c r="G606" s="121"/>
      <c r="H606" s="75"/>
      <c r="I606" s="75"/>
      <c r="J606" s="75"/>
      <c r="K606" s="75"/>
    </row>
    <row r="607" spans="1:11" ht="20.25" customHeight="1" x14ac:dyDescent="0.3">
      <c r="A607" s="109"/>
      <c r="B607" s="100"/>
      <c r="C607" s="7"/>
      <c r="D607" s="101"/>
      <c r="E607" s="102"/>
      <c r="F607" s="75"/>
      <c r="G607" s="121"/>
      <c r="H607" s="75"/>
      <c r="I607" s="75"/>
      <c r="J607" s="75"/>
      <c r="K607" s="75"/>
    </row>
    <row r="608" spans="1:11" ht="20.25" customHeight="1" x14ac:dyDescent="0.3">
      <c r="A608" s="109"/>
      <c r="B608" s="100"/>
      <c r="C608" s="7"/>
      <c r="D608" s="101"/>
      <c r="E608" s="102"/>
      <c r="F608" s="75"/>
      <c r="G608" s="121"/>
      <c r="H608" s="75"/>
      <c r="I608" s="75"/>
      <c r="J608" s="75"/>
      <c r="K608" s="75"/>
    </row>
    <row r="609" spans="1:11" ht="20.25" customHeight="1" x14ac:dyDescent="0.3">
      <c r="A609" s="109"/>
      <c r="B609" s="100"/>
      <c r="C609" s="7"/>
      <c r="D609" s="101"/>
      <c r="E609" s="102"/>
      <c r="F609" s="75"/>
      <c r="G609" s="121"/>
      <c r="H609" s="75"/>
      <c r="I609" s="75"/>
      <c r="J609" s="75"/>
      <c r="K609" s="75"/>
    </row>
    <row r="610" spans="1:11" ht="20.25" customHeight="1" x14ac:dyDescent="0.3">
      <c r="A610" s="109"/>
      <c r="B610" s="100"/>
      <c r="C610" s="7"/>
      <c r="D610" s="101"/>
      <c r="E610" s="102"/>
      <c r="F610" s="75"/>
      <c r="G610" s="121"/>
      <c r="H610" s="75"/>
      <c r="I610" s="75"/>
      <c r="J610" s="75"/>
      <c r="K610" s="75"/>
    </row>
    <row r="611" spans="1:11" ht="20.25" customHeight="1" x14ac:dyDescent="0.3">
      <c r="A611" s="109"/>
      <c r="B611" s="100"/>
      <c r="C611" s="7"/>
      <c r="D611" s="101"/>
      <c r="E611" s="102"/>
      <c r="F611" s="75"/>
      <c r="G611" s="121"/>
      <c r="H611" s="75"/>
      <c r="I611" s="75"/>
      <c r="J611" s="75"/>
      <c r="K611" s="75"/>
    </row>
    <row r="612" spans="1:11" ht="20.25" customHeight="1" x14ac:dyDescent="0.3">
      <c r="A612" s="109"/>
      <c r="B612" s="100"/>
      <c r="C612" s="7"/>
      <c r="D612" s="101"/>
      <c r="E612" s="102"/>
      <c r="F612" s="75"/>
      <c r="G612" s="121"/>
      <c r="H612" s="75"/>
      <c r="I612" s="75"/>
      <c r="J612" s="75"/>
      <c r="K612" s="75"/>
    </row>
    <row r="613" spans="1:11" ht="20.25" customHeight="1" x14ac:dyDescent="0.3">
      <c r="A613" s="109"/>
      <c r="B613" s="100"/>
      <c r="C613" s="7"/>
      <c r="D613" s="101"/>
      <c r="E613" s="102"/>
      <c r="F613" s="75"/>
      <c r="G613" s="121"/>
      <c r="H613" s="75"/>
      <c r="I613" s="75"/>
      <c r="J613" s="75"/>
      <c r="K613" s="75"/>
    </row>
    <row r="614" spans="1:11" ht="20.25" customHeight="1" x14ac:dyDescent="0.3">
      <c r="A614" s="109"/>
      <c r="B614" s="100"/>
      <c r="C614" s="7"/>
      <c r="D614" s="101"/>
      <c r="E614" s="102"/>
      <c r="F614" s="75"/>
      <c r="G614" s="121"/>
      <c r="H614" s="75"/>
      <c r="I614" s="75"/>
      <c r="J614" s="75"/>
      <c r="K614" s="75"/>
    </row>
    <row r="615" spans="1:11" ht="20.25" customHeight="1" x14ac:dyDescent="0.3">
      <c r="A615" s="109"/>
      <c r="B615" s="100"/>
      <c r="C615" s="7"/>
      <c r="D615" s="101"/>
      <c r="E615" s="102"/>
      <c r="F615" s="75"/>
      <c r="G615" s="121"/>
      <c r="H615" s="75"/>
      <c r="I615" s="75"/>
      <c r="J615" s="75"/>
      <c r="K615" s="75"/>
    </row>
    <row r="616" spans="1:11" ht="20.25" customHeight="1" x14ac:dyDescent="0.3">
      <c r="A616" s="109"/>
      <c r="B616" s="100"/>
      <c r="C616" s="7"/>
      <c r="D616" s="101"/>
      <c r="E616" s="102"/>
      <c r="F616" s="75"/>
      <c r="G616" s="121"/>
      <c r="H616" s="75"/>
      <c r="I616" s="75"/>
      <c r="J616" s="75"/>
      <c r="K616" s="75"/>
    </row>
    <row r="617" spans="1:11" ht="20.25" customHeight="1" x14ac:dyDescent="0.3">
      <c r="A617" s="109"/>
      <c r="B617" s="100"/>
      <c r="C617" s="7"/>
      <c r="D617" s="101"/>
      <c r="E617" s="102"/>
      <c r="F617" s="75"/>
      <c r="G617" s="121"/>
      <c r="H617" s="75"/>
      <c r="I617" s="75"/>
      <c r="J617" s="75"/>
      <c r="K617" s="75"/>
    </row>
    <row r="618" spans="1:11" ht="20.25" customHeight="1" x14ac:dyDescent="0.3">
      <c r="A618" s="109"/>
      <c r="B618" s="100"/>
      <c r="C618" s="7"/>
      <c r="D618" s="101"/>
      <c r="E618" s="102"/>
      <c r="F618" s="75"/>
      <c r="G618" s="121"/>
      <c r="H618" s="75"/>
      <c r="I618" s="75"/>
      <c r="J618" s="75"/>
      <c r="K618" s="75"/>
    </row>
    <row r="619" spans="1:11" ht="20.25" customHeight="1" x14ac:dyDescent="0.3">
      <c r="A619" s="109"/>
      <c r="B619" s="100"/>
      <c r="C619" s="7"/>
      <c r="D619" s="101"/>
      <c r="E619" s="102"/>
      <c r="F619" s="75"/>
      <c r="G619" s="121"/>
      <c r="H619" s="75"/>
      <c r="I619" s="75"/>
      <c r="J619" s="75"/>
      <c r="K619" s="75"/>
    </row>
    <row r="620" spans="1:11" ht="20.25" customHeight="1" x14ac:dyDescent="0.3">
      <c r="A620" s="109"/>
      <c r="B620" s="100"/>
      <c r="C620" s="7"/>
      <c r="D620" s="101"/>
      <c r="E620" s="102"/>
      <c r="F620" s="75"/>
      <c r="G620" s="121"/>
      <c r="H620" s="75"/>
      <c r="I620" s="75"/>
      <c r="J620" s="75"/>
      <c r="K620" s="75"/>
    </row>
    <row r="621" spans="1:11" ht="20.25" customHeight="1" x14ac:dyDescent="0.3">
      <c r="A621" s="109"/>
      <c r="B621" s="100"/>
      <c r="C621" s="7"/>
      <c r="D621" s="101"/>
      <c r="E621" s="102"/>
      <c r="F621" s="75"/>
      <c r="G621" s="121"/>
      <c r="H621" s="75"/>
      <c r="I621" s="75"/>
      <c r="J621" s="75"/>
      <c r="K621" s="75"/>
    </row>
    <row r="622" spans="1:11" ht="20.25" customHeight="1" x14ac:dyDescent="0.3">
      <c r="A622" s="109"/>
      <c r="B622" s="100"/>
      <c r="C622" s="7"/>
      <c r="D622" s="101"/>
      <c r="E622" s="102"/>
      <c r="F622" s="75"/>
      <c r="G622" s="121"/>
      <c r="H622" s="75"/>
      <c r="I622" s="75"/>
      <c r="J622" s="75"/>
      <c r="K622" s="75"/>
    </row>
    <row r="623" spans="1:11" ht="20.25" customHeight="1" x14ac:dyDescent="0.3">
      <c r="A623" s="109"/>
      <c r="B623" s="100"/>
      <c r="C623" s="7"/>
      <c r="D623" s="101"/>
      <c r="E623" s="102"/>
      <c r="F623" s="75"/>
      <c r="G623" s="121"/>
      <c r="H623" s="75"/>
      <c r="I623" s="75"/>
      <c r="J623" s="75"/>
      <c r="K623" s="75"/>
    </row>
    <row r="624" spans="1:11" ht="20.25" customHeight="1" x14ac:dyDescent="0.3">
      <c r="A624" s="109"/>
      <c r="B624" s="100"/>
      <c r="C624" s="7"/>
      <c r="D624" s="101"/>
      <c r="E624" s="102"/>
      <c r="F624" s="75"/>
      <c r="G624" s="121"/>
      <c r="H624" s="75"/>
      <c r="I624" s="75"/>
      <c r="J624" s="75"/>
      <c r="K624" s="75"/>
    </row>
    <row r="625" spans="1:6" ht="20.25" customHeight="1" x14ac:dyDescent="0.3"/>
    <row r="626" spans="1:6" ht="9.75" customHeight="1" x14ac:dyDescent="0.3"/>
    <row r="627" spans="1:6" ht="59.25" customHeight="1" x14ac:dyDescent="0.3"/>
    <row r="628" spans="1:6" ht="9" customHeight="1" x14ac:dyDescent="0.3"/>
    <row r="629" spans="1:6" ht="17.25" customHeight="1" x14ac:dyDescent="0.3"/>
    <row r="630" spans="1:6" ht="33" customHeight="1" x14ac:dyDescent="0.3"/>
    <row r="631" spans="1:6" ht="17.25" customHeight="1" x14ac:dyDescent="0.3"/>
    <row r="636" spans="1:6" ht="51" customHeight="1" x14ac:dyDescent="0.3"/>
    <row r="637" spans="1:6" ht="18" customHeight="1" x14ac:dyDescent="0.3">
      <c r="A637" s="97"/>
      <c r="B637" s="97"/>
      <c r="C637" s="97"/>
      <c r="D637" s="97"/>
      <c r="E637" s="97"/>
      <c r="F637" s="97"/>
    </row>
  </sheetData>
  <mergeCells count="4">
    <mergeCell ref="D13:H13"/>
    <mergeCell ref="A6:B6"/>
    <mergeCell ref="A5:B5"/>
    <mergeCell ref="D2:I2"/>
  </mergeCells>
  <dataValidations count="1">
    <dataValidation type="list" allowBlank="1" showInputMessage="1" showErrorMessage="1" sqref="H6">
      <formula1>ValidPerioder</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3074" r:id="rId4" name="CommandButton1">
          <controlPr autoLine="0" r:id="rId5">
            <anchor moveWithCells="1">
              <from>
                <xdr:col>0</xdr:col>
                <xdr:colOff>142875</xdr:colOff>
                <xdr:row>6</xdr:row>
                <xdr:rowOff>66675</xdr:rowOff>
              </from>
              <to>
                <xdr:col>0</xdr:col>
                <xdr:colOff>3019425</xdr:colOff>
                <xdr:row>8</xdr:row>
                <xdr:rowOff>114300</xdr:rowOff>
              </to>
            </anchor>
          </controlPr>
        </control>
      </mc:Choice>
      <mc:Fallback>
        <control shapeId="3074" r:id="rId4" name="CommandButton1"/>
      </mc:Fallback>
    </mc:AlternateContent>
    <mc:AlternateContent xmlns:mc="http://schemas.openxmlformats.org/markup-compatibility/2006">
      <mc:Choice Requires="x14">
        <control shapeId="3086" r:id="rId6" name="Drop Down 14">
          <controlPr defaultSize="0" autoLine="0" autoPict="0" macro="[0]!Nedrullningsbarlistruta14_Ändra">
            <anchor moveWithCells="1">
              <from>
                <xdr:col>0</xdr:col>
                <xdr:colOff>3076575</xdr:colOff>
                <xdr:row>6</xdr:row>
                <xdr:rowOff>171450</xdr:rowOff>
              </from>
              <to>
                <xdr:col>3</xdr:col>
                <xdr:colOff>1266825</xdr:colOff>
                <xdr:row>8</xdr:row>
                <xdr:rowOff>19050</xdr:rowOff>
              </to>
            </anchor>
          </controlPr>
        </control>
      </mc:Choice>
    </mc:AlternateContent>
  </controls>
  <tableParts count="1">
    <tablePart r:id="rId7"/>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Konstanter!$L$6:$L$10</xm:f>
          </x14:formula1>
          <xm:sqref>J6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dimension ref="A1:T19"/>
  <sheetViews>
    <sheetView workbookViewId="0">
      <selection activeCell="C11" sqref="C11"/>
    </sheetView>
  </sheetViews>
  <sheetFormatPr defaultRowHeight="15" x14ac:dyDescent="0.3"/>
  <cols>
    <col min="1" max="1" width="9" style="24"/>
    <col min="2" max="2" width="32.25" style="24" customWidth="1"/>
    <col min="3" max="3" width="19.625" style="24" customWidth="1"/>
    <col min="4" max="5" width="11.5" style="24" customWidth="1"/>
    <col min="6" max="7" width="12" style="24" customWidth="1"/>
    <col min="8" max="8" width="12.5" style="24" customWidth="1"/>
    <col min="9" max="9" width="11.625" style="24" customWidth="1"/>
    <col min="10" max="16384" width="9" style="24"/>
  </cols>
  <sheetData>
    <row r="1" spans="1:20" ht="9" customHeight="1" x14ac:dyDescent="0.3">
      <c r="A1" s="1"/>
      <c r="B1" s="1"/>
      <c r="C1" s="1"/>
      <c r="D1" s="1"/>
      <c r="E1" s="1"/>
      <c r="F1" s="1"/>
      <c r="G1" s="1"/>
      <c r="H1" s="1"/>
      <c r="I1" s="1"/>
      <c r="J1" s="1"/>
      <c r="K1" s="1"/>
      <c r="L1" s="1"/>
      <c r="M1" s="1"/>
      <c r="N1" s="1"/>
      <c r="O1" s="1"/>
      <c r="P1" s="1"/>
      <c r="Q1" s="1"/>
      <c r="R1" s="1"/>
      <c r="S1" s="1"/>
      <c r="T1" s="1"/>
    </row>
    <row r="2" spans="1:20" ht="51" customHeight="1" x14ac:dyDescent="0.3">
      <c r="A2" s="138" t="s">
        <v>242</v>
      </c>
      <c r="B2" s="4"/>
      <c r="C2" s="4"/>
      <c r="D2" s="4"/>
      <c r="E2" s="4"/>
      <c r="F2" s="1"/>
      <c r="G2" s="6"/>
      <c r="H2" s="200" t="str">
        <f>'Ditt informationsblad'!$E$2</f>
        <v>Civilingenjör i Industriell Ekonomi</v>
      </c>
      <c r="I2" s="200"/>
      <c r="J2" s="200"/>
      <c r="K2" s="200"/>
      <c r="L2" s="200"/>
      <c r="M2" s="200"/>
      <c r="N2" s="200"/>
      <c r="O2" s="1"/>
      <c r="P2" s="1"/>
      <c r="Q2" s="1"/>
      <c r="R2" s="1"/>
      <c r="S2" s="1"/>
      <c r="T2" s="1"/>
    </row>
    <row r="3" spans="1:20" ht="9" customHeight="1" x14ac:dyDescent="0.3">
      <c r="A3" s="1"/>
      <c r="B3" s="1"/>
      <c r="C3" s="1"/>
      <c r="D3" s="1"/>
      <c r="E3" s="1"/>
      <c r="F3" s="1"/>
      <c r="G3" s="1"/>
      <c r="H3" s="1"/>
      <c r="I3" s="1"/>
      <c r="J3" s="1"/>
      <c r="K3" s="1"/>
      <c r="L3" s="1"/>
      <c r="M3" s="1"/>
      <c r="N3" s="1"/>
      <c r="O3" s="1"/>
      <c r="P3" s="1"/>
      <c r="Q3" s="1"/>
      <c r="R3" s="1"/>
      <c r="S3" s="1"/>
      <c r="T3" s="1"/>
    </row>
    <row r="5" spans="1:20" x14ac:dyDescent="0.3">
      <c r="D5" s="201" t="s">
        <v>256</v>
      </c>
      <c r="E5" s="201"/>
      <c r="F5" s="201" t="s">
        <v>259</v>
      </c>
      <c r="G5" s="201"/>
      <c r="H5" s="201" t="s">
        <v>260</v>
      </c>
      <c r="I5" s="201"/>
    </row>
    <row r="6" spans="1:20" ht="23.25" customHeight="1" x14ac:dyDescent="0.3">
      <c r="B6" s="103" t="s">
        <v>15</v>
      </c>
      <c r="C6" s="103" t="s">
        <v>14</v>
      </c>
      <c r="D6" s="122" t="s">
        <v>257</v>
      </c>
      <c r="E6" s="122" t="s">
        <v>258</v>
      </c>
      <c r="F6" s="122" t="s">
        <v>257</v>
      </c>
      <c r="G6" s="122" t="s">
        <v>258</v>
      </c>
      <c r="H6" s="122" t="s">
        <v>257</v>
      </c>
      <c r="I6" s="122" t="s">
        <v>258</v>
      </c>
    </row>
    <row r="7" spans="1:20" ht="26.25" customHeight="1" x14ac:dyDescent="0.3"/>
    <row r="17" spans="2:2" x14ac:dyDescent="0.3">
      <c r="B17" s="24" t="s">
        <v>20</v>
      </c>
    </row>
    <row r="18" spans="2:2" x14ac:dyDescent="0.3">
      <c r="B18" s="24" t="s">
        <v>20</v>
      </c>
    </row>
    <row r="19" spans="2:2" x14ac:dyDescent="0.3">
      <c r="B19" s="24" t="s">
        <v>20</v>
      </c>
    </row>
  </sheetData>
  <mergeCells count="4">
    <mergeCell ref="H2:N2"/>
    <mergeCell ref="F5:G5"/>
    <mergeCell ref="H5:I5"/>
    <mergeCell ref="D5:E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theme="6"/>
    <pageSetUpPr autoPageBreaks="0" fitToPage="1"/>
  </sheetPr>
  <dimension ref="A1:N135"/>
  <sheetViews>
    <sheetView showGridLines="0" topLeftCell="A19" zoomScaleNormal="100" workbookViewId="0">
      <selection activeCell="F67" sqref="F67"/>
    </sheetView>
  </sheetViews>
  <sheetFormatPr defaultRowHeight="18" customHeight="1" x14ac:dyDescent="0.3"/>
  <cols>
    <col min="1" max="1" width="41.25" bestFit="1" customWidth="1"/>
    <col min="2" max="2" width="18.875" customWidth="1"/>
    <col min="3" max="4" width="12" customWidth="1"/>
    <col min="5" max="5" width="42.625" customWidth="1"/>
    <col min="6" max="6" width="35.875" customWidth="1"/>
    <col min="7" max="7" width="16.25" customWidth="1"/>
    <col min="8" max="8" width="9" customWidth="1"/>
    <col min="9" max="9" width="11.125" bestFit="1" customWidth="1"/>
    <col min="10" max="10" width="10.75" bestFit="1" customWidth="1"/>
    <col min="11" max="11" width="23.75" customWidth="1"/>
    <col min="12" max="12" width="14.375" customWidth="1"/>
    <col min="13" max="13" width="15.375" customWidth="1"/>
    <col min="14" max="14" width="13.875" customWidth="1"/>
    <col min="15" max="15" width="16.875" customWidth="1"/>
  </cols>
  <sheetData>
    <row r="1" spans="1:7" ht="6.75" customHeight="1" x14ac:dyDescent="0.3">
      <c r="A1" s="1"/>
      <c r="B1" s="1"/>
      <c r="C1" s="1"/>
      <c r="D1" s="1"/>
      <c r="E1" s="1"/>
      <c r="F1" s="1"/>
      <c r="G1" s="1"/>
    </row>
    <row r="2" spans="1:7" ht="51" customHeight="1" x14ac:dyDescent="0.3">
      <c r="A2" s="10" t="s">
        <v>16</v>
      </c>
      <c r="B2" s="10"/>
      <c r="C2" s="10"/>
      <c r="D2" s="198" t="str">
        <f>CONCATENATE("Just nu finns kursdata för ",COUNTA(ProgramKurser[KURSNAMN])," kurser, inom ",COUNTA(AvailablePrograms[PROGRAMNAMN]), " program och ", COUNTA(Spec[INRIKTNING]), " inriktningar, inlagda i arbetsboken.")</f>
        <v>Just nu finns kursdata för 36 kurser, inom 9 program och 43 inriktningar, inlagda i arbetsboken.</v>
      </c>
      <c r="E2" s="199"/>
      <c r="F2" s="199"/>
      <c r="G2" s="4"/>
    </row>
    <row r="3" spans="1:7" ht="6.75" customHeight="1" x14ac:dyDescent="0.3">
      <c r="A3" s="1"/>
      <c r="B3" s="1"/>
      <c r="C3" s="1"/>
      <c r="D3" s="1"/>
      <c r="E3" s="1"/>
      <c r="F3" s="1"/>
      <c r="G3" s="1"/>
    </row>
    <row r="4" spans="1:7" ht="9" customHeight="1" x14ac:dyDescent="0.3">
      <c r="A4" s="206"/>
      <c r="B4" s="206"/>
      <c r="C4" s="206"/>
      <c r="D4" s="206"/>
    </row>
    <row r="5" spans="1:7" ht="24.75" customHeight="1" x14ac:dyDescent="0.3">
      <c r="A5" s="21" t="s">
        <v>22</v>
      </c>
      <c r="B5" s="21" t="s">
        <v>18</v>
      </c>
      <c r="C5" s="21" t="s">
        <v>19</v>
      </c>
      <c r="D5" s="20"/>
      <c r="E5" s="21" t="s">
        <v>17</v>
      </c>
      <c r="F5" s="21" t="s">
        <v>18</v>
      </c>
      <c r="G5" s="21" t="s">
        <v>19</v>
      </c>
    </row>
    <row r="6" spans="1:7" ht="24.75" customHeight="1" x14ac:dyDescent="0.3">
      <c r="A6" s="42" t="s">
        <v>263</v>
      </c>
      <c r="B6" s="42">
        <v>300</v>
      </c>
      <c r="C6" s="42">
        <v>5</v>
      </c>
      <c r="D6" s="11"/>
      <c r="E6" s="91" t="s">
        <v>262</v>
      </c>
      <c r="F6" s="78">
        <v>300</v>
      </c>
      <c r="G6" s="78">
        <v>5</v>
      </c>
    </row>
    <row r="7" spans="1:7" ht="24.75" customHeight="1" x14ac:dyDescent="0.3">
      <c r="A7" s="20"/>
      <c r="B7" s="20"/>
      <c r="C7" s="20"/>
      <c r="D7" s="11"/>
      <c r="E7" s="91" t="s">
        <v>88</v>
      </c>
      <c r="F7" s="78">
        <v>300</v>
      </c>
      <c r="G7" s="78">
        <v>5</v>
      </c>
    </row>
    <row r="8" spans="1:7" ht="24.75" customHeight="1" x14ac:dyDescent="0.3">
      <c r="A8" s="20"/>
      <c r="B8" s="20"/>
      <c r="C8" s="20"/>
      <c r="D8" s="11"/>
      <c r="E8" s="91" t="s">
        <v>93</v>
      </c>
      <c r="F8" s="78">
        <v>300</v>
      </c>
      <c r="G8" s="78">
        <v>5</v>
      </c>
    </row>
    <row r="9" spans="1:7" ht="24.75" customHeight="1" x14ac:dyDescent="0.3">
      <c r="A9" s="208" t="s">
        <v>255</v>
      </c>
      <c r="B9" s="208"/>
      <c r="C9" s="208"/>
      <c r="D9" s="11"/>
      <c r="E9" s="78" t="s">
        <v>20</v>
      </c>
      <c r="F9" s="78">
        <v>300</v>
      </c>
      <c r="G9" s="78">
        <v>5</v>
      </c>
    </row>
    <row r="10" spans="1:7" ht="24.75" customHeight="1" x14ac:dyDescent="0.3">
      <c r="A10" s="209"/>
      <c r="B10" s="209"/>
      <c r="C10" s="209"/>
      <c r="D10" s="11"/>
      <c r="E10" s="78" t="s">
        <v>21</v>
      </c>
      <c r="F10" s="78">
        <v>300</v>
      </c>
      <c r="G10" s="78">
        <v>5</v>
      </c>
    </row>
    <row r="11" spans="1:7" ht="24.75" customHeight="1" thickBot="1" x14ac:dyDescent="0.35">
      <c r="A11" s="210"/>
      <c r="B11" s="210"/>
      <c r="C11" s="210"/>
      <c r="D11" s="18"/>
      <c r="E11" s="91" t="s">
        <v>263</v>
      </c>
      <c r="F11" s="78">
        <v>300</v>
      </c>
      <c r="G11" s="78">
        <v>5</v>
      </c>
    </row>
    <row r="12" spans="1:7" ht="24.75" customHeight="1" thickTop="1" x14ac:dyDescent="0.3">
      <c r="A12" s="19"/>
      <c r="B12" s="19"/>
      <c r="C12" s="19"/>
      <c r="D12" s="18"/>
      <c r="E12" s="78" t="s">
        <v>79</v>
      </c>
      <c r="F12" s="78">
        <v>300</v>
      </c>
      <c r="G12" s="78">
        <v>5</v>
      </c>
    </row>
    <row r="13" spans="1:7" ht="24.75" customHeight="1" x14ac:dyDescent="0.3">
      <c r="A13" s="19"/>
      <c r="B13" s="19"/>
      <c r="C13" s="19"/>
      <c r="D13" s="18"/>
      <c r="E13" s="78" t="s">
        <v>29</v>
      </c>
      <c r="F13" s="78">
        <v>180</v>
      </c>
      <c r="G13" s="78">
        <v>3</v>
      </c>
    </row>
    <row r="14" spans="1:7" ht="24.75" customHeight="1" x14ac:dyDescent="0.3">
      <c r="A14" s="19"/>
      <c r="B14" s="19"/>
      <c r="C14" s="19"/>
      <c r="D14" s="18"/>
      <c r="E14" s="92" t="s">
        <v>30</v>
      </c>
      <c r="F14" s="92">
        <v>180</v>
      </c>
      <c r="G14" s="92">
        <v>3</v>
      </c>
    </row>
    <row r="15" spans="1:7" ht="24.75" customHeight="1" x14ac:dyDescent="0.3">
      <c r="A15" s="19"/>
      <c r="B15" s="19"/>
      <c r="C15" s="19"/>
      <c r="D15" s="18"/>
      <c r="E15" s="91"/>
      <c r="F15" s="78"/>
      <c r="G15" s="78"/>
    </row>
    <row r="16" spans="1:7" ht="8.25" customHeight="1" x14ac:dyDescent="0.3">
      <c r="A16" s="19"/>
      <c r="B16" s="19"/>
      <c r="C16" s="19"/>
      <c r="D16" s="18"/>
      <c r="E16" s="37"/>
      <c r="F16" s="37"/>
      <c r="G16" s="37"/>
    </row>
    <row r="17" spans="1:14" ht="9" customHeight="1" x14ac:dyDescent="0.3">
      <c r="A17" s="1"/>
      <c r="B17" s="1"/>
      <c r="C17" s="1"/>
      <c r="D17" s="1"/>
      <c r="E17" s="34"/>
      <c r="F17" s="34"/>
      <c r="G17" s="34"/>
    </row>
    <row r="18" spans="1:14" ht="51.75" customHeight="1" x14ac:dyDescent="0.3">
      <c r="A18" s="10" t="s">
        <v>102</v>
      </c>
      <c r="B18" s="10"/>
      <c r="C18" s="10"/>
      <c r="D18" s="202" t="s">
        <v>103</v>
      </c>
      <c r="E18" s="203"/>
      <c r="F18" s="35"/>
      <c r="G18" s="36"/>
    </row>
    <row r="19" spans="1:14" ht="10.5" customHeight="1" x14ac:dyDescent="0.3">
      <c r="A19" s="1"/>
      <c r="B19" s="1"/>
      <c r="C19" s="1"/>
      <c r="D19" s="1"/>
      <c r="E19" s="34"/>
      <c r="F19" s="34"/>
      <c r="G19" s="34"/>
    </row>
    <row r="20" spans="1:14" s="24" customFormat="1" ht="10.5" customHeight="1" x14ac:dyDescent="0.3">
      <c r="A20" s="23"/>
      <c r="B20" s="23"/>
      <c r="C20" s="23"/>
      <c r="D20" s="23"/>
      <c r="E20" s="38"/>
      <c r="F20" s="38"/>
      <c r="G20" s="38"/>
      <c r="K20"/>
      <c r="L20"/>
      <c r="M20"/>
      <c r="N20"/>
    </row>
    <row r="21" spans="1:14" ht="22.5" customHeight="1" x14ac:dyDescent="0.3">
      <c r="G21" s="29"/>
      <c r="H21" s="119" t="s">
        <v>79</v>
      </c>
    </row>
    <row r="22" spans="1:14" ht="34.5" customHeight="1" x14ac:dyDescent="0.3">
      <c r="A22" s="40" t="s">
        <v>28</v>
      </c>
      <c r="E22" s="207" t="s">
        <v>104</v>
      </c>
      <c r="F22" s="207"/>
      <c r="G22" s="32"/>
    </row>
    <row r="23" spans="1:14" ht="22.5" customHeight="1" thickBot="1" x14ac:dyDescent="0.35">
      <c r="E23" s="81"/>
      <c r="F23" s="81"/>
      <c r="G23" s="32"/>
    </row>
    <row r="24" spans="1:14" ht="22.5" customHeight="1" thickTop="1" x14ac:dyDescent="0.3">
      <c r="A24" s="204" t="s">
        <v>27</v>
      </c>
      <c r="B24" s="204"/>
      <c r="C24" s="204"/>
      <c r="G24" s="32"/>
    </row>
    <row r="25" spans="1:14" ht="22.5" customHeight="1" x14ac:dyDescent="0.3">
      <c r="A25" s="205" t="s">
        <v>270</v>
      </c>
      <c r="B25" s="205"/>
      <c r="C25" s="205"/>
      <c r="G25" s="32"/>
    </row>
    <row r="26" spans="1:14" ht="22.5" customHeight="1" x14ac:dyDescent="0.3">
      <c r="E26" s="21" t="s">
        <v>24</v>
      </c>
      <c r="F26" s="22" t="s">
        <v>23</v>
      </c>
      <c r="G26" s="39"/>
    </row>
    <row r="27" spans="1:14" ht="22.5" hidden="1" customHeight="1" x14ac:dyDescent="0.3">
      <c r="E27" s="32" t="s">
        <v>20</v>
      </c>
      <c r="F27" s="41" t="s">
        <v>25</v>
      </c>
    </row>
    <row r="28" spans="1:14" ht="22.5" hidden="1" customHeight="1" x14ac:dyDescent="0.3">
      <c r="E28" s="32" t="s">
        <v>20</v>
      </c>
      <c r="F28" s="41" t="s">
        <v>33</v>
      </c>
    </row>
    <row r="29" spans="1:14" ht="22.5" hidden="1" customHeight="1" x14ac:dyDescent="0.3">
      <c r="E29" s="32" t="s">
        <v>20</v>
      </c>
      <c r="F29" s="41" t="s">
        <v>34</v>
      </c>
    </row>
    <row r="30" spans="1:14" ht="22.5" hidden="1" customHeight="1" x14ac:dyDescent="0.3">
      <c r="E30" s="32" t="s">
        <v>20</v>
      </c>
      <c r="F30" s="41" t="s">
        <v>35</v>
      </c>
    </row>
    <row r="31" spans="1:14" ht="22.5" hidden="1" customHeight="1" x14ac:dyDescent="0.3">
      <c r="E31" s="39" t="s">
        <v>20</v>
      </c>
      <c r="F31" s="43" t="s">
        <v>36</v>
      </c>
    </row>
    <row r="32" spans="1:14" ht="22.5" hidden="1" customHeight="1" x14ac:dyDescent="0.3">
      <c r="E32" s="39" t="s">
        <v>20</v>
      </c>
      <c r="F32" s="43" t="s">
        <v>71</v>
      </c>
    </row>
    <row r="33" spans="5:6" ht="22.5" hidden="1" customHeight="1" x14ac:dyDescent="0.3">
      <c r="E33" s="39" t="s">
        <v>21</v>
      </c>
      <c r="F33" s="43" t="s">
        <v>73</v>
      </c>
    </row>
    <row r="34" spans="5:6" ht="22.5" hidden="1" customHeight="1" x14ac:dyDescent="0.3">
      <c r="E34" s="39" t="s">
        <v>21</v>
      </c>
      <c r="F34" s="43" t="s">
        <v>74</v>
      </c>
    </row>
    <row r="35" spans="5:6" ht="22.5" hidden="1" customHeight="1" x14ac:dyDescent="0.3">
      <c r="E35" s="39" t="s">
        <v>21</v>
      </c>
      <c r="F35" s="43" t="s">
        <v>75</v>
      </c>
    </row>
    <row r="36" spans="5:6" ht="22.5" hidden="1" customHeight="1" x14ac:dyDescent="0.3">
      <c r="E36" s="39" t="s">
        <v>21</v>
      </c>
      <c r="F36" s="43" t="s">
        <v>76</v>
      </c>
    </row>
    <row r="37" spans="5:6" ht="22.5" hidden="1" customHeight="1" x14ac:dyDescent="0.3">
      <c r="E37" s="39" t="s">
        <v>21</v>
      </c>
      <c r="F37" s="43" t="s">
        <v>77</v>
      </c>
    </row>
    <row r="38" spans="5:6" ht="22.5" hidden="1" customHeight="1" x14ac:dyDescent="0.3">
      <c r="E38" s="39" t="s">
        <v>21</v>
      </c>
      <c r="F38" s="43" t="s">
        <v>78</v>
      </c>
    </row>
    <row r="39" spans="5:6" ht="22.5" hidden="1" customHeight="1" x14ac:dyDescent="0.3">
      <c r="E39" s="39" t="s">
        <v>21</v>
      </c>
      <c r="F39" s="43" t="s">
        <v>31</v>
      </c>
    </row>
    <row r="40" spans="5:6" ht="22.5" hidden="1" customHeight="1" x14ac:dyDescent="0.3">
      <c r="E40" s="39" t="s">
        <v>21</v>
      </c>
      <c r="F40" s="43" t="s">
        <v>53</v>
      </c>
    </row>
    <row r="41" spans="5:6" ht="22.5" customHeight="1" x14ac:dyDescent="0.3">
      <c r="E41" s="39" t="s">
        <v>79</v>
      </c>
      <c r="F41" s="43" t="s">
        <v>270</v>
      </c>
    </row>
    <row r="42" spans="5:6" ht="22.5" customHeight="1" x14ac:dyDescent="0.3">
      <c r="E42" s="39" t="s">
        <v>79</v>
      </c>
      <c r="F42" s="43" t="s">
        <v>72</v>
      </c>
    </row>
    <row r="43" spans="5:6" ht="22.5" customHeight="1" x14ac:dyDescent="0.3">
      <c r="E43" s="39" t="s">
        <v>79</v>
      </c>
      <c r="F43" s="43" t="s">
        <v>80</v>
      </c>
    </row>
    <row r="44" spans="5:6" ht="22.5" customHeight="1" x14ac:dyDescent="0.3">
      <c r="E44" s="39" t="s">
        <v>79</v>
      </c>
      <c r="F44" s="43" t="s">
        <v>268</v>
      </c>
    </row>
    <row r="45" spans="5:6" ht="22.5" customHeight="1" x14ac:dyDescent="0.3">
      <c r="E45" s="39" t="s">
        <v>79</v>
      </c>
      <c r="F45" s="43" t="s">
        <v>87</v>
      </c>
    </row>
    <row r="46" spans="5:6" ht="22.5" customHeight="1" x14ac:dyDescent="0.3">
      <c r="E46" s="39" t="s">
        <v>79</v>
      </c>
      <c r="F46" s="43" t="s">
        <v>81</v>
      </c>
    </row>
    <row r="47" spans="5:6" ht="22.5" customHeight="1" x14ac:dyDescent="0.3">
      <c r="E47" s="39" t="s">
        <v>79</v>
      </c>
      <c r="F47" s="43" t="s">
        <v>82</v>
      </c>
    </row>
    <row r="48" spans="5:6" ht="22.5" customHeight="1" x14ac:dyDescent="0.3">
      <c r="E48" s="39" t="s">
        <v>79</v>
      </c>
      <c r="F48" s="43" t="s">
        <v>83</v>
      </c>
    </row>
    <row r="49" spans="1:6" ht="22.5" hidden="1" customHeight="1" x14ac:dyDescent="0.3">
      <c r="E49" s="39"/>
      <c r="F49" s="66" t="s">
        <v>42</v>
      </c>
    </row>
    <row r="50" spans="1:6" ht="22.5" hidden="1" customHeight="1" x14ac:dyDescent="0.3">
      <c r="E50" s="39"/>
      <c r="F50" s="43" t="s">
        <v>51</v>
      </c>
    </row>
    <row r="51" spans="1:6" ht="22.5" hidden="1" customHeight="1" x14ac:dyDescent="0.3">
      <c r="E51" s="39"/>
      <c r="F51" s="43" t="s">
        <v>52</v>
      </c>
    </row>
    <row r="52" spans="1:6" ht="22.5" hidden="1" customHeight="1" x14ac:dyDescent="0.3">
      <c r="E52" s="39" t="s">
        <v>88</v>
      </c>
      <c r="F52" s="43" t="s">
        <v>89</v>
      </c>
    </row>
    <row r="53" spans="1:6" ht="22.5" hidden="1" customHeight="1" x14ac:dyDescent="0.3">
      <c r="E53" s="39" t="s">
        <v>88</v>
      </c>
      <c r="F53" s="43" t="s">
        <v>90</v>
      </c>
    </row>
    <row r="54" spans="1:6" ht="22.5" hidden="1" customHeight="1" x14ac:dyDescent="0.3">
      <c r="E54" s="39" t="s">
        <v>88</v>
      </c>
      <c r="F54" s="43" t="s">
        <v>91</v>
      </c>
    </row>
    <row r="55" spans="1:6" ht="22.5" hidden="1" customHeight="1" x14ac:dyDescent="0.3">
      <c r="E55" s="39" t="s">
        <v>93</v>
      </c>
      <c r="F55" s="43" t="s">
        <v>92</v>
      </c>
    </row>
    <row r="56" spans="1:6" ht="22.5" hidden="1" customHeight="1" x14ac:dyDescent="0.3">
      <c r="E56" s="39" t="s">
        <v>93</v>
      </c>
      <c r="F56" s="43" t="s">
        <v>54</v>
      </c>
    </row>
    <row r="57" spans="1:6" ht="22.5" hidden="1" customHeight="1" x14ac:dyDescent="0.3">
      <c r="A57" s="23"/>
      <c r="B57" s="23"/>
      <c r="C57" s="23"/>
      <c r="D57" s="23"/>
      <c r="E57" s="39" t="s">
        <v>20</v>
      </c>
      <c r="F57" s="43" t="s">
        <v>116</v>
      </c>
    </row>
    <row r="58" spans="1:6" ht="22.5" hidden="1" customHeight="1" x14ac:dyDescent="0.3">
      <c r="A58" s="23"/>
      <c r="B58" s="23"/>
      <c r="C58" s="23"/>
      <c r="D58" s="23"/>
      <c r="E58" s="39" t="s">
        <v>20</v>
      </c>
      <c r="F58" s="43" t="s">
        <v>117</v>
      </c>
    </row>
    <row r="59" spans="1:6" ht="22.5" hidden="1" customHeight="1" x14ac:dyDescent="0.3">
      <c r="A59" s="23"/>
      <c r="B59" s="23"/>
      <c r="C59" s="23"/>
      <c r="D59" s="23"/>
      <c r="E59" s="39" t="s">
        <v>20</v>
      </c>
      <c r="F59" s="43" t="s">
        <v>118</v>
      </c>
    </row>
    <row r="60" spans="1:6" ht="22.5" hidden="1" customHeight="1" x14ac:dyDescent="0.3">
      <c r="A60" s="23"/>
      <c r="B60" s="23"/>
      <c r="C60" s="23"/>
      <c r="D60" s="23"/>
      <c r="E60" s="39" t="s">
        <v>20</v>
      </c>
      <c r="F60" s="43" t="s">
        <v>31</v>
      </c>
    </row>
    <row r="61" spans="1:6" ht="22.5" hidden="1" customHeight="1" x14ac:dyDescent="0.3">
      <c r="A61" s="23"/>
      <c r="B61" s="23"/>
      <c r="C61" s="23"/>
      <c r="D61" s="23"/>
      <c r="E61" s="39" t="s">
        <v>20</v>
      </c>
      <c r="F61" s="43" t="s">
        <v>119</v>
      </c>
    </row>
    <row r="62" spans="1:6" ht="22.5" hidden="1" customHeight="1" x14ac:dyDescent="0.3">
      <c r="A62" s="23"/>
      <c r="B62" s="23"/>
      <c r="C62" s="23"/>
      <c r="D62" s="23"/>
      <c r="E62" s="39" t="s">
        <v>20</v>
      </c>
      <c r="F62" s="43" t="s">
        <v>120</v>
      </c>
    </row>
    <row r="63" spans="1:6" ht="22.5" hidden="1" customHeight="1" x14ac:dyDescent="0.3">
      <c r="A63" s="23"/>
      <c r="B63" s="23"/>
      <c r="C63" s="23"/>
      <c r="D63" s="23"/>
      <c r="E63" s="39" t="s">
        <v>20</v>
      </c>
      <c r="F63" s="43" t="s">
        <v>121</v>
      </c>
    </row>
    <row r="64" spans="1:6" ht="22.5" hidden="1" customHeight="1" x14ac:dyDescent="0.3">
      <c r="A64" s="23"/>
      <c r="B64" s="23"/>
      <c r="C64" s="23"/>
      <c r="D64" s="23"/>
      <c r="E64" s="39" t="s">
        <v>263</v>
      </c>
      <c r="F64" s="43" t="s">
        <v>264</v>
      </c>
    </row>
    <row r="65" spans="1:6" ht="22.5" hidden="1" customHeight="1" x14ac:dyDescent="0.3">
      <c r="A65" s="23"/>
      <c r="B65" s="23"/>
      <c r="C65" s="23"/>
      <c r="D65" s="23"/>
      <c r="E65" s="39" t="s">
        <v>263</v>
      </c>
      <c r="F65" s="43" t="s">
        <v>265</v>
      </c>
    </row>
    <row r="66" spans="1:6" ht="22.5" hidden="1" customHeight="1" x14ac:dyDescent="0.3">
      <c r="A66" s="23"/>
      <c r="B66" s="23"/>
      <c r="C66" s="23"/>
      <c r="D66" s="23"/>
      <c r="E66" s="39" t="s">
        <v>263</v>
      </c>
      <c r="F66" s="43" t="s">
        <v>266</v>
      </c>
    </row>
    <row r="67" spans="1:6" ht="22.5" customHeight="1" x14ac:dyDescent="0.3">
      <c r="A67" s="23"/>
      <c r="B67" s="23"/>
      <c r="C67" s="23"/>
      <c r="D67" s="23"/>
      <c r="E67" s="39" t="s">
        <v>79</v>
      </c>
      <c r="F67" s="43" t="s">
        <v>85</v>
      </c>
    </row>
    <row r="68" spans="1:6" ht="22.5" customHeight="1" x14ac:dyDescent="0.3">
      <c r="A68" s="23"/>
      <c r="B68" s="23"/>
      <c r="C68" s="23"/>
      <c r="D68" s="23"/>
      <c r="E68" s="39" t="s">
        <v>79</v>
      </c>
      <c r="F68" s="43" t="s">
        <v>86</v>
      </c>
    </row>
    <row r="69" spans="1:6" ht="22.5" customHeight="1" x14ac:dyDescent="0.3">
      <c r="A69" s="23"/>
      <c r="B69" s="23"/>
      <c r="C69" s="23"/>
      <c r="D69" s="23"/>
      <c r="E69" s="39" t="s">
        <v>79</v>
      </c>
      <c r="F69" s="43" t="s">
        <v>269</v>
      </c>
    </row>
    <row r="70" spans="1:6" ht="22.5" customHeight="1" x14ac:dyDescent="0.3">
      <c r="A70" s="23"/>
      <c r="B70" s="23"/>
      <c r="C70" s="23"/>
      <c r="D70" s="23"/>
      <c r="E70" s="39"/>
      <c r="F70" s="43"/>
    </row>
    <row r="71" spans="1:6" ht="22.5" customHeight="1" x14ac:dyDescent="0.3">
      <c r="A71" s="23"/>
      <c r="B71" s="23"/>
      <c r="C71" s="23"/>
      <c r="D71" s="23"/>
    </row>
    <row r="72" spans="1:6" ht="9" customHeight="1" x14ac:dyDescent="0.3"/>
    <row r="73" spans="1:6" ht="48" customHeight="1" x14ac:dyDescent="0.3"/>
    <row r="74" spans="1:6" ht="9" customHeight="1" x14ac:dyDescent="0.3"/>
    <row r="75" spans="1:6" ht="22.5" customHeight="1" x14ac:dyDescent="0.3"/>
    <row r="76" spans="1:6" ht="22.5" customHeight="1" x14ac:dyDescent="0.3"/>
    <row r="77" spans="1:6" ht="22.5" customHeight="1" x14ac:dyDescent="0.3"/>
    <row r="78" spans="1:6" ht="22.5" customHeight="1" x14ac:dyDescent="0.3"/>
    <row r="79" spans="1:6" ht="22.5" customHeight="1" x14ac:dyDescent="0.3"/>
    <row r="80" spans="1:6" ht="22.5" customHeight="1" x14ac:dyDescent="0.3"/>
    <row r="81" ht="22.5" customHeight="1" x14ac:dyDescent="0.3"/>
    <row r="82" ht="22.5" customHeight="1" x14ac:dyDescent="0.3"/>
    <row r="83" ht="22.5" customHeight="1" x14ac:dyDescent="0.3"/>
    <row r="84" ht="22.5" customHeight="1" x14ac:dyDescent="0.3"/>
    <row r="85" ht="22.5" customHeight="1" x14ac:dyDescent="0.3"/>
    <row r="86" ht="22.5" customHeight="1" x14ac:dyDescent="0.3"/>
    <row r="87" ht="22.5" customHeight="1" x14ac:dyDescent="0.3"/>
    <row r="88" ht="22.5" customHeight="1" x14ac:dyDescent="0.3"/>
    <row r="89" ht="22.5" customHeight="1" x14ac:dyDescent="0.3"/>
    <row r="90" ht="22.5" customHeight="1" x14ac:dyDescent="0.3"/>
    <row r="91" ht="22.5" customHeight="1" x14ac:dyDescent="0.3"/>
    <row r="92" ht="22.5" customHeight="1" x14ac:dyDescent="0.3"/>
    <row r="93" ht="22.5" customHeight="1" x14ac:dyDescent="0.3"/>
    <row r="94" ht="22.5" customHeight="1" x14ac:dyDescent="0.3"/>
    <row r="95" ht="22.5" customHeight="1" x14ac:dyDescent="0.3"/>
    <row r="96" ht="22.5" customHeight="1" x14ac:dyDescent="0.3"/>
    <row r="97" ht="22.5" customHeight="1" x14ac:dyDescent="0.3"/>
    <row r="98" ht="22.5" customHeight="1" x14ac:dyDescent="0.3"/>
    <row r="99" ht="22.5" customHeight="1" x14ac:dyDescent="0.3"/>
    <row r="100" ht="22.5" customHeight="1" x14ac:dyDescent="0.3"/>
    <row r="101" ht="22.5" customHeight="1" x14ac:dyDescent="0.3"/>
    <row r="102" ht="22.5" customHeight="1" x14ac:dyDescent="0.3"/>
    <row r="103" ht="22.5" customHeight="1" x14ac:dyDescent="0.3"/>
    <row r="104" ht="22.5" customHeight="1" x14ac:dyDescent="0.3"/>
    <row r="105" ht="22.5" customHeight="1" x14ac:dyDescent="0.3"/>
    <row r="106" ht="22.5" customHeight="1" x14ac:dyDescent="0.3"/>
    <row r="107" ht="22.5" customHeight="1" x14ac:dyDescent="0.3"/>
    <row r="108" ht="22.5" customHeight="1" x14ac:dyDescent="0.3"/>
    <row r="109" ht="22.5" customHeight="1" x14ac:dyDescent="0.3"/>
    <row r="110" ht="22.5" customHeight="1" x14ac:dyDescent="0.3"/>
    <row r="111" ht="22.5" customHeight="1" x14ac:dyDescent="0.3"/>
    <row r="112" ht="22.5" customHeight="1" x14ac:dyDescent="0.3"/>
    <row r="113" ht="22.5" customHeight="1" x14ac:dyDescent="0.3"/>
    <row r="114" ht="22.5" customHeight="1" x14ac:dyDescent="0.3"/>
    <row r="115" ht="22.5" customHeight="1" x14ac:dyDescent="0.3"/>
    <row r="116" ht="22.5" customHeight="1" x14ac:dyDescent="0.3"/>
    <row r="117" ht="22.5" customHeight="1" x14ac:dyDescent="0.3"/>
    <row r="118" ht="22.5" customHeight="1" x14ac:dyDescent="0.3"/>
    <row r="119" ht="22.5" customHeight="1" x14ac:dyDescent="0.3"/>
    <row r="120" ht="22.5" customHeight="1" x14ac:dyDescent="0.3"/>
    <row r="121" ht="22.5" customHeight="1" x14ac:dyDescent="0.3"/>
    <row r="122" ht="22.5" customHeight="1" x14ac:dyDescent="0.3"/>
    <row r="123" ht="22.5" customHeight="1" x14ac:dyDescent="0.3"/>
    <row r="124" ht="22.5" customHeight="1" x14ac:dyDescent="0.3"/>
    <row r="125" ht="22.5" customHeight="1" x14ac:dyDescent="0.3"/>
    <row r="126" ht="22.5" customHeight="1" x14ac:dyDescent="0.3"/>
    <row r="127" ht="22.5" customHeight="1" x14ac:dyDescent="0.3"/>
    <row r="128" ht="22.5" customHeight="1" x14ac:dyDescent="0.3"/>
    <row r="129" ht="22.5" customHeight="1" x14ac:dyDescent="0.3"/>
    <row r="130" ht="22.5" customHeight="1" x14ac:dyDescent="0.3"/>
    <row r="131" ht="22.5" customHeight="1" x14ac:dyDescent="0.3"/>
    <row r="132" ht="22.5" customHeight="1" x14ac:dyDescent="0.3"/>
    <row r="133" ht="22.5" customHeight="1" x14ac:dyDescent="0.3"/>
    <row r="134" ht="22.5" customHeight="1" x14ac:dyDescent="0.3"/>
    <row r="135" ht="22.5" customHeight="1" x14ac:dyDescent="0.3"/>
  </sheetData>
  <mergeCells count="7">
    <mergeCell ref="D2:F2"/>
    <mergeCell ref="D18:E18"/>
    <mergeCell ref="A24:C24"/>
    <mergeCell ref="A25:C25"/>
    <mergeCell ref="A4:D4"/>
    <mergeCell ref="E22:F22"/>
    <mergeCell ref="A9:C11"/>
  </mergeCells>
  <conditionalFormatting sqref="F7">
    <cfRule type="dataBar" priority="7">
      <dataBar>
        <cfvo type="num" val="0"/>
        <cfvo type="num" val="#REF!"/>
        <color theme="4"/>
      </dataBar>
      <extLst>
        <ext xmlns:x14="http://schemas.microsoft.com/office/spreadsheetml/2009/9/main" uri="{B025F937-C7B1-47D3-B67F-A62EFF666E3E}">
          <x14:id>{FAA48F41-B3E2-48C9-B5A6-FAE6B6D66A8D}</x14:id>
        </ext>
      </extLst>
    </cfRule>
  </conditionalFormatting>
  <conditionalFormatting sqref="F27">
    <cfRule type="dataBar" priority="2">
      <dataBar>
        <cfvo type="num" val="0"/>
        <cfvo type="num" val="#REF!"/>
        <color theme="4"/>
      </dataBar>
      <extLst>
        <ext xmlns:x14="http://schemas.microsoft.com/office/spreadsheetml/2009/9/main" uri="{B025F937-C7B1-47D3-B67F-A62EFF666E3E}">
          <x14:id>{674AC4C0-59A7-4C28-BEE7-C5AE78DF9CF2}</x14:id>
        </ext>
      </extLst>
    </cfRule>
  </conditionalFormatting>
  <dataValidations disablePrompts="1" count="1">
    <dataValidation type="list" allowBlank="1" showInputMessage="1" showErrorMessage="1" sqref="I10">
      <formula1>DynamicProgramRange</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5127" r:id="rId4" name="CommandButton1">
          <controlPr defaultSize="0" autoLine="0" r:id="rId5">
            <anchor moveWithCells="1">
              <from>
                <xdr:col>1</xdr:col>
                <xdr:colOff>0</xdr:colOff>
                <xdr:row>6</xdr:row>
                <xdr:rowOff>19050</xdr:rowOff>
              </from>
              <to>
                <xdr:col>3</xdr:col>
                <xdr:colOff>57150</xdr:colOff>
                <xdr:row>7</xdr:row>
                <xdr:rowOff>57150</xdr:rowOff>
              </to>
            </anchor>
          </controlPr>
        </control>
      </mc:Choice>
      <mc:Fallback>
        <control shapeId="5127" r:id="rId4" name="CommandButton1"/>
      </mc:Fallback>
    </mc:AlternateContent>
    <mc:AlternateContent xmlns:mc="http://schemas.openxmlformats.org/markup-compatibility/2006">
      <mc:Choice Requires="x14">
        <control shapeId="5129" r:id="rId6" name="CommandButton2">
          <controlPr defaultSize="0" autoLine="0" r:id="rId7">
            <anchor moveWithCells="1">
              <from>
                <xdr:col>0</xdr:col>
                <xdr:colOff>3086100</xdr:colOff>
                <xdr:row>25</xdr:row>
                <xdr:rowOff>28575</xdr:rowOff>
              </from>
              <to>
                <xdr:col>3</xdr:col>
                <xdr:colOff>0</xdr:colOff>
                <xdr:row>40</xdr:row>
                <xdr:rowOff>95250</xdr:rowOff>
              </to>
            </anchor>
          </controlPr>
        </control>
      </mc:Choice>
      <mc:Fallback>
        <control shapeId="5129" r:id="rId6" name="CommandButton2"/>
      </mc:Fallback>
    </mc:AlternateContent>
    <mc:AlternateContent xmlns:mc="http://schemas.openxmlformats.org/markup-compatibility/2006">
      <mc:Choice Requires="x14">
        <control shapeId="5128" r:id="rId8" name="Drop Down 8">
          <controlPr defaultSize="0" autoLine="0" autoPict="0" macro="[0]!Blad5.Nedrullningsbarlistruta8_Ändra">
            <anchor moveWithCells="1">
              <from>
                <xdr:col>0</xdr:col>
                <xdr:colOff>1095375</xdr:colOff>
                <xdr:row>21</xdr:row>
                <xdr:rowOff>85725</xdr:rowOff>
              </from>
              <to>
                <xdr:col>1</xdr:col>
                <xdr:colOff>1323975</xdr:colOff>
                <xdr:row>21</xdr:row>
                <xdr:rowOff>390525</xdr:rowOff>
              </to>
            </anchor>
          </controlPr>
        </control>
      </mc:Choice>
    </mc:AlternateContent>
  </controls>
  <tableParts count="2">
    <tablePart r:id="rId9"/>
    <tablePart r:id="rId10"/>
  </tableParts>
  <extLst>
    <ext xmlns:x14="http://schemas.microsoft.com/office/spreadsheetml/2009/9/main" uri="{78C0D931-6437-407d-A8EE-F0AAD7539E65}">
      <x14:conditionalFormattings>
        <x14:conditionalFormatting xmlns:xm="http://schemas.microsoft.com/office/excel/2006/main">
          <x14:cfRule type="dataBar" id="{FAA48F41-B3E2-48C9-B5A6-FAE6B6D66A8D}">
            <x14:dataBar minLength="0" maxLength="100" gradient="0">
              <x14:cfvo type="num">
                <xm:f>0</xm:f>
              </x14:cfvo>
              <x14:cfvo type="num">
                <xm:f>#REF!</xm:f>
              </x14:cfvo>
              <x14:negativeFillColor rgb="FFFF0000"/>
              <x14:axisColor rgb="FF000000"/>
            </x14:dataBar>
          </x14:cfRule>
          <xm:sqref>F7</xm:sqref>
        </x14:conditionalFormatting>
        <x14:conditionalFormatting xmlns:xm="http://schemas.microsoft.com/office/excel/2006/main">
          <x14:cfRule type="dataBar" id="{674AC4C0-59A7-4C28-BEE7-C5AE78DF9CF2}">
            <x14:dataBar minLength="0" maxLength="100" gradient="0">
              <x14:cfvo type="num">
                <xm:f>0</xm:f>
              </x14:cfvo>
              <x14:cfvo type="num">
                <xm:f>#REF!</xm:f>
              </x14:cfvo>
              <x14:negativeFillColor rgb="FFFF0000"/>
              <x14:axisColor rgb="FF000000"/>
            </x14:dataBar>
          </x14:cfRule>
          <xm:sqref>F27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7">
    <tabColor theme="6"/>
  </sheetPr>
  <dimension ref="A1:R40"/>
  <sheetViews>
    <sheetView zoomScaleNormal="100" workbookViewId="0">
      <selection activeCell="E8" sqref="E8:H8"/>
    </sheetView>
  </sheetViews>
  <sheetFormatPr defaultRowHeight="15" x14ac:dyDescent="0.3"/>
  <cols>
    <col min="1" max="1" width="9" style="24"/>
    <col min="2" max="2" width="13.75" style="24" customWidth="1"/>
    <col min="3" max="3" width="44.5" style="24" bestFit="1" customWidth="1"/>
    <col min="4" max="4" width="28.125" style="24" customWidth="1"/>
    <col min="5" max="5" width="10.5" style="24" customWidth="1"/>
    <col min="6" max="6" width="9.25" style="24" customWidth="1"/>
    <col min="7" max="7" width="11.125" style="24" customWidth="1"/>
    <col min="8" max="8" width="11.5" style="24" customWidth="1"/>
    <col min="9" max="9" width="2.875" style="24" customWidth="1"/>
    <col min="10" max="10" width="15.375" style="24" customWidth="1"/>
    <col min="11" max="11" width="9.75" style="24" customWidth="1"/>
    <col min="12" max="12" width="16.5" style="24" customWidth="1"/>
    <col min="13" max="13" width="6.125" style="24" customWidth="1"/>
    <col min="14" max="14" width="12" style="24" customWidth="1"/>
    <col min="15" max="15" width="18" style="24" customWidth="1"/>
    <col min="16" max="16" width="33.125" style="24" customWidth="1"/>
    <col min="17" max="17" width="20.625" style="24" customWidth="1"/>
    <col min="18" max="16384" width="9" style="24"/>
  </cols>
  <sheetData>
    <row r="1" spans="1:18" ht="9" customHeight="1" x14ac:dyDescent="0.3">
      <c r="A1" s="1"/>
      <c r="B1" s="1"/>
      <c r="C1" s="1"/>
      <c r="D1" s="1"/>
      <c r="E1" s="1"/>
      <c r="F1" s="1"/>
      <c r="G1" s="1"/>
      <c r="H1" s="1"/>
      <c r="I1" s="1"/>
      <c r="J1" s="1"/>
      <c r="K1" s="1"/>
      <c r="L1" s="1"/>
      <c r="M1" s="1"/>
      <c r="N1" s="1"/>
      <c r="O1" s="1"/>
      <c r="P1" s="1"/>
      <c r="Q1" s="8"/>
      <c r="R1" s="8"/>
    </row>
    <row r="2" spans="1:18" ht="51" customHeight="1" x14ac:dyDescent="0.3">
      <c r="A2" s="176" t="s">
        <v>238</v>
      </c>
      <c r="B2" s="176"/>
      <c r="C2" s="176"/>
      <c r="D2" s="176"/>
      <c r="E2" s="218" t="str">
        <f>'Ditt informationsblad'!$E$2</f>
        <v>Civilingenjör i Industriell Ekonomi</v>
      </c>
      <c r="F2" s="219"/>
      <c r="G2" s="219"/>
      <c r="H2" s="219"/>
      <c r="I2" s="219"/>
      <c r="J2" s="219"/>
      <c r="K2" s="219"/>
      <c r="L2" s="219"/>
      <c r="M2" s="1"/>
      <c r="N2" s="1"/>
      <c r="O2" s="1"/>
      <c r="P2" s="1"/>
      <c r="Q2" s="1"/>
      <c r="R2" s="1"/>
    </row>
    <row r="3" spans="1:18" ht="9" customHeight="1" x14ac:dyDescent="0.3">
      <c r="A3" s="1"/>
      <c r="B3" s="1"/>
      <c r="C3" s="1"/>
      <c r="D3" s="1"/>
      <c r="E3" s="1"/>
      <c r="F3" s="1"/>
      <c r="G3" s="1"/>
      <c r="H3" s="1"/>
      <c r="I3" s="1"/>
      <c r="J3" s="1"/>
      <c r="K3" s="1"/>
      <c r="L3" s="1"/>
      <c r="M3" s="1"/>
      <c r="N3" s="5"/>
      <c r="O3" s="1"/>
      <c r="P3" s="1"/>
      <c r="Q3" s="8"/>
      <c r="R3" s="8"/>
    </row>
    <row r="4" spans="1:18" ht="16.5" customHeight="1" x14ac:dyDescent="0.3"/>
    <row r="5" spans="1:18" ht="45" customHeight="1" x14ac:dyDescent="0.3">
      <c r="B5" s="220" t="s">
        <v>261</v>
      </c>
      <c r="C5" s="220"/>
      <c r="D5" s="104"/>
      <c r="E5" s="223"/>
      <c r="F5" s="223"/>
      <c r="G5" s="223"/>
      <c r="H5" s="223"/>
      <c r="I5" s="116"/>
      <c r="J5" s="215" t="s">
        <v>201</v>
      </c>
      <c r="K5" s="215"/>
      <c r="L5" s="215"/>
      <c r="M5" s="215"/>
      <c r="N5" s="215"/>
      <c r="O5" s="215"/>
    </row>
    <row r="6" spans="1:18" ht="39" customHeight="1" x14ac:dyDescent="0.3">
      <c r="B6" s="221"/>
      <c r="C6" s="221"/>
      <c r="D6" s="125" t="s">
        <v>240</v>
      </c>
      <c r="E6" s="214" t="s">
        <v>79</v>
      </c>
      <c r="F6" s="214"/>
      <c r="G6" s="214"/>
      <c r="H6" s="214"/>
      <c r="I6" s="116"/>
      <c r="J6" s="216"/>
      <c r="K6" s="216"/>
      <c r="L6" s="216"/>
      <c r="M6" s="216"/>
      <c r="N6" s="216"/>
      <c r="O6" s="216"/>
    </row>
    <row r="7" spans="1:18" ht="39.75" customHeight="1" thickBot="1" x14ac:dyDescent="0.35">
      <c r="B7" s="222"/>
      <c r="C7" s="222"/>
      <c r="D7" s="125" t="s">
        <v>241</v>
      </c>
      <c r="E7" s="214" t="s">
        <v>80</v>
      </c>
      <c r="F7" s="214"/>
      <c r="G7" s="214"/>
      <c r="H7" s="214"/>
      <c r="I7" s="116"/>
      <c r="J7" s="216"/>
      <c r="K7" s="216"/>
      <c r="L7" s="216"/>
      <c r="M7" s="216"/>
      <c r="N7" s="216"/>
      <c r="O7" s="216"/>
    </row>
    <row r="8" spans="1:18" ht="44.25" customHeight="1" thickTop="1" thickBot="1" x14ac:dyDescent="0.35">
      <c r="B8" s="105"/>
      <c r="C8" s="105"/>
      <c r="D8" s="235" t="s">
        <v>334</v>
      </c>
      <c r="E8" s="223"/>
      <c r="F8" s="223"/>
      <c r="G8" s="223"/>
      <c r="H8" s="223"/>
      <c r="I8" s="104"/>
      <c r="J8" s="217"/>
      <c r="K8" s="217"/>
      <c r="L8" s="217"/>
      <c r="M8" s="217"/>
      <c r="N8" s="217"/>
      <c r="O8" s="217"/>
    </row>
    <row r="9" spans="1:18" ht="43.5" customHeight="1" thickTop="1" thickBot="1" x14ac:dyDescent="0.35">
      <c r="B9" s="151" t="s">
        <v>307</v>
      </c>
      <c r="C9" s="98" t="s">
        <v>129</v>
      </c>
      <c r="D9" s="98" t="s">
        <v>124</v>
      </c>
      <c r="E9" s="98" t="s">
        <v>125</v>
      </c>
      <c r="F9" s="98" t="s">
        <v>128</v>
      </c>
      <c r="G9" s="98" t="s">
        <v>126</v>
      </c>
      <c r="H9" s="98" t="s">
        <v>127</v>
      </c>
      <c r="I9" s="98"/>
      <c r="J9" s="224"/>
      <c r="K9" s="224"/>
      <c r="L9" s="224"/>
      <c r="M9" s="213"/>
      <c r="N9" s="213"/>
      <c r="O9" s="213"/>
    </row>
    <row r="10" spans="1:18" x14ac:dyDescent="0.3">
      <c r="C10" s="159" t="s">
        <v>312</v>
      </c>
      <c r="D10" s="159"/>
      <c r="E10" s="159"/>
      <c r="F10" s="159"/>
      <c r="G10" s="159"/>
      <c r="H10" s="97"/>
    </row>
    <row r="11" spans="1:18" x14ac:dyDescent="0.3">
      <c r="B11" s="160"/>
      <c r="C11" s="161" t="s">
        <v>202</v>
      </c>
      <c r="D11" s="162" t="s">
        <v>203</v>
      </c>
      <c r="E11" s="163" t="s">
        <v>130</v>
      </c>
      <c r="F11" s="163" t="s">
        <v>313</v>
      </c>
      <c r="G11" s="163">
        <v>1</v>
      </c>
      <c r="H11" s="163">
        <v>6</v>
      </c>
    </row>
    <row r="12" spans="1:18" x14ac:dyDescent="0.3">
      <c r="B12" s="160"/>
      <c r="C12" s="161" t="s">
        <v>204</v>
      </c>
      <c r="D12" s="162" t="s">
        <v>205</v>
      </c>
      <c r="E12" s="163" t="s">
        <v>130</v>
      </c>
      <c r="F12" s="163" t="s">
        <v>313</v>
      </c>
      <c r="G12" s="163">
        <v>4</v>
      </c>
      <c r="H12" s="163" t="s">
        <v>314</v>
      </c>
    </row>
    <row r="13" spans="1:18" x14ac:dyDescent="0.3">
      <c r="B13" s="160"/>
      <c r="C13" s="164" t="s">
        <v>301</v>
      </c>
      <c r="D13" s="162" t="s">
        <v>302</v>
      </c>
      <c r="E13" s="163" t="s">
        <v>123</v>
      </c>
      <c r="F13" s="163" t="s">
        <v>315</v>
      </c>
      <c r="G13" s="163">
        <v>1</v>
      </c>
      <c r="H13" s="163">
        <v>6</v>
      </c>
    </row>
    <row r="14" spans="1:18" x14ac:dyDescent="0.3">
      <c r="B14" s="160"/>
      <c r="C14" s="164" t="s">
        <v>222</v>
      </c>
      <c r="D14" s="162" t="s">
        <v>223</v>
      </c>
      <c r="E14" s="163" t="s">
        <v>130</v>
      </c>
      <c r="F14" s="163" t="s">
        <v>315</v>
      </c>
      <c r="G14" s="163">
        <v>3</v>
      </c>
      <c r="H14" s="163">
        <v>6</v>
      </c>
    </row>
    <row r="15" spans="1:18" x14ac:dyDescent="0.3">
      <c r="B15" s="160"/>
      <c r="C15" s="211"/>
      <c r="D15" s="211"/>
      <c r="E15" s="211"/>
      <c r="F15" s="211"/>
      <c r="G15" s="211"/>
      <c r="H15" s="211"/>
    </row>
    <row r="16" spans="1:18" x14ac:dyDescent="0.3">
      <c r="B16" s="160"/>
      <c r="C16" s="212" t="s">
        <v>316</v>
      </c>
      <c r="D16" s="212"/>
      <c r="E16" s="212"/>
      <c r="F16" s="212"/>
      <c r="G16" s="212"/>
      <c r="H16" s="212"/>
    </row>
    <row r="17" spans="2:8" x14ac:dyDescent="0.3">
      <c r="B17" s="160"/>
      <c r="C17" s="161" t="s">
        <v>204</v>
      </c>
      <c r="D17" s="162" t="s">
        <v>205</v>
      </c>
      <c r="E17" s="163" t="s">
        <v>130</v>
      </c>
      <c r="F17" s="163" t="s">
        <v>313</v>
      </c>
      <c r="G17" s="163">
        <v>4</v>
      </c>
      <c r="H17" s="163" t="s">
        <v>314</v>
      </c>
    </row>
    <row r="18" spans="2:8" x14ac:dyDescent="0.3">
      <c r="B18" s="160"/>
      <c r="C18" s="161" t="s">
        <v>275</v>
      </c>
      <c r="D18" s="162" t="s">
        <v>276</v>
      </c>
      <c r="E18" s="163" t="s">
        <v>130</v>
      </c>
      <c r="F18" s="163" t="s">
        <v>315</v>
      </c>
      <c r="G18" s="163">
        <v>3</v>
      </c>
      <c r="H18" s="163">
        <v>6</v>
      </c>
    </row>
    <row r="19" spans="2:8" x14ac:dyDescent="0.3">
      <c r="B19" s="160"/>
      <c r="C19" s="164" t="s">
        <v>303</v>
      </c>
      <c r="D19" s="162" t="s">
        <v>304</v>
      </c>
      <c r="E19" s="163" t="s">
        <v>130</v>
      </c>
      <c r="F19" s="163" t="s">
        <v>315</v>
      </c>
      <c r="G19" s="163">
        <v>1</v>
      </c>
      <c r="H19" s="163">
        <v>6</v>
      </c>
    </row>
    <row r="20" spans="2:8" ht="24" x14ac:dyDescent="0.3">
      <c r="B20" s="160"/>
      <c r="C20" s="161" t="s">
        <v>153</v>
      </c>
      <c r="D20" s="162" t="s">
        <v>154</v>
      </c>
      <c r="E20" s="163" t="s">
        <v>123</v>
      </c>
      <c r="F20" s="163" t="s">
        <v>315</v>
      </c>
      <c r="G20" s="163">
        <v>3</v>
      </c>
      <c r="H20" s="163">
        <v>6</v>
      </c>
    </row>
    <row r="21" spans="2:8" x14ac:dyDescent="0.3">
      <c r="B21" s="160"/>
      <c r="C21" s="161" t="s">
        <v>206</v>
      </c>
      <c r="D21" s="162" t="s">
        <v>207</v>
      </c>
      <c r="E21" s="163" t="s">
        <v>130</v>
      </c>
      <c r="F21" s="163" t="s">
        <v>315</v>
      </c>
      <c r="G21" s="163">
        <v>2</v>
      </c>
      <c r="H21" s="163">
        <v>6</v>
      </c>
    </row>
    <row r="22" spans="2:8" x14ac:dyDescent="0.3">
      <c r="B22" s="160"/>
      <c r="C22" s="211"/>
      <c r="D22" s="211"/>
      <c r="E22" s="211"/>
      <c r="F22" s="211"/>
      <c r="G22" s="211"/>
      <c r="H22" s="211"/>
    </row>
    <row r="23" spans="2:8" x14ac:dyDescent="0.3">
      <c r="B23" s="160"/>
      <c r="C23" s="212" t="s">
        <v>317</v>
      </c>
      <c r="D23" s="212"/>
      <c r="E23" s="212"/>
      <c r="F23" s="212"/>
      <c r="G23" s="212"/>
      <c r="H23" s="212"/>
    </row>
    <row r="24" spans="2:8" x14ac:dyDescent="0.3">
      <c r="B24" s="160"/>
      <c r="C24" s="161" t="s">
        <v>212</v>
      </c>
      <c r="D24" s="162" t="s">
        <v>213</v>
      </c>
      <c r="E24" s="163" t="s">
        <v>130</v>
      </c>
      <c r="F24" s="163" t="s">
        <v>313</v>
      </c>
      <c r="G24" s="163">
        <v>4</v>
      </c>
      <c r="H24" s="163">
        <v>6</v>
      </c>
    </row>
    <row r="25" spans="2:8" x14ac:dyDescent="0.3">
      <c r="B25" s="160"/>
      <c r="C25" s="161" t="s">
        <v>208</v>
      </c>
      <c r="D25" s="162" t="s">
        <v>209</v>
      </c>
      <c r="E25" s="163" t="s">
        <v>130</v>
      </c>
      <c r="F25" s="163" t="s">
        <v>315</v>
      </c>
      <c r="G25" s="163">
        <v>1</v>
      </c>
      <c r="H25" s="163">
        <v>6</v>
      </c>
    </row>
    <row r="26" spans="2:8" x14ac:dyDescent="0.3">
      <c r="B26" s="160"/>
      <c r="C26" s="161" t="s">
        <v>279</v>
      </c>
      <c r="D26" s="162" t="s">
        <v>280</v>
      </c>
      <c r="E26" s="163" t="s">
        <v>130</v>
      </c>
      <c r="F26" s="163" t="s">
        <v>315</v>
      </c>
      <c r="G26" s="163">
        <v>2</v>
      </c>
      <c r="H26" s="163">
        <v>6</v>
      </c>
    </row>
    <row r="27" spans="2:8" x14ac:dyDescent="0.3">
      <c r="B27" s="160"/>
      <c r="C27" s="161" t="s">
        <v>210</v>
      </c>
      <c r="D27" s="162" t="s">
        <v>211</v>
      </c>
      <c r="E27" s="163" t="s">
        <v>130</v>
      </c>
      <c r="F27" s="163" t="s">
        <v>315</v>
      </c>
      <c r="G27" s="163">
        <v>3</v>
      </c>
      <c r="H27" s="163" t="s">
        <v>314</v>
      </c>
    </row>
    <row r="28" spans="2:8" x14ac:dyDescent="0.3">
      <c r="B28" s="160"/>
      <c r="C28" s="211"/>
      <c r="D28" s="211"/>
      <c r="E28" s="211"/>
      <c r="F28" s="211"/>
      <c r="G28" s="211"/>
      <c r="H28" s="211"/>
    </row>
    <row r="29" spans="2:8" x14ac:dyDescent="0.3">
      <c r="B29" s="160"/>
      <c r="C29" s="212" t="s">
        <v>318</v>
      </c>
      <c r="D29" s="212"/>
      <c r="E29" s="212"/>
      <c r="F29" s="212"/>
      <c r="G29" s="212"/>
      <c r="H29" s="212"/>
    </row>
    <row r="30" spans="2:8" x14ac:dyDescent="0.3">
      <c r="B30" s="160"/>
      <c r="C30" s="161" t="s">
        <v>214</v>
      </c>
      <c r="D30" s="162" t="s">
        <v>215</v>
      </c>
      <c r="E30" s="163" t="s">
        <v>130</v>
      </c>
      <c r="F30" s="163" t="s">
        <v>315</v>
      </c>
      <c r="G30" s="163">
        <v>4</v>
      </c>
      <c r="H30" s="163">
        <v>6</v>
      </c>
    </row>
    <row r="31" spans="2:8" x14ac:dyDescent="0.3">
      <c r="B31" s="160"/>
      <c r="C31" s="161" t="s">
        <v>216</v>
      </c>
      <c r="D31" s="162" t="s">
        <v>217</v>
      </c>
      <c r="E31" s="163" t="s">
        <v>130</v>
      </c>
      <c r="F31" s="163" t="s">
        <v>315</v>
      </c>
      <c r="G31" s="163">
        <v>3</v>
      </c>
      <c r="H31" s="163">
        <v>6</v>
      </c>
    </row>
    <row r="32" spans="2:8" x14ac:dyDescent="0.3">
      <c r="B32" s="160"/>
      <c r="C32" s="161" t="s">
        <v>210</v>
      </c>
      <c r="D32" s="162" t="s">
        <v>211</v>
      </c>
      <c r="E32" s="163" t="s">
        <v>130</v>
      </c>
      <c r="F32" s="163" t="s">
        <v>315</v>
      </c>
      <c r="G32" s="163">
        <v>2</v>
      </c>
      <c r="H32" s="163" t="s">
        <v>314</v>
      </c>
    </row>
    <row r="33" spans="2:8" x14ac:dyDescent="0.3">
      <c r="B33" s="160"/>
      <c r="C33" s="211"/>
      <c r="D33" s="211"/>
      <c r="E33" s="211"/>
      <c r="F33" s="211"/>
      <c r="G33" s="211"/>
      <c r="H33" s="211"/>
    </row>
    <row r="34" spans="2:8" x14ac:dyDescent="0.3">
      <c r="B34" s="160"/>
      <c r="C34" s="212" t="s">
        <v>319</v>
      </c>
      <c r="D34" s="212"/>
      <c r="E34" s="212"/>
      <c r="F34" s="212"/>
      <c r="G34" s="212"/>
      <c r="H34" s="212"/>
    </row>
    <row r="35" spans="2:8" x14ac:dyDescent="0.3">
      <c r="B35" s="160"/>
      <c r="C35" s="161" t="s">
        <v>305</v>
      </c>
      <c r="D35" s="162" t="s">
        <v>306</v>
      </c>
      <c r="E35" s="163" t="s">
        <v>130</v>
      </c>
      <c r="F35" s="163" t="s">
        <v>313</v>
      </c>
      <c r="G35" s="163">
        <v>4</v>
      </c>
      <c r="H35" s="163" t="s">
        <v>320</v>
      </c>
    </row>
    <row r="36" spans="2:8" x14ac:dyDescent="0.3">
      <c r="B36" s="160"/>
      <c r="C36" s="161" t="s">
        <v>220</v>
      </c>
      <c r="D36" s="162" t="s">
        <v>221</v>
      </c>
      <c r="E36" s="163" t="s">
        <v>130</v>
      </c>
      <c r="F36" s="163" t="s">
        <v>315</v>
      </c>
      <c r="G36" s="163">
        <v>1</v>
      </c>
      <c r="H36" s="163">
        <v>6</v>
      </c>
    </row>
    <row r="37" spans="2:8" x14ac:dyDescent="0.3">
      <c r="B37" s="160"/>
      <c r="C37" s="164" t="s">
        <v>155</v>
      </c>
      <c r="D37" s="162" t="s">
        <v>156</v>
      </c>
      <c r="E37" s="163" t="s">
        <v>130</v>
      </c>
      <c r="F37" s="163" t="s">
        <v>315</v>
      </c>
      <c r="G37" s="163">
        <v>2</v>
      </c>
      <c r="H37" s="163">
        <v>6</v>
      </c>
    </row>
    <row r="38" spans="2:8" x14ac:dyDescent="0.3">
      <c r="B38" s="160"/>
      <c r="C38" s="211"/>
      <c r="D38" s="211"/>
      <c r="E38" s="211"/>
      <c r="F38" s="211"/>
      <c r="G38" s="211"/>
      <c r="H38" s="211"/>
    </row>
    <row r="39" spans="2:8" x14ac:dyDescent="0.3">
      <c r="B39" s="160"/>
      <c r="C39" s="212" t="s">
        <v>321</v>
      </c>
      <c r="D39" s="212"/>
      <c r="E39" s="212"/>
      <c r="F39" s="212"/>
      <c r="G39" s="212"/>
      <c r="H39" s="212"/>
    </row>
    <row r="40" spans="2:8" x14ac:dyDescent="0.3">
      <c r="B40" s="160"/>
      <c r="C40" s="161" t="s">
        <v>305</v>
      </c>
      <c r="D40" s="162" t="s">
        <v>306</v>
      </c>
      <c r="E40" s="163" t="s">
        <v>130</v>
      </c>
      <c r="F40" s="163" t="s">
        <v>313</v>
      </c>
      <c r="G40" s="163">
        <v>4</v>
      </c>
      <c r="H40" s="163" t="s">
        <v>320</v>
      </c>
    </row>
  </sheetData>
  <mergeCells count="20">
    <mergeCell ref="E7:H7"/>
    <mergeCell ref="J5:O8"/>
    <mergeCell ref="A2:D2"/>
    <mergeCell ref="E2:L2"/>
    <mergeCell ref="B5:C7"/>
    <mergeCell ref="E5:H5"/>
    <mergeCell ref="E6:H6"/>
    <mergeCell ref="E8:H8"/>
    <mergeCell ref="C15:H15"/>
    <mergeCell ref="C16:H16"/>
    <mergeCell ref="C22:H22"/>
    <mergeCell ref="C23:H23"/>
    <mergeCell ref="M9:O9"/>
    <mergeCell ref="J9:L9"/>
    <mergeCell ref="C38:H38"/>
    <mergeCell ref="C39:H39"/>
    <mergeCell ref="C28:H28"/>
    <mergeCell ref="C29:H29"/>
    <mergeCell ref="C33:H33"/>
    <mergeCell ref="C34:H34"/>
  </mergeCells>
  <dataValidations count="3">
    <dataValidation type="list" allowBlank="1" showInputMessage="1" showErrorMessage="1" sqref="M9:O9 I7">
      <formula1>DynamicTextRange</formula1>
    </dataValidation>
    <dataValidation type="list" allowBlank="1" showInputMessage="1" showErrorMessage="1" sqref="E6:H6">
      <formula1>DynamicProgramRange</formula1>
    </dataValidation>
    <dataValidation type="list" allowBlank="1" showInputMessage="1" showErrorMessage="1" sqref="E7:H7">
      <formula1>DynamicSpecRange</formula1>
    </dataValidation>
  </dataValidations>
  <hyperlinks>
    <hyperlink ref="C11" r:id="rId1" tooltip="Detalj" display="http://kdb-5.liu.se/liu/lith/studiehandboken/svkursplan.lasso?&amp;k_budget_year=2014&amp;k_kurskod=TSDT14"/>
    <hyperlink ref="C12" r:id="rId2" tooltip="Detalj" display="http://kdb-5.liu.se/liu/lith/studiehandboken/svkursplan.lasso?&amp;k_budget_year=2014&amp;k_kurskod=TSKS01"/>
    <hyperlink ref="C13" r:id="rId3" tooltip="Detalj" display="http://kdb-5.liu.se/liu/lith/studiehandboken/svkursplan.lasso?&amp;k_budget_year=2014&amp;k_kurskod=TDTS06"/>
    <hyperlink ref="C14" r:id="rId4" tooltip="Detalj" display="http://kdb-5.liu.se/liu/lith/studiehandboken/svkursplan.lasso?&amp;k_budget_year=2014&amp;k_kurskod=TSIN01"/>
    <hyperlink ref="C17" r:id="rId5" tooltip="Detalj" display="http://kdb-5.liu.se/liu/lith/studiehandboken/svkursplan.lasso?&amp;k_budget_year=2014&amp;k_kurskod=TSKS01"/>
    <hyperlink ref="C18" r:id="rId6" tooltip="Detalj" display="http://kdb-5.liu.se/liu/lith/studiehandboken/svkursplan.lasso?&amp;k_budget_year=2014&amp;k_kurskod=TSEK02"/>
    <hyperlink ref="C19" r:id="rId7" tooltip="Detalj" display="http://kdb-5.liu.se/liu/lith/studiehandboken/svkursplan.lasso?&amp;k_budget_year=2014&amp;k_kurskod=TSIN02"/>
    <hyperlink ref="C20" r:id="rId8" tooltip="Detalj" display="http://kdb-5.liu.se/liu/lith/studiehandboken/svkursplan.lasso?&amp;k_budget_year=2014&amp;k_kurskod=TSKS11"/>
    <hyperlink ref="C21" r:id="rId9" tooltip="Detalj" display="http://kdb-5.liu.se/liu/lith/studiehandboken/svkursplan.lasso?&amp;k_budget_year=2014&amp;k_kurskod=TSRT78"/>
    <hyperlink ref="C24" r:id="rId10" tooltip="Detalj" display="http://kdb-5.liu.se/liu/lith/studiehandboken/svkursplan.lasso?&amp;k_budget_year=2014&amp;k_kurskod=TSKS04"/>
    <hyperlink ref="C25" r:id="rId11" tooltip="Detalj" display="http://kdb-5.liu.se/liu/lith/studiehandboken/svkursplan.lasso?&amp;k_budget_year=2014&amp;k_kurskod=TSBK08"/>
    <hyperlink ref="C26" r:id="rId12" tooltip="Detalj" display="http://kdb-5.liu.se/liu/lith/studiehandboken/svkursplan.lasso?&amp;k_budget_year=2014&amp;k_kurskod=TSEK03"/>
    <hyperlink ref="C27" r:id="rId13" tooltip="Detalj" display="http://kdb-5.liu.se/liu/lith/studiehandboken/svkursplan.lasso?&amp;k_budget_year=2014&amp;k_kurskod=TSKS03"/>
    <hyperlink ref="C30" r:id="rId14" tooltip="Detalj" display="http://kdb-5.liu.se/liu/lith/studiehandboken/svkursplan.lasso?&amp;k_budget_year=2014&amp;k_kurskod=TSBK02"/>
    <hyperlink ref="C31" r:id="rId15" tooltip="Detalj" display="http://kdb-5.liu.se/liu/lith/studiehandboken/svkursplan.lasso?&amp;k_budget_year=2014&amp;k_kurskod=TSDT74"/>
    <hyperlink ref="C32" r:id="rId16" tooltip="Detalj" display="http://kdb-5.liu.se/liu/lith/studiehandboken/svkursplan.lasso?&amp;k_budget_year=2014&amp;k_kurskod=TSKS03"/>
    <hyperlink ref="C35" r:id="rId17" tooltip="Detalj" display="http://kdb-5.liu.se/liu/lith/studiehandboken/svkursplan.lasso?&amp;k_budget_year=2014&amp;k_kurskod=TSKS05"/>
    <hyperlink ref="C36" r:id="rId18" tooltip="Detalj" display="http://kdb-5.liu.se/liu/lith/studiehandboken/svkursplan.lasso?&amp;k_budget_year=2014&amp;k_kurskod=TSDT16"/>
    <hyperlink ref="C37" r:id="rId19" tooltip="Detalj" display="http://kdb-5.liu.se/liu/lith/studiehandboken/svkursplan.lasso?&amp;k_budget_year=2014&amp;k_kurskod=TSIT03"/>
    <hyperlink ref="C40" r:id="rId20" tooltip="Detalj" display="http://kdb-5.liu.se/liu/lith/studiehandboken/svkursplan.lasso?&amp;k_budget_year=2014&amp;k_kurskod=TSKS05"/>
  </hyperlinks>
  <pageMargins left="0.7" right="0.7" top="0.75" bottom="0.75" header="0.3" footer="0.3"/>
  <pageSetup paperSize="9" orientation="portrait" r:id="rId21"/>
  <drawing r:id="rId22"/>
  <legacyDrawing r:id="rId23"/>
  <controls>
    <mc:AlternateContent xmlns:mc="http://schemas.openxmlformats.org/markup-compatibility/2006">
      <mc:Choice Requires="x14">
        <control shapeId="7169" r:id="rId24" name="CommandButton1">
          <controlPr defaultSize="0" autoLine="0" r:id="rId25">
            <anchor moveWithCells="1">
              <from>
                <xdr:col>4</xdr:col>
                <xdr:colOff>457200</xdr:colOff>
                <xdr:row>4</xdr:row>
                <xdr:rowOff>57150</xdr:rowOff>
              </from>
              <to>
                <xdr:col>7</xdr:col>
                <xdr:colOff>381000</xdr:colOff>
                <xdr:row>4</xdr:row>
                <xdr:rowOff>390525</xdr:rowOff>
              </to>
            </anchor>
          </controlPr>
        </control>
      </mc:Choice>
      <mc:Fallback>
        <control shapeId="7169" r:id="rId24" name="CommandButton1"/>
      </mc:Fallback>
    </mc:AlternateContent>
    <mc:AlternateContent xmlns:mc="http://schemas.openxmlformats.org/markup-compatibility/2006">
      <mc:Choice Requires="x14">
        <control shapeId="7172" r:id="rId26" name="Option Button 4">
          <controlPr defaultSize="0" autoFill="0" autoLine="0" autoPict="0">
            <anchor moveWithCells="1">
              <from>
                <xdr:col>3</xdr:col>
                <xdr:colOff>104775</xdr:colOff>
                <xdr:row>4</xdr:row>
                <xdr:rowOff>276225</xdr:rowOff>
              </from>
              <to>
                <xdr:col>4</xdr:col>
                <xdr:colOff>209550</xdr:colOff>
                <xdr:row>5</xdr:row>
                <xdr:rowOff>19050</xdr:rowOff>
              </to>
            </anchor>
          </controlPr>
        </control>
      </mc:Choice>
    </mc:AlternateContent>
    <mc:AlternateContent xmlns:mc="http://schemas.openxmlformats.org/markup-compatibility/2006">
      <mc:Choice Requires="x14">
        <control shapeId="7173" r:id="rId27" name="Option Button 5">
          <controlPr defaultSize="0" autoFill="0" autoLine="0" autoPict="0">
            <anchor moveWithCells="1">
              <from>
                <xdr:col>3</xdr:col>
                <xdr:colOff>104775</xdr:colOff>
                <xdr:row>3</xdr:row>
                <xdr:rowOff>171450</xdr:rowOff>
              </from>
              <to>
                <xdr:col>4</xdr:col>
                <xdr:colOff>209550</xdr:colOff>
                <xdr:row>4</xdr:row>
                <xdr:rowOff>323850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'Program och examenskrav'!$E$6:$E$12</xm:f>
          </x14:formula1>
          <xm:sqref>J9:L9 I6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tabColor theme="6"/>
  </sheetPr>
  <dimension ref="A1:X33"/>
  <sheetViews>
    <sheetView tabSelected="1" workbookViewId="0">
      <selection activeCell="M5" sqref="M5:V19"/>
    </sheetView>
  </sheetViews>
  <sheetFormatPr defaultRowHeight="15" x14ac:dyDescent="0.3"/>
  <cols>
    <col min="1" max="1" width="5.75" style="24" customWidth="1"/>
    <col min="2" max="11" width="9" style="24"/>
    <col min="12" max="12" width="3.75" style="24" customWidth="1"/>
    <col min="13" max="21" width="9" style="24"/>
    <col min="22" max="22" width="9" style="24" customWidth="1"/>
    <col min="23" max="23" width="3.375" style="24" customWidth="1"/>
    <col min="24" max="16384" width="9" style="24"/>
  </cols>
  <sheetData>
    <row r="1" spans="1:24" ht="9" customHeight="1" x14ac:dyDescent="0.3">
      <c r="A1" s="1"/>
      <c r="B1" s="1"/>
      <c r="C1" s="1"/>
      <c r="D1" s="1"/>
      <c r="E1" s="1"/>
      <c r="F1" s="1"/>
      <c r="G1" s="1"/>
      <c r="H1" s="1"/>
      <c r="I1" s="1"/>
      <c r="J1" s="1"/>
      <c r="K1" s="1"/>
      <c r="L1" s="1"/>
      <c r="M1" s="1"/>
      <c r="N1" s="1"/>
      <c r="O1" s="1"/>
      <c r="P1" s="1"/>
      <c r="Q1" s="1"/>
      <c r="R1" s="1"/>
      <c r="S1" s="1"/>
      <c r="T1" s="1"/>
      <c r="U1" s="1"/>
      <c r="V1" s="1"/>
      <c r="W1" s="1"/>
      <c r="X1" s="120"/>
    </row>
    <row r="2" spans="1:24" ht="51" customHeight="1" x14ac:dyDescent="0.3">
      <c r="A2" s="10" t="s">
        <v>239</v>
      </c>
      <c r="B2" s="10"/>
      <c r="C2" s="10"/>
      <c r="D2" s="6"/>
      <c r="E2" s="80"/>
      <c r="F2" s="30"/>
      <c r="G2" s="1"/>
      <c r="H2" s="1"/>
      <c r="I2" s="1"/>
      <c r="J2" s="1"/>
      <c r="K2" s="1"/>
      <c r="L2" s="1"/>
      <c r="M2" s="173" t="str">
        <f xml:space="preserve"> CONCATENATE(COUNTA(ProgramKurser[KURSNAMN])," kurser, inom ",COUNTA(AvailablePrograms[PROGRAMNAMN]), " program")</f>
        <v>36 kurser, inom 9 program</v>
      </c>
      <c r="N2" s="173"/>
      <c r="O2" s="173"/>
      <c r="P2" s="173"/>
      <c r="Q2" s="173"/>
      <c r="R2" s="173"/>
      <c r="S2" s="173"/>
      <c r="T2" s="173"/>
      <c r="U2" s="1"/>
      <c r="V2" s="1"/>
      <c r="W2" s="1"/>
      <c r="X2" s="120"/>
    </row>
    <row r="3" spans="1:24" ht="9" customHeight="1" x14ac:dyDescent="0.3">
      <c r="A3" s="1"/>
      <c r="B3" s="1"/>
      <c r="C3" s="1"/>
      <c r="D3" s="1"/>
      <c r="E3" s="1"/>
      <c r="F3" s="1"/>
      <c r="G3" s="1"/>
      <c r="H3" s="1"/>
      <c r="I3" s="1"/>
      <c r="J3" s="1"/>
      <c r="K3" s="1"/>
      <c r="L3" s="1"/>
      <c r="M3" s="1"/>
      <c r="N3" s="1"/>
      <c r="O3" s="1"/>
      <c r="P3" s="1"/>
      <c r="Q3" s="1"/>
      <c r="R3" s="1"/>
      <c r="S3" s="1"/>
      <c r="T3" s="1"/>
      <c r="U3" s="1"/>
      <c r="V3" s="1"/>
      <c r="W3" s="1"/>
      <c r="X3" s="120"/>
    </row>
    <row r="4" spans="1:24" x14ac:dyDescent="0.3">
      <c r="A4" s="122"/>
      <c r="B4" s="122"/>
      <c r="C4" s="122"/>
      <c r="D4" s="122"/>
      <c r="E4" s="122"/>
      <c r="F4" s="122"/>
      <c r="G4" s="122"/>
      <c r="H4" s="122"/>
      <c r="I4" s="122"/>
      <c r="J4" s="122"/>
      <c r="K4" s="122"/>
      <c r="L4" s="122"/>
      <c r="M4" s="122"/>
      <c r="N4" s="122"/>
      <c r="O4" s="122"/>
      <c r="P4" s="122"/>
      <c r="Q4" s="122"/>
      <c r="R4" s="122"/>
      <c r="S4" s="122"/>
      <c r="T4" s="122"/>
      <c r="U4" s="122"/>
      <c r="V4" s="122"/>
    </row>
    <row r="5" spans="1:24" x14ac:dyDescent="0.3">
      <c r="A5" s="122"/>
      <c r="B5" s="225" t="s">
        <v>308</v>
      </c>
      <c r="C5" s="225"/>
      <c r="D5" s="225"/>
      <c r="E5" s="225"/>
      <c r="F5" s="225"/>
      <c r="G5" s="225"/>
      <c r="H5" s="225"/>
      <c r="I5" s="225"/>
      <c r="J5" s="225"/>
      <c r="K5" s="225"/>
      <c r="L5" s="122"/>
      <c r="M5" s="215" t="s">
        <v>333</v>
      </c>
      <c r="N5" s="228"/>
      <c r="O5" s="228"/>
      <c r="P5" s="228"/>
      <c r="Q5" s="228"/>
      <c r="R5" s="228"/>
      <c r="S5" s="228"/>
      <c r="T5" s="228"/>
      <c r="U5" s="228"/>
      <c r="V5" s="228"/>
    </row>
    <row r="6" spans="1:24" x14ac:dyDescent="0.3">
      <c r="A6" s="122"/>
      <c r="B6" s="226"/>
      <c r="C6" s="226"/>
      <c r="D6" s="226"/>
      <c r="E6" s="226"/>
      <c r="F6" s="226"/>
      <c r="G6" s="226"/>
      <c r="H6" s="226"/>
      <c r="I6" s="226"/>
      <c r="J6" s="226"/>
      <c r="K6" s="226"/>
      <c r="L6" s="122"/>
      <c r="M6" s="229"/>
      <c r="N6" s="229"/>
      <c r="O6" s="229"/>
      <c r="P6" s="229"/>
      <c r="Q6" s="229"/>
      <c r="R6" s="229"/>
      <c r="S6" s="229"/>
      <c r="T6" s="229"/>
      <c r="U6" s="229"/>
      <c r="V6" s="229"/>
    </row>
    <row r="7" spans="1:24" x14ac:dyDescent="0.3">
      <c r="A7" s="122"/>
      <c r="B7" s="226"/>
      <c r="C7" s="226"/>
      <c r="D7" s="226"/>
      <c r="E7" s="226"/>
      <c r="F7" s="226"/>
      <c r="G7" s="226"/>
      <c r="H7" s="226"/>
      <c r="I7" s="226"/>
      <c r="J7" s="226"/>
      <c r="K7" s="226"/>
      <c r="L7" s="122"/>
      <c r="M7" s="229"/>
      <c r="N7" s="229"/>
      <c r="O7" s="229"/>
      <c r="P7" s="229"/>
      <c r="Q7" s="229"/>
      <c r="R7" s="229"/>
      <c r="S7" s="229"/>
      <c r="T7" s="229"/>
      <c r="U7" s="229"/>
      <c r="V7" s="229"/>
    </row>
    <row r="8" spans="1:24" x14ac:dyDescent="0.3">
      <c r="A8" s="122"/>
      <c r="B8" s="226"/>
      <c r="C8" s="226"/>
      <c r="D8" s="226"/>
      <c r="E8" s="226"/>
      <c r="F8" s="226"/>
      <c r="G8" s="226"/>
      <c r="H8" s="226"/>
      <c r="I8" s="226"/>
      <c r="J8" s="226"/>
      <c r="K8" s="226"/>
      <c r="L8" s="122"/>
      <c r="M8" s="229"/>
      <c r="N8" s="229"/>
      <c r="O8" s="229"/>
      <c r="P8" s="229"/>
      <c r="Q8" s="229"/>
      <c r="R8" s="229"/>
      <c r="S8" s="229"/>
      <c r="T8" s="229"/>
      <c r="U8" s="229"/>
      <c r="V8" s="229"/>
    </row>
    <row r="9" spans="1:24" x14ac:dyDescent="0.3">
      <c r="A9" s="122"/>
      <c r="B9" s="226"/>
      <c r="C9" s="226"/>
      <c r="D9" s="226"/>
      <c r="E9" s="226"/>
      <c r="F9" s="226"/>
      <c r="G9" s="226"/>
      <c r="H9" s="226"/>
      <c r="I9" s="226"/>
      <c r="J9" s="226"/>
      <c r="K9" s="226"/>
      <c r="L9" s="122"/>
      <c r="M9" s="229"/>
      <c r="N9" s="229"/>
      <c r="O9" s="229"/>
      <c r="P9" s="229"/>
      <c r="Q9" s="229"/>
      <c r="R9" s="229"/>
      <c r="S9" s="229"/>
      <c r="T9" s="229"/>
      <c r="U9" s="229"/>
      <c r="V9" s="229"/>
    </row>
    <row r="10" spans="1:24" x14ac:dyDescent="0.3">
      <c r="A10" s="122"/>
      <c r="B10" s="226"/>
      <c r="C10" s="226"/>
      <c r="D10" s="226"/>
      <c r="E10" s="226"/>
      <c r="F10" s="226"/>
      <c r="G10" s="226"/>
      <c r="H10" s="226"/>
      <c r="I10" s="226"/>
      <c r="J10" s="226"/>
      <c r="K10" s="226"/>
      <c r="L10" s="122"/>
      <c r="M10" s="229"/>
      <c r="N10" s="229"/>
      <c r="O10" s="229"/>
      <c r="P10" s="229"/>
      <c r="Q10" s="229"/>
      <c r="R10" s="229"/>
      <c r="S10" s="229"/>
      <c r="T10" s="229"/>
      <c r="U10" s="229"/>
      <c r="V10" s="229"/>
    </row>
    <row r="11" spans="1:24" x14ac:dyDescent="0.3">
      <c r="A11" s="122"/>
      <c r="B11" s="226"/>
      <c r="C11" s="226"/>
      <c r="D11" s="226"/>
      <c r="E11" s="226"/>
      <c r="F11" s="226"/>
      <c r="G11" s="226"/>
      <c r="H11" s="226"/>
      <c r="I11" s="226"/>
      <c r="J11" s="226"/>
      <c r="K11" s="226"/>
      <c r="L11" s="122"/>
      <c r="M11" s="229"/>
      <c r="N11" s="229"/>
      <c r="O11" s="229"/>
      <c r="P11" s="229"/>
      <c r="Q11" s="229"/>
      <c r="R11" s="229"/>
      <c r="S11" s="229"/>
      <c r="T11" s="229"/>
      <c r="U11" s="229"/>
      <c r="V11" s="229"/>
    </row>
    <row r="12" spans="1:24" x14ac:dyDescent="0.3">
      <c r="A12" s="122"/>
      <c r="B12" s="226"/>
      <c r="C12" s="226"/>
      <c r="D12" s="226"/>
      <c r="E12" s="226"/>
      <c r="F12" s="226"/>
      <c r="G12" s="226"/>
      <c r="H12" s="226"/>
      <c r="I12" s="226"/>
      <c r="J12" s="226"/>
      <c r="K12" s="226"/>
      <c r="L12" s="122"/>
      <c r="M12" s="229"/>
      <c r="N12" s="229"/>
      <c r="O12" s="229"/>
      <c r="P12" s="229"/>
      <c r="Q12" s="229"/>
      <c r="R12" s="229"/>
      <c r="S12" s="229"/>
      <c r="T12" s="229"/>
      <c r="U12" s="229"/>
      <c r="V12" s="229"/>
    </row>
    <row r="13" spans="1:24" x14ac:dyDescent="0.3">
      <c r="A13" s="122"/>
      <c r="B13" s="226"/>
      <c r="C13" s="226"/>
      <c r="D13" s="226"/>
      <c r="E13" s="226"/>
      <c r="F13" s="226"/>
      <c r="G13" s="226"/>
      <c r="H13" s="226"/>
      <c r="I13" s="226"/>
      <c r="J13" s="226"/>
      <c r="K13" s="226"/>
      <c r="L13" s="122"/>
      <c r="M13" s="229"/>
      <c r="N13" s="229"/>
      <c r="O13" s="229"/>
      <c r="P13" s="229"/>
      <c r="Q13" s="229"/>
      <c r="R13" s="229"/>
      <c r="S13" s="229"/>
      <c r="T13" s="229"/>
      <c r="U13" s="229"/>
      <c r="V13" s="229"/>
    </row>
    <row r="14" spans="1:24" x14ac:dyDescent="0.3">
      <c r="A14" s="122"/>
      <c r="B14" s="226"/>
      <c r="C14" s="226"/>
      <c r="D14" s="226"/>
      <c r="E14" s="226"/>
      <c r="F14" s="226"/>
      <c r="G14" s="226"/>
      <c r="H14" s="226"/>
      <c r="I14" s="226"/>
      <c r="J14" s="226"/>
      <c r="K14" s="226"/>
      <c r="L14" s="122"/>
      <c r="M14" s="229"/>
      <c r="N14" s="229"/>
      <c r="O14" s="229"/>
      <c r="P14" s="229"/>
      <c r="Q14" s="229"/>
      <c r="R14" s="229"/>
      <c r="S14" s="229"/>
      <c r="T14" s="229"/>
      <c r="U14" s="229"/>
      <c r="V14" s="229"/>
    </row>
    <row r="15" spans="1:24" x14ac:dyDescent="0.3">
      <c r="A15" s="122"/>
      <c r="B15" s="226"/>
      <c r="C15" s="226"/>
      <c r="D15" s="226"/>
      <c r="E15" s="226"/>
      <c r="F15" s="226"/>
      <c r="G15" s="226"/>
      <c r="H15" s="226"/>
      <c r="I15" s="226"/>
      <c r="J15" s="226"/>
      <c r="K15" s="226"/>
      <c r="L15" s="122"/>
      <c r="M15" s="229"/>
      <c r="N15" s="229"/>
      <c r="O15" s="229"/>
      <c r="P15" s="229"/>
      <c r="Q15" s="229"/>
      <c r="R15" s="229"/>
      <c r="S15" s="229"/>
      <c r="T15" s="229"/>
      <c r="U15" s="229"/>
      <c r="V15" s="229"/>
    </row>
    <row r="16" spans="1:24" x14ac:dyDescent="0.3">
      <c r="A16" s="122"/>
      <c r="B16" s="226"/>
      <c r="C16" s="226"/>
      <c r="D16" s="226"/>
      <c r="E16" s="226"/>
      <c r="F16" s="226"/>
      <c r="G16" s="226"/>
      <c r="H16" s="226"/>
      <c r="I16" s="226"/>
      <c r="J16" s="226"/>
      <c r="K16" s="226"/>
      <c r="L16" s="122"/>
      <c r="M16" s="229"/>
      <c r="N16" s="229"/>
      <c r="O16" s="229"/>
      <c r="P16" s="229"/>
      <c r="Q16" s="229"/>
      <c r="R16" s="229"/>
      <c r="S16" s="229"/>
      <c r="T16" s="229"/>
      <c r="U16" s="229"/>
      <c r="V16" s="229"/>
    </row>
    <row r="17" spans="1:23" x14ac:dyDescent="0.3">
      <c r="A17" s="122"/>
      <c r="B17" s="226"/>
      <c r="C17" s="226"/>
      <c r="D17" s="226"/>
      <c r="E17" s="226"/>
      <c r="F17" s="226"/>
      <c r="G17" s="226"/>
      <c r="H17" s="226"/>
      <c r="I17" s="226"/>
      <c r="J17" s="226"/>
      <c r="K17" s="226"/>
      <c r="L17" s="122"/>
      <c r="M17" s="229"/>
      <c r="N17" s="229"/>
      <c r="O17" s="229"/>
      <c r="P17" s="229"/>
      <c r="Q17" s="229"/>
      <c r="R17" s="229"/>
      <c r="S17" s="229"/>
      <c r="T17" s="229"/>
      <c r="U17" s="229"/>
      <c r="V17" s="229"/>
    </row>
    <row r="18" spans="1:23" x14ac:dyDescent="0.3">
      <c r="A18" s="122"/>
      <c r="B18" s="226"/>
      <c r="C18" s="226"/>
      <c r="D18" s="226"/>
      <c r="E18" s="226"/>
      <c r="F18" s="226"/>
      <c r="G18" s="226"/>
      <c r="H18" s="226"/>
      <c r="I18" s="226"/>
      <c r="J18" s="226"/>
      <c r="K18" s="226"/>
      <c r="L18" s="122"/>
      <c r="M18" s="229"/>
      <c r="N18" s="229"/>
      <c r="O18" s="229"/>
      <c r="P18" s="229"/>
      <c r="Q18" s="229"/>
      <c r="R18" s="229"/>
      <c r="S18" s="229"/>
      <c r="T18" s="229"/>
      <c r="U18" s="229"/>
      <c r="V18" s="229"/>
    </row>
    <row r="19" spans="1:23" ht="15.75" thickBot="1" x14ac:dyDescent="0.35">
      <c r="A19" s="122"/>
      <c r="B19" s="227"/>
      <c r="C19" s="227"/>
      <c r="D19" s="227"/>
      <c r="E19" s="227"/>
      <c r="F19" s="227"/>
      <c r="G19" s="227"/>
      <c r="H19" s="227"/>
      <c r="I19" s="227"/>
      <c r="J19" s="227"/>
      <c r="K19" s="227"/>
      <c r="L19" s="122"/>
      <c r="M19" s="230"/>
      <c r="N19" s="230"/>
      <c r="O19" s="230"/>
      <c r="P19" s="230"/>
      <c r="Q19" s="230"/>
      <c r="R19" s="230"/>
      <c r="S19" s="230"/>
      <c r="T19" s="230"/>
      <c r="U19" s="230"/>
      <c r="V19" s="230"/>
    </row>
    <row r="20" spans="1:23" ht="15.75" thickTop="1" x14ac:dyDescent="0.3">
      <c r="A20" s="122"/>
      <c r="B20" s="122"/>
      <c r="C20" s="122"/>
      <c r="D20" s="122"/>
      <c r="E20" s="122"/>
      <c r="F20" s="122"/>
      <c r="G20" s="122"/>
      <c r="H20" s="122"/>
      <c r="I20" s="122"/>
      <c r="J20" s="122"/>
      <c r="K20" s="122"/>
      <c r="L20" s="122"/>
      <c r="M20" s="122"/>
      <c r="N20" s="122"/>
      <c r="O20" s="122"/>
      <c r="P20" s="122"/>
      <c r="Q20" s="122"/>
      <c r="R20" s="122"/>
      <c r="S20" s="122"/>
      <c r="T20" s="122"/>
      <c r="U20" s="122"/>
      <c r="V20" s="122"/>
    </row>
    <row r="21" spans="1:23" ht="9" customHeight="1" x14ac:dyDescent="0.3">
      <c r="A21" s="1"/>
      <c r="B21" s="1"/>
      <c r="C21" s="1"/>
      <c r="D21" s="1"/>
      <c r="E21" s="1"/>
      <c r="F21" s="1"/>
      <c r="G21" s="1"/>
      <c r="H21" s="1"/>
      <c r="I21" s="1"/>
      <c r="J21" s="1"/>
      <c r="K21" s="1"/>
      <c r="L21" s="1"/>
      <c r="M21" s="1"/>
      <c r="N21" s="1"/>
      <c r="O21" s="1"/>
      <c r="P21" s="1"/>
      <c r="Q21" s="1"/>
      <c r="R21" s="1"/>
      <c r="S21" s="1"/>
      <c r="T21" s="1"/>
      <c r="U21" s="1"/>
      <c r="V21" s="1"/>
      <c r="W21" s="1"/>
    </row>
    <row r="22" spans="1:23" ht="51" customHeight="1" x14ac:dyDescent="0.3">
      <c r="A22" s="10" t="s">
        <v>224</v>
      </c>
      <c r="B22" s="10"/>
      <c r="C22" s="10"/>
      <c r="D22" s="6"/>
      <c r="E22" s="80"/>
      <c r="F22" s="30"/>
      <c r="G22" s="1"/>
      <c r="H22" s="1"/>
      <c r="I22" s="1"/>
      <c r="J22" s="1"/>
      <c r="K22" s="1"/>
      <c r="L22" s="1"/>
      <c r="M22" s="1"/>
      <c r="N22" s="1"/>
      <c r="O22" s="1"/>
      <c r="P22" s="1"/>
      <c r="Q22" s="1"/>
      <c r="R22" s="1"/>
      <c r="S22" s="1"/>
      <c r="T22" s="1"/>
      <c r="U22" s="1"/>
      <c r="V22" s="1"/>
      <c r="W22" s="1"/>
    </row>
    <row r="23" spans="1:23" ht="8.25" customHeight="1" x14ac:dyDescent="0.3">
      <c r="A23" s="1"/>
      <c r="B23" s="1"/>
      <c r="C23" s="1"/>
      <c r="D23" s="1"/>
      <c r="E23" s="1"/>
      <c r="F23" s="1"/>
      <c r="G23" s="1"/>
      <c r="H23" s="1"/>
      <c r="I23" s="1"/>
      <c r="J23" s="1"/>
      <c r="K23" s="1"/>
      <c r="L23" s="1"/>
      <c r="M23" s="1"/>
      <c r="N23" s="1"/>
      <c r="O23" s="1"/>
      <c r="P23" s="1"/>
      <c r="Q23" s="1"/>
      <c r="R23" s="1"/>
      <c r="S23" s="1"/>
      <c r="T23" s="1"/>
      <c r="U23" s="1"/>
      <c r="V23" s="1"/>
      <c r="W23" s="1"/>
    </row>
    <row r="25" spans="1:23" ht="81.75" customHeight="1" thickBot="1" x14ac:dyDescent="0.35">
      <c r="A25" s="124"/>
      <c r="B25" s="231" t="s">
        <v>225</v>
      </c>
      <c r="C25" s="231"/>
      <c r="D25" s="231"/>
      <c r="E25" s="231"/>
      <c r="F25" s="231"/>
      <c r="G25" s="231"/>
      <c r="H25" s="123"/>
      <c r="I25" s="123"/>
    </row>
    <row r="26" spans="1:23" ht="15.75" thickTop="1" x14ac:dyDescent="0.3">
      <c r="A26" s="123"/>
      <c r="B26" s="123"/>
      <c r="C26" s="123"/>
      <c r="D26" s="123"/>
      <c r="E26" s="123"/>
      <c r="F26" s="123"/>
      <c r="G26" s="123"/>
      <c r="H26" s="123"/>
      <c r="I26" s="123"/>
    </row>
    <row r="27" spans="1:23" x14ac:dyDescent="0.3">
      <c r="A27" s="123"/>
      <c r="B27" s="123"/>
      <c r="C27" s="123"/>
      <c r="D27" s="123"/>
      <c r="E27" s="123"/>
      <c r="F27" s="123"/>
      <c r="G27" s="123"/>
      <c r="H27" s="123"/>
      <c r="I27" s="123"/>
    </row>
    <row r="28" spans="1:23" x14ac:dyDescent="0.3">
      <c r="A28" s="123"/>
      <c r="B28" s="123"/>
      <c r="C28" s="123"/>
      <c r="D28" s="123"/>
      <c r="E28" s="123"/>
      <c r="F28" s="123"/>
      <c r="G28" s="123"/>
      <c r="H28" s="123"/>
      <c r="I28" s="123"/>
    </row>
    <row r="29" spans="1:23" x14ac:dyDescent="0.3">
      <c r="A29" s="123"/>
      <c r="B29" s="123"/>
      <c r="C29" s="123"/>
      <c r="D29" s="123"/>
      <c r="E29" s="123"/>
      <c r="F29" s="123"/>
      <c r="G29" s="123"/>
      <c r="H29" s="123"/>
      <c r="I29" s="123"/>
    </row>
    <row r="30" spans="1:23" x14ac:dyDescent="0.3">
      <c r="A30" s="123"/>
      <c r="B30" s="123"/>
      <c r="C30" s="123"/>
      <c r="D30" s="123"/>
      <c r="E30" s="123"/>
      <c r="F30" s="123"/>
      <c r="G30" s="123"/>
      <c r="H30" s="123"/>
      <c r="I30" s="123"/>
    </row>
    <row r="31" spans="1:23" x14ac:dyDescent="0.3">
      <c r="A31" s="123"/>
      <c r="B31" s="123"/>
      <c r="C31" s="123"/>
      <c r="D31" s="123"/>
      <c r="E31" s="123"/>
      <c r="F31" s="123"/>
      <c r="G31" s="123"/>
      <c r="H31" s="123"/>
      <c r="I31" s="123"/>
    </row>
    <row r="32" spans="1:23" x14ac:dyDescent="0.3">
      <c r="A32" s="123"/>
      <c r="B32" s="123"/>
      <c r="C32" s="123"/>
      <c r="D32" s="123"/>
      <c r="E32" s="123"/>
      <c r="F32" s="123"/>
      <c r="G32" s="123"/>
      <c r="H32" s="123"/>
      <c r="I32" s="123"/>
    </row>
    <row r="33" spans="1:9" x14ac:dyDescent="0.3">
      <c r="A33" s="124"/>
      <c r="B33" s="124"/>
      <c r="C33" s="124"/>
      <c r="D33" s="124"/>
      <c r="E33" s="124"/>
      <c r="F33" s="124"/>
      <c r="G33" s="124"/>
      <c r="H33" s="124"/>
      <c r="I33" s="124"/>
    </row>
  </sheetData>
  <mergeCells count="4">
    <mergeCell ref="B5:K19"/>
    <mergeCell ref="M5:V19"/>
    <mergeCell ref="B25:G25"/>
    <mergeCell ref="M2:T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tabColor theme="6"/>
  </sheetPr>
  <dimension ref="A1:W174"/>
  <sheetViews>
    <sheetView topLeftCell="A19" zoomScaleNormal="100" workbookViewId="0">
      <selection activeCell="B13" sqref="B13"/>
    </sheetView>
  </sheetViews>
  <sheetFormatPr defaultRowHeight="15" x14ac:dyDescent="0.3"/>
  <cols>
    <col min="1" max="1" width="4.5" style="24" customWidth="1"/>
    <col min="2" max="2" width="18.25" style="24" customWidth="1"/>
    <col min="3" max="3" width="9.125" style="24" customWidth="1"/>
    <col min="4" max="4" width="19.25" style="24" customWidth="1"/>
    <col min="5" max="5" width="16.75" style="24" customWidth="1"/>
    <col min="6" max="6" width="27.25" style="24" customWidth="1"/>
    <col min="7" max="7" width="5.75" style="24" customWidth="1"/>
    <col min="8" max="8" width="10.5" style="24" customWidth="1"/>
    <col min="9" max="9" width="18.125" style="24" bestFit="1" customWidth="1"/>
    <col min="10" max="10" width="9.125" style="24" customWidth="1"/>
    <col min="11" max="11" width="19.25" style="24" customWidth="1"/>
    <col min="12" max="12" width="16.75" style="24" customWidth="1"/>
    <col min="13" max="13" width="4.375" style="24" customWidth="1"/>
    <col min="14" max="14" width="7.75" style="24" customWidth="1"/>
    <col min="15" max="16" width="9.375" style="24" bestFit="1" customWidth="1"/>
    <col min="17" max="17" width="14.5" style="24" bestFit="1" customWidth="1"/>
    <col min="18" max="18" width="9.25" style="24" bestFit="1" customWidth="1"/>
    <col min="19" max="19" width="4.25" style="24" customWidth="1"/>
    <col min="20" max="20" width="9.25" style="24" bestFit="1" customWidth="1"/>
    <col min="21" max="22" width="4.25" style="24" customWidth="1"/>
    <col min="23" max="23" width="9.25" style="24" bestFit="1" customWidth="1"/>
    <col min="24" max="25" width="9.375" style="24" bestFit="1" customWidth="1"/>
    <col min="26" max="26" width="14.5" style="24" bestFit="1" customWidth="1"/>
    <col min="27" max="27" width="9.25" style="24" bestFit="1" customWidth="1"/>
    <col min="28" max="28" width="4.25" style="24" customWidth="1"/>
    <col min="29" max="29" width="9.25" style="24" bestFit="1" customWidth="1"/>
    <col min="30" max="30" width="9.125" style="24" bestFit="1" customWidth="1"/>
    <col min="31" max="33" width="4.25" style="24" customWidth="1"/>
    <col min="34" max="34" width="9.25" style="24" bestFit="1" customWidth="1"/>
    <col min="35" max="36" width="4.25" style="24" customWidth="1"/>
    <col min="37" max="38" width="9.25" style="24" bestFit="1" customWidth="1"/>
    <col min="39" max="40" width="4.25" style="24" customWidth="1"/>
    <col min="41" max="41" width="9.25" style="24" bestFit="1" customWidth="1"/>
    <col min="42" max="42" width="9.375" style="24" bestFit="1" customWidth="1"/>
    <col min="43" max="43" width="14.5" style="24" bestFit="1" customWidth="1"/>
    <col min="44" max="44" width="9.25" style="24" bestFit="1" customWidth="1"/>
    <col min="45" max="16384" width="9" style="24"/>
  </cols>
  <sheetData>
    <row r="1" spans="1:23" ht="9" customHeight="1" x14ac:dyDescent="0.3">
      <c r="A1" s="1"/>
      <c r="B1" s="1"/>
      <c r="C1" s="1"/>
      <c r="D1" s="1"/>
      <c r="E1" s="1"/>
      <c r="F1" s="1"/>
      <c r="G1" s="1"/>
      <c r="H1" s="1"/>
      <c r="I1" s="1"/>
      <c r="J1" s="1"/>
      <c r="K1" s="1"/>
      <c r="L1" s="1"/>
      <c r="M1" s="1"/>
      <c r="N1" s="1"/>
      <c r="O1" s="1"/>
      <c r="P1" s="1"/>
      <c r="Q1" s="1"/>
      <c r="R1" s="1"/>
      <c r="S1" s="1"/>
      <c r="T1" s="1"/>
      <c r="U1" s="1"/>
      <c r="V1" s="1"/>
      <c r="W1" s="1"/>
    </row>
    <row r="2" spans="1:23" ht="51" customHeight="1" x14ac:dyDescent="0.3">
      <c r="A2" s="10" t="s">
        <v>243</v>
      </c>
      <c r="B2" s="10"/>
      <c r="C2" s="10"/>
      <c r="D2" s="10"/>
      <c r="E2" s="10"/>
      <c r="F2" s="10"/>
      <c r="G2" s="80"/>
      <c r="H2" s="1"/>
      <c r="I2" s="1"/>
      <c r="J2" s="1"/>
      <c r="K2" s="1"/>
      <c r="L2" s="1"/>
      <c r="M2" s="1"/>
      <c r="N2" s="1"/>
      <c r="O2" s="1"/>
      <c r="P2" s="1"/>
      <c r="Q2" s="1"/>
      <c r="R2" s="1"/>
      <c r="S2" s="1"/>
      <c r="T2" s="1"/>
      <c r="U2" s="1"/>
      <c r="V2" s="1"/>
      <c r="W2" s="1"/>
    </row>
    <row r="3" spans="1:23" ht="9" customHeight="1" x14ac:dyDescent="0.3">
      <c r="A3" s="1"/>
      <c r="B3" s="1"/>
      <c r="C3" s="1"/>
      <c r="D3" s="1"/>
      <c r="E3" s="1"/>
      <c r="F3" s="1"/>
      <c r="G3" s="1"/>
      <c r="H3" s="1"/>
      <c r="I3" s="1"/>
      <c r="J3" s="1"/>
      <c r="K3" s="1"/>
      <c r="L3" s="1"/>
      <c r="M3" s="1"/>
      <c r="N3" s="1"/>
      <c r="O3" s="1"/>
      <c r="P3" s="1"/>
      <c r="Q3" s="1"/>
      <c r="R3" s="1"/>
      <c r="S3" s="1"/>
      <c r="T3" s="1"/>
      <c r="U3" s="1"/>
      <c r="V3" s="1"/>
      <c r="W3" s="1"/>
    </row>
    <row r="4" spans="1:23" ht="9" customHeight="1" x14ac:dyDescent="0.3"/>
    <row r="5" spans="1:23" ht="60.75" customHeight="1" thickBot="1" x14ac:dyDescent="0.35">
      <c r="B5" s="232" t="s">
        <v>267</v>
      </c>
      <c r="C5" s="232"/>
      <c r="D5" s="232"/>
      <c r="E5" s="232"/>
    </row>
    <row r="6" spans="1:23" ht="9.75" customHeight="1" thickTop="1" x14ac:dyDescent="0.3"/>
    <row r="7" spans="1:23" ht="9" customHeight="1" x14ac:dyDescent="0.3">
      <c r="A7" s="1"/>
      <c r="B7" s="1"/>
      <c r="C7" s="1"/>
      <c r="D7" s="1"/>
      <c r="E7" s="1"/>
      <c r="F7" s="1"/>
      <c r="G7" s="1"/>
      <c r="H7" s="1"/>
      <c r="I7" s="1"/>
      <c r="J7" s="1"/>
      <c r="K7" s="1"/>
      <c r="L7" s="1"/>
      <c r="M7" s="1"/>
      <c r="N7" s="1"/>
      <c r="O7" s="1"/>
      <c r="P7" s="1"/>
      <c r="Q7" s="1"/>
      <c r="R7" s="1"/>
      <c r="S7" s="1"/>
      <c r="T7" s="1"/>
      <c r="U7" s="1"/>
      <c r="V7" s="1"/>
      <c r="W7" s="1"/>
    </row>
    <row r="8" spans="1:23" ht="51" customHeight="1" x14ac:dyDescent="0.3">
      <c r="A8" s="10" t="s">
        <v>246</v>
      </c>
      <c r="B8" s="10"/>
      <c r="C8" s="1"/>
      <c r="D8" s="1"/>
      <c r="E8" s="1"/>
      <c r="F8" s="6"/>
      <c r="G8" s="233" t="s">
        <v>247</v>
      </c>
      <c r="H8" s="234"/>
      <c r="I8" s="234"/>
      <c r="J8" s="234"/>
      <c r="K8" s="234"/>
      <c r="L8" s="234"/>
      <c r="M8" s="132"/>
      <c r="N8" s="233"/>
      <c r="O8" s="234"/>
      <c r="P8" s="234"/>
      <c r="Q8" s="234"/>
      <c r="R8" s="234"/>
      <c r="S8" s="234"/>
      <c r="T8" s="234"/>
      <c r="U8" s="1"/>
      <c r="V8" s="1"/>
      <c r="W8" s="1"/>
    </row>
    <row r="9" spans="1:23" ht="9" customHeight="1" x14ac:dyDescent="0.3">
      <c r="A9" s="1"/>
      <c r="B9" s="1"/>
      <c r="C9" s="1"/>
      <c r="D9" s="1"/>
      <c r="E9" s="1"/>
      <c r="F9" s="1"/>
      <c r="G9" s="1"/>
      <c r="H9" s="1"/>
      <c r="I9" s="1"/>
      <c r="J9" s="1"/>
      <c r="K9" s="1"/>
      <c r="L9" s="1"/>
      <c r="M9" s="1"/>
      <c r="N9" s="1"/>
      <c r="O9" s="1"/>
      <c r="P9" s="1"/>
      <c r="Q9" s="1"/>
      <c r="R9" s="1"/>
      <c r="S9" s="1"/>
      <c r="T9" s="1"/>
      <c r="U9" s="1"/>
      <c r="V9" s="1"/>
      <c r="W9" s="1"/>
    </row>
    <row r="10" spans="1:23" ht="23.25" x14ac:dyDescent="0.3">
      <c r="A10" s="126"/>
      <c r="B10" s="126"/>
      <c r="C10" s="126"/>
      <c r="D10" s="126"/>
    </row>
    <row r="11" spans="1:23" ht="20.25" x14ac:dyDescent="0.3">
      <c r="A11" s="24" t="s">
        <v>84</v>
      </c>
      <c r="B11" s="24">
        <f>COUNTIF($B$16:$B$148,"?*")</f>
        <v>13</v>
      </c>
      <c r="D11" s="128" t="s">
        <v>245</v>
      </c>
      <c r="G11" s="127"/>
    </row>
    <row r="12" spans="1:23" x14ac:dyDescent="0.3">
      <c r="C12" s="24" t="s">
        <v>253</v>
      </c>
      <c r="D12" s="24" t="s">
        <v>250</v>
      </c>
      <c r="G12" s="127"/>
    </row>
    <row r="13" spans="1:23" x14ac:dyDescent="0.3">
      <c r="C13" s="24" t="s">
        <v>253</v>
      </c>
      <c r="D13" s="24" t="s">
        <v>252</v>
      </c>
      <c r="G13" s="127"/>
    </row>
    <row r="14" spans="1:23" x14ac:dyDescent="0.3">
      <c r="C14" s="24" t="s">
        <v>253</v>
      </c>
      <c r="D14" s="24" t="s">
        <v>251</v>
      </c>
      <c r="G14" s="127"/>
    </row>
    <row r="15" spans="1:23" ht="13.5" customHeight="1" x14ac:dyDescent="0.3">
      <c r="C15" s="24" t="s">
        <v>253</v>
      </c>
      <c r="D15" s="24" t="s">
        <v>233</v>
      </c>
      <c r="F15" s="128" t="s">
        <v>244</v>
      </c>
      <c r="H15" s="129" t="s">
        <v>8</v>
      </c>
      <c r="I15" s="24" t="s">
        <v>32</v>
      </c>
      <c r="J15" s="24" t="s">
        <v>50</v>
      </c>
      <c r="K15" s="131" t="s">
        <v>66</v>
      </c>
      <c r="L15" s="131" t="s">
        <v>70</v>
      </c>
      <c r="M15" s="130"/>
    </row>
    <row r="16" spans="1:23" x14ac:dyDescent="0.3">
      <c r="B16" s="24" t="str">
        <f>IFERROR(IF(Program=Spec[[#This Row],[PROGRAM]],Spec[[#This Row],[INRIKTNING]],""),"")</f>
        <v/>
      </c>
      <c r="C16" s="24">
        <f>ROWS('Program och examenskrav'!F26:Spec[[#Headers],[INRIKTNING]])</f>
        <v>1</v>
      </c>
      <c r="D16" s="24" t="str">
        <f t="array" ref="D16">IF(ROWS($D$16:D16)&gt;$B$11,"",INDEX($B$16:$B$149,SMALL(IF($B$16:$B$149&lt;&gt;"",ROW($B$16:$B$149)-ROW($D$16)+1),ROWS(D$16:D16))))</f>
        <v>Datateknik</v>
      </c>
      <c r="H16" s="24">
        <v>1</v>
      </c>
      <c r="K16" s="130">
        <v>4</v>
      </c>
      <c r="L16" s="130">
        <v>30</v>
      </c>
      <c r="M16" s="130"/>
    </row>
    <row r="17" spans="2:13" x14ac:dyDescent="0.3">
      <c r="B17" s="24" t="str">
        <f>IFERROR(IF(Program=Spec[[#This Row],[PROGRAM]],Spec[[#This Row],[INRIKTNING]],""),"")</f>
        <v/>
      </c>
      <c r="C17" s="24">
        <f>ROWS('Program och examenskrav'!F27:Spec[[#Headers],[INRIKTNING]])</f>
        <v>2</v>
      </c>
      <c r="D17" s="24" t="str">
        <f t="array" ref="D17">IF(ROWS($D$16:D17)&gt;$B$11,"",INDEX($B$16:$B$149,SMALL(IF($B$16:$B$149&lt;&gt;"",ROW($B$16:$B$149)-ROW($D$16)+1),ROWS(D$16:D17))))</f>
        <v>Systemteknik</v>
      </c>
      <c r="I17" s="24">
        <v>2</v>
      </c>
      <c r="K17" s="130">
        <v>1</v>
      </c>
      <c r="L17" s="130">
        <v>6</v>
      </c>
      <c r="M17" s="130"/>
    </row>
    <row r="18" spans="2:13" x14ac:dyDescent="0.3">
      <c r="B18" s="24" t="str">
        <f>IFERROR(IF(Program=Spec[[#This Row],[PROGRAM]],Spec[[#This Row],[INRIKTNING]],""),"")</f>
        <v/>
      </c>
      <c r="C18" s="24">
        <f>ROWS('Program och examenskrav'!F28:Spec[[#Headers],[INRIKTNING]])</f>
        <v>3</v>
      </c>
      <c r="D18" s="24" t="str">
        <f t="array" ref="D18">IF(ROWS($D$16:D18)&gt;$B$11,"",INDEX($B$16:$B$149,SMALL(IF($B$16:$B$149&lt;&gt;"",ROW($B$16:$B$149)-ROW($D$16)+1),ROWS(D$16:D18))))</f>
        <v>Maskinteknik</v>
      </c>
      <c r="J18" s="24">
        <v>3</v>
      </c>
      <c r="K18" s="130">
        <v>1</v>
      </c>
      <c r="L18" s="130">
        <v>6</v>
      </c>
      <c r="M18" s="130"/>
    </row>
    <row r="19" spans="2:13" x14ac:dyDescent="0.3">
      <c r="B19" s="24" t="str">
        <f>IFERROR(IF(Program=Spec[[#This Row],[PROGRAM]],Spec[[#This Row],[INRIKTNING]],""),"")</f>
        <v/>
      </c>
      <c r="C19" s="24">
        <f>ROWS('Program och examenskrav'!F29:Spec[[#Headers],[INRIKTNING]])</f>
        <v>4</v>
      </c>
      <c r="D19" s="24" t="str">
        <f t="array" ref="D19">IF(ROWS($D$16:D19)&gt;$B$11,"",INDEX($B$16:$B$149,SMALL(IF($B$16:$B$149&lt;&gt;"",ROW($B$16:$B$149)-ROW($D$16)+1),ROWS(D$16:D19))))</f>
        <v>Energiteknik</v>
      </c>
      <c r="K19" s="130"/>
      <c r="L19" s="130"/>
      <c r="M19" s="130"/>
    </row>
    <row r="20" spans="2:13" x14ac:dyDescent="0.3">
      <c r="B20" s="24" t="str">
        <f>IFERROR(IF(Program=Spec[[#This Row],[PROGRAM]],Spec[[#This Row],[INRIKTNING]],""),"")</f>
        <v/>
      </c>
      <c r="C20" s="24">
        <f>ROWS('Program och examenskrav'!F30:Spec[[#Headers],[INRIKTNING]])</f>
        <v>5</v>
      </c>
      <c r="D20" s="24" t="str">
        <f t="array" ref="D20">IF(ROWS($D$16:D20)&gt;$B$11,"",INDEX($B$16:$B$149,SMALL(IF($B$16:$B$149&lt;&gt;"",ROW($B$16:$B$149)-ROW($D$16)+1),ROWS(D$16:D20))))</f>
        <v>Bioteknik</v>
      </c>
      <c r="I20" s="24" t="s">
        <v>132</v>
      </c>
      <c r="K20" s="130">
        <v>2</v>
      </c>
      <c r="L20" s="130">
        <v>18</v>
      </c>
      <c r="M20" s="130"/>
    </row>
    <row r="21" spans="2:13" x14ac:dyDescent="0.3">
      <c r="B21" s="24" t="str">
        <f>IFERROR(IF(Program=Spec[[#This Row],[PROGRAM]],Spec[[#This Row],[INRIKTNING]],""),"")</f>
        <v/>
      </c>
      <c r="C21" s="24">
        <f>ROWS('Program och examenskrav'!F31:Spec[[#Headers],[INRIKTNING]])</f>
        <v>6</v>
      </c>
      <c r="D21" s="24" t="str">
        <f t="array" ref="D21">IF(ROWS($D$16:D21)&gt;$B$11,"",INDEX($B$16:$B$149,SMALL(IF($B$16:$B$149&lt;&gt;"",ROW($B$16:$B$149)-ROW($D$16)+1),ROWS(D$16:D21))))</f>
        <v>Finans</v>
      </c>
      <c r="J21" s="24" t="s">
        <v>136</v>
      </c>
      <c r="K21" s="130">
        <v>1</v>
      </c>
      <c r="L21" s="130">
        <v>10</v>
      </c>
      <c r="M21" s="130"/>
    </row>
    <row r="22" spans="2:13" x14ac:dyDescent="0.3">
      <c r="B22" s="24" t="str">
        <f>IFERROR(IF(Program=Spec[[#This Row],[PROGRAM]],Spec[[#This Row],[INRIKTNING]],""),"")</f>
        <v/>
      </c>
      <c r="C22" s="24">
        <f>ROWS('Program och examenskrav'!F32:Spec[[#Headers],[INRIKTNING]])</f>
        <v>7</v>
      </c>
      <c r="D22" s="24" t="str">
        <f t="array" ref="D22">IF(ROWS($D$16:D22)&gt;$B$11,"",INDEX($B$16:$B$149,SMALL(IF($B$16:$B$149&lt;&gt;"",ROW($B$16:$B$149)-ROW($D$16)+1),ROWS(D$16:D22))))</f>
        <v>Ekonomiska informationssystem</v>
      </c>
      <c r="J22" s="24" t="s">
        <v>134</v>
      </c>
      <c r="K22" s="130">
        <v>1</v>
      </c>
      <c r="L22" s="130">
        <v>8</v>
      </c>
      <c r="M22" s="130"/>
    </row>
    <row r="23" spans="2:13" x14ac:dyDescent="0.3">
      <c r="B23" s="24" t="str">
        <f>IFERROR(IF(Program=Spec[[#This Row],[PROGRAM]],Spec[[#This Row],[INRIKTNING]],""),"")</f>
        <v/>
      </c>
      <c r="C23" s="24">
        <f>ROWS('Program och examenskrav'!F33:Spec[[#Headers],[INRIKTNING]])</f>
        <v>8</v>
      </c>
      <c r="D23" s="24" t="str">
        <f t="array" ref="D23">IF(ROWS($D$16:D23)&gt;$B$11,"",INDEX($B$16:$B$149,SMALL(IF($B$16:$B$149&lt;&gt;"",ROW($B$16:$B$149)-ROW($D$16)+1),ROWS(D$16:D23))))</f>
        <v>Industriell marknadsföring</v>
      </c>
      <c r="K23" s="130"/>
      <c r="L23" s="130"/>
      <c r="M23" s="130"/>
    </row>
    <row r="24" spans="2:13" x14ac:dyDescent="0.3">
      <c r="B24" s="24" t="str">
        <f>IFERROR(IF(Program=Spec[[#This Row],[PROGRAM]],Spec[[#This Row],[INRIKTNING]],""),"")</f>
        <v/>
      </c>
      <c r="C24" s="24">
        <f>ROWS('Program och examenskrav'!F34:Spec[[#Headers],[INRIKTNING]])</f>
        <v>9</v>
      </c>
      <c r="D24" s="24" t="str">
        <f t="array" ref="D24">IF(ROWS($D$16:D24)&gt;$B$11,"",INDEX($B$16:$B$149,SMALL(IF($B$16:$B$149&lt;&gt;"",ROW($B$16:$B$149)-ROW($D$16)+1),ROWS(D$16:D24))))</f>
        <v>Kvalitets- och verksamhetsutveckling</v>
      </c>
      <c r="I24" s="24" t="s">
        <v>198</v>
      </c>
      <c r="K24" s="130">
        <v>1</v>
      </c>
      <c r="L24" s="130">
        <v>6</v>
      </c>
      <c r="M24" s="130"/>
    </row>
    <row r="25" spans="2:13" x14ac:dyDescent="0.3">
      <c r="B25" s="24" t="str">
        <f>IFERROR(IF(Program=Spec[[#This Row],[PROGRAM]],Spec[[#This Row],[INRIKTNING]],""),"")</f>
        <v/>
      </c>
      <c r="C25" s="24">
        <f>ROWS('Program och examenskrav'!F35:Spec[[#Headers],[INRIKTNING]])</f>
        <v>10</v>
      </c>
      <c r="D25" s="24" t="str">
        <f t="array" ref="D25">IF(ROWS($D$16:D25)&gt;$B$11,"",INDEX($B$16:$B$149,SMALL(IF($B$16:$B$149&lt;&gt;"",ROW($B$16:$B$149)-ROW($D$16)+1),ROWS(D$16:D25))))</f>
        <v>Logistik</v>
      </c>
      <c r="J25" s="24" t="s">
        <v>199</v>
      </c>
      <c r="K25" s="130">
        <v>1</v>
      </c>
      <c r="L25" s="130">
        <v>6</v>
      </c>
      <c r="M25" s="130"/>
    </row>
    <row r="26" spans="2:13" x14ac:dyDescent="0.3">
      <c r="B26" s="24" t="str">
        <f>IFERROR(IF(Program=Spec[[#This Row],[PROGRAM]],Spec[[#This Row],[INRIKTNING]],""),"")</f>
        <v/>
      </c>
      <c r="C26" s="24">
        <f>ROWS('Program och examenskrav'!F36:Spec[[#Headers],[INRIKTNING]])</f>
        <v>11</v>
      </c>
      <c r="D26" s="24" t="str">
        <f t="array" ref="D26">IF(ROWS($D$16:D26)&gt;$B$11,"",INDEX($B$16:$B$149,SMALL(IF($B$16:$B$149&lt;&gt;"",ROW($B$16:$B$149)-ROW($D$16)+1),ROWS(D$16:D26))))</f>
        <v>Produktionsledning</v>
      </c>
      <c r="K26" s="130"/>
      <c r="L26" s="130"/>
      <c r="M26" s="130"/>
    </row>
    <row r="27" spans="2:13" x14ac:dyDescent="0.3">
      <c r="B27" s="24" t="str">
        <f>IFERROR(IF(Program=Spec[[#This Row],[PROGRAM]],Spec[[#This Row],[INRIKTNING]],""),"")</f>
        <v>Datateknik</v>
      </c>
      <c r="C27" s="24">
        <f>ROWS('Program och examenskrav'!F37:Spec[[#Headers],[INRIKTNING]])</f>
        <v>12</v>
      </c>
      <c r="D27" s="24" t="str">
        <f t="array" ref="D27">IF(ROWS($D$16:D27)&gt;$B$11,"",INDEX($B$16:$B$149,SMALL(IF($B$16:$B$149&lt;&gt;"",ROW($B$16:$B$149)-ROW($D$16)+1),ROWS(D$16:D27))))</f>
        <v>Projekt, innovation och entreprenörskap</v>
      </c>
      <c r="H27" s="24">
        <v>2</v>
      </c>
      <c r="K27" s="130">
        <v>5</v>
      </c>
      <c r="L27" s="130">
        <v>30</v>
      </c>
      <c r="M27" s="130"/>
    </row>
    <row r="28" spans="2:13" x14ac:dyDescent="0.3">
      <c r="B28" s="24" t="str">
        <f>IFERROR(IF(Program=Spec[[#This Row],[PROGRAM]],Spec[[#This Row],[INRIKTNING]],""),"")</f>
        <v>Systemteknik</v>
      </c>
      <c r="C28" s="24">
        <f>ROWS('Program och examenskrav'!F38:Spec[[#Headers],[INRIKTNING]])</f>
        <v>13</v>
      </c>
      <c r="D28" s="24" t="str">
        <f t="array" ref="D28">IF(ROWS($D$16:D28)&gt;$B$11,"",INDEX($B$16:$B$149,SMALL(IF($B$16:$B$149&lt;&gt;"",ROW($B$16:$B$149)-ROW($D$16)+1),ROWS(D$16:D28))))</f>
        <v>Strategi och styrning</v>
      </c>
      <c r="I28" s="24">
        <v>1</v>
      </c>
      <c r="K28" s="130">
        <v>1</v>
      </c>
      <c r="L28" s="130">
        <v>6</v>
      </c>
      <c r="M28" s="130"/>
    </row>
    <row r="29" spans="2:13" x14ac:dyDescent="0.3">
      <c r="B29" s="24" t="str">
        <f>IFERROR(IF(Program=Spec[[#This Row],[PROGRAM]],Spec[[#This Row],[INRIKTNING]],""),"")</f>
        <v>Maskinteknik</v>
      </c>
      <c r="C29" s="24">
        <f>ROWS('Program och examenskrav'!F39:Spec[[#Headers],[INRIKTNING]])</f>
        <v>14</v>
      </c>
      <c r="D29" s="24" t="str">
        <f t="array" ref="D29">IF(ROWS($D$16:D29)&gt;$B$11,"",INDEX($B$16:$B$149,SMALL(IF($B$16:$B$149&lt;&gt;"",ROW($B$16:$B$149)-ROW($D$16)+1),ROWS(D$16:D29))))</f>
        <v/>
      </c>
      <c r="J29" s="24">
        <v>2</v>
      </c>
      <c r="K29" s="130">
        <v>1</v>
      </c>
      <c r="L29" s="130">
        <v>6</v>
      </c>
      <c r="M29" s="130"/>
    </row>
    <row r="30" spans="2:13" x14ac:dyDescent="0.3">
      <c r="B30" s="24" t="str">
        <f>IFERROR(IF(Program=Spec[[#This Row],[PROGRAM]],Spec[[#This Row],[INRIKTNING]],""),"")</f>
        <v>Energiteknik</v>
      </c>
      <c r="C30" s="24">
        <f>ROWS('Program och examenskrav'!F40:Spec[[#Headers],[INRIKTNING]])</f>
        <v>15</v>
      </c>
      <c r="D30" s="24" t="str">
        <f t="array" ref="D30">IF(ROWS($D$16:D30)&gt;$B$11,"",INDEX($B$16:$B$149,SMALL(IF($B$16:$B$149&lt;&gt;"",ROW($B$16:$B$149)-ROW($D$16)+1),ROWS(D$16:D30))))</f>
        <v/>
      </c>
      <c r="K30" s="130"/>
      <c r="L30" s="130"/>
      <c r="M30" s="130"/>
    </row>
    <row r="31" spans="2:13" x14ac:dyDescent="0.3">
      <c r="B31" s="24" t="str">
        <f>IFERROR(IF(Program=Spec[[#This Row],[PROGRAM]],Spec[[#This Row],[INRIKTNING]],""),"")</f>
        <v>Bioteknik</v>
      </c>
      <c r="C31" s="24">
        <f>ROWS('Program och examenskrav'!F41:Spec[[#Headers],[INRIKTNING]])</f>
        <v>16</v>
      </c>
      <c r="D31" s="24" t="str">
        <f t="array" ref="D31">IF(ROWS($D$16:D31)&gt;$B$11,"",INDEX($B$16:$B$149,SMALL(IF($B$16:$B$149&lt;&gt;"",ROW($B$16:$B$149)-ROW($D$16)+1),ROWS(D$16:D31))))</f>
        <v/>
      </c>
      <c r="I31" s="24">
        <v>2</v>
      </c>
      <c r="K31" s="130">
        <v>2</v>
      </c>
      <c r="L31" s="130">
        <v>10</v>
      </c>
      <c r="M31" s="130"/>
    </row>
    <row r="32" spans="2:13" x14ac:dyDescent="0.3">
      <c r="B32" s="24" t="str">
        <f>IFERROR(IF(Program=Spec[[#This Row],[PROGRAM]],Spec[[#This Row],[INRIKTNING]],""),"")</f>
        <v>Finans</v>
      </c>
      <c r="C32" s="24">
        <f>ROWS('Program och examenskrav'!F42:Spec[[#Headers],[INRIKTNING]])</f>
        <v>17</v>
      </c>
      <c r="D32" s="24" t="str">
        <f t="array" ref="D32">IF(ROWS($D$16:D32)&gt;$B$11,"",INDEX($B$16:$B$149,SMALL(IF($B$16:$B$149&lt;&gt;"",ROW($B$16:$B$149)-ROW($D$16)+1),ROWS(D$16:D32))))</f>
        <v/>
      </c>
      <c r="J32" s="24">
        <v>2</v>
      </c>
      <c r="K32" s="130">
        <v>1</v>
      </c>
      <c r="L32" s="130">
        <v>8</v>
      </c>
      <c r="M32" s="130"/>
    </row>
    <row r="33" spans="2:13" x14ac:dyDescent="0.3">
      <c r="B33" s="24" t="str">
        <f>IFERROR(IF(Program=Spec[[#This Row],[PROGRAM]],Spec[[#This Row],[INRIKTNING]],""),"")</f>
        <v/>
      </c>
      <c r="C33" s="24">
        <f>ROWS('Program och examenskrav'!F43:Spec[[#Headers],[INRIKTNING]])</f>
        <v>18</v>
      </c>
      <c r="D33" s="24" t="str">
        <f t="array" ref="D33">IF(ROWS($D$16:D33)&gt;$B$11,"",INDEX($B$16:$B$149,SMALL(IF($B$16:$B$149&lt;&gt;"",ROW($B$16:$B$149)-ROW($D$16)+1),ROWS(D$16:D33))))</f>
        <v/>
      </c>
      <c r="J33" s="24">
        <v>3</v>
      </c>
      <c r="K33" s="130">
        <v>1</v>
      </c>
      <c r="L33" s="130">
        <v>2</v>
      </c>
      <c r="M33" s="130"/>
    </row>
    <row r="34" spans="2:13" x14ac:dyDescent="0.3">
      <c r="B34" s="24" t="str">
        <f>IFERROR(IF(Program=Spec[[#This Row],[PROGRAM]],Spec[[#This Row],[INRIKTNING]],""),"")</f>
        <v/>
      </c>
      <c r="C34" s="24">
        <f>ROWS('Program och examenskrav'!F44:Spec[[#Headers],[INRIKTNING]])</f>
        <v>19</v>
      </c>
      <c r="D34" s="24" t="str">
        <f t="array" ref="D34">IF(ROWS($D$16:D34)&gt;$B$11,"",INDEX($B$16:$B$149,SMALL(IF($B$16:$B$149&lt;&gt;"",ROW($B$16:$B$149)-ROW($D$16)+1),ROWS(D$16:D34))))</f>
        <v/>
      </c>
      <c r="K34" s="130"/>
      <c r="L34" s="130"/>
      <c r="M34" s="130"/>
    </row>
    <row r="35" spans="2:13" x14ac:dyDescent="0.3">
      <c r="B35" s="24" t="str">
        <f>IFERROR(IF(Program=Spec[[#This Row],[PROGRAM]],Spec[[#This Row],[INRIKTNING]],""),"")</f>
        <v/>
      </c>
      <c r="C35" s="24">
        <f>ROWS('Program och examenskrav'!F45:Spec[[#Headers],[INRIKTNING]])</f>
        <v>20</v>
      </c>
      <c r="D35" s="24" t="str">
        <f t="array" ref="D35">IF(ROWS($D$16:D35)&gt;$B$11,"",INDEX($B$16:$B$149,SMALL(IF($B$16:$B$149&lt;&gt;"",ROW($B$16:$B$149)-ROW($D$16)+1),ROWS(D$16:D35))))</f>
        <v/>
      </c>
      <c r="I35" s="24" t="s">
        <v>132</v>
      </c>
      <c r="K35" s="130">
        <v>2</v>
      </c>
      <c r="L35" s="130">
        <v>14</v>
      </c>
      <c r="M35" s="130"/>
    </row>
    <row r="36" spans="2:13" x14ac:dyDescent="0.3">
      <c r="B36" s="24" t="str">
        <f>IFERROR(IF(Program=Spec[[#This Row],[PROGRAM]],Spec[[#This Row],[INRIKTNING]],""),"")</f>
        <v/>
      </c>
      <c r="C36" s="24">
        <f>ROWS('Program och examenskrav'!F46:Spec[[#Headers],[INRIKTNING]])</f>
        <v>21</v>
      </c>
      <c r="D36" s="24" t="str">
        <f t="array" ref="D36">IF(ROWS($D$16:D36)&gt;$B$11,"",INDEX($B$16:$B$149,SMALL(IF($B$16:$B$149&lt;&gt;"",ROW($B$16:$B$149)-ROW($D$16)+1),ROWS(D$16:D36))))</f>
        <v/>
      </c>
      <c r="J36" s="24" t="s">
        <v>136</v>
      </c>
      <c r="K36" s="130">
        <v>1</v>
      </c>
      <c r="L36" s="130">
        <v>6</v>
      </c>
      <c r="M36" s="130"/>
    </row>
    <row r="37" spans="2:13" x14ac:dyDescent="0.3">
      <c r="B37" s="24" t="str">
        <f>IFERROR(IF(Program=Spec[[#This Row],[PROGRAM]],Spec[[#This Row],[INRIKTNING]],""),"")</f>
        <v/>
      </c>
      <c r="C37" s="24">
        <f>ROWS('Program och examenskrav'!F47:Spec[[#Headers],[INRIKTNING]])</f>
        <v>22</v>
      </c>
      <c r="D37" s="24" t="str">
        <f t="array" ref="D37">IF(ROWS($D$16:D37)&gt;$B$11,"",INDEX($B$16:$B$149,SMALL(IF($B$16:$B$149&lt;&gt;"",ROW($B$16:$B$149)-ROW($D$16)+1),ROWS(D$16:D37))))</f>
        <v/>
      </c>
      <c r="J37" s="24" t="s">
        <v>133</v>
      </c>
      <c r="K37" s="130">
        <v>1</v>
      </c>
      <c r="L37" s="130">
        <v>8</v>
      </c>
      <c r="M37" s="130"/>
    </row>
    <row r="38" spans="2:13" x14ac:dyDescent="0.3">
      <c r="B38" s="24" t="str">
        <f>IFERROR(IF(Program=Spec[[#This Row],[PROGRAM]],Spec[[#This Row],[INRIKTNING]],""),"")</f>
        <v/>
      </c>
      <c r="C38" s="24">
        <f>ROWS('Program och examenskrav'!F48:Spec[[#Headers],[INRIKTNING]])</f>
        <v>23</v>
      </c>
      <c r="D38" s="24" t="str">
        <f t="array" ref="D38">IF(ROWS($D$16:D38)&gt;$B$11,"",INDEX($B$16:$B$149,SMALL(IF($B$16:$B$149&lt;&gt;"",ROW($B$16:$B$149)-ROW($D$16)+1),ROWS(D$16:D38))))</f>
        <v/>
      </c>
      <c r="K38" s="130"/>
      <c r="L38" s="130"/>
      <c r="M38" s="130"/>
    </row>
    <row r="39" spans="2:13" x14ac:dyDescent="0.3">
      <c r="B39" s="24" t="str">
        <f>IFERROR(IF(Program=Spec[[#This Row],[PROGRAM]],Spec[[#This Row],[INRIKTNING]],""),"")</f>
        <v/>
      </c>
      <c r="C39" s="24">
        <f>ROWS('Program och examenskrav'!F49:Spec[[#Headers],[INRIKTNING]])</f>
        <v>24</v>
      </c>
      <c r="D39" s="24" t="str">
        <f t="array" ref="D39">IF(ROWS($D$16:D39)&gt;$B$11,"",INDEX($B$16:$B$149,SMALL(IF($B$16:$B$149&lt;&gt;"",ROW($B$16:$B$149)-ROW($D$16)+1),ROWS(D$16:D39))))</f>
        <v/>
      </c>
      <c r="H39" s="24">
        <v>5</v>
      </c>
      <c r="K39" s="130">
        <v>6</v>
      </c>
      <c r="L39" s="130">
        <v>30</v>
      </c>
      <c r="M39" s="130"/>
    </row>
    <row r="40" spans="2:13" x14ac:dyDescent="0.3">
      <c r="B40" s="24" t="str">
        <f>IFERROR(IF(Program=Spec[[#This Row],[PROGRAM]],Spec[[#This Row],[INRIKTNING]],""),"")</f>
        <v/>
      </c>
      <c r="C40" s="24">
        <f>ROWS('Program och examenskrav'!F50:Spec[[#Headers],[INRIKTNING]])</f>
        <v>25</v>
      </c>
      <c r="D40" s="24" t="str">
        <f t="array" ref="D40">IF(ROWS($D$16:D40)&gt;$B$11,"",INDEX($B$16:$B$149,SMALL(IF($B$16:$B$149&lt;&gt;"",ROW($B$16:$B$149)-ROW($D$16)+1),ROWS(D$16:D40))))</f>
        <v/>
      </c>
      <c r="I40" s="24">
        <v>1</v>
      </c>
      <c r="K40" s="130">
        <v>3</v>
      </c>
      <c r="L40" s="130">
        <v>16</v>
      </c>
      <c r="M40" s="130"/>
    </row>
    <row r="41" spans="2:13" x14ac:dyDescent="0.3">
      <c r="B41" s="24" t="str">
        <f>IFERROR(IF(Program=Spec[[#This Row],[PROGRAM]],Spec[[#This Row],[INRIKTNING]],""),"")</f>
        <v/>
      </c>
      <c r="C41" s="24">
        <f>ROWS('Program och examenskrav'!F51:Spec[[#Headers],[INRIKTNING]])</f>
        <v>26</v>
      </c>
      <c r="D41" s="24" t="str">
        <f t="array" ref="D41">IF(ROWS($D$16:D41)&gt;$B$11,"",INDEX($B$16:$B$149,SMALL(IF($B$16:$B$149&lt;&gt;"",ROW($B$16:$B$149)-ROW($D$16)+1),ROWS(D$16:D41))))</f>
        <v/>
      </c>
      <c r="J41" s="24">
        <v>1</v>
      </c>
      <c r="K41" s="130">
        <v>1</v>
      </c>
      <c r="L41" s="130">
        <v>6</v>
      </c>
      <c r="M41" s="130"/>
    </row>
    <row r="42" spans="2:13" x14ac:dyDescent="0.3">
      <c r="B42" s="24" t="str">
        <f>IFERROR(IF(Program=Spec[[#This Row],[PROGRAM]],Spec[[#This Row],[INRIKTNING]],""),"")</f>
        <v/>
      </c>
      <c r="C42" s="24">
        <f>ROWS('Program och examenskrav'!F52:Spec[[#Headers],[INRIKTNING]])</f>
        <v>27</v>
      </c>
      <c r="D42" s="24" t="str">
        <f t="array" ref="D42">IF(ROWS($D$16:D42)&gt;$B$11,"",INDEX($B$16:$B$149,SMALL(IF($B$16:$B$149&lt;&gt;"",ROW($B$16:$B$149)-ROW($D$16)+1),ROWS(D$16:D42))))</f>
        <v/>
      </c>
      <c r="J42" s="24">
        <v>2</v>
      </c>
      <c r="K42" s="130">
        <v>1</v>
      </c>
      <c r="L42" s="130">
        <v>4</v>
      </c>
      <c r="M42" s="130"/>
    </row>
    <row r="43" spans="2:13" x14ac:dyDescent="0.3">
      <c r="B43" s="24" t="str">
        <f>IFERROR(IF(Program=Spec[[#This Row],[PROGRAM]],Spec[[#This Row],[INRIKTNING]],""),"")</f>
        <v/>
      </c>
      <c r="C43" s="24" t="e">
        <f>ROWS('Program och examenskrav'!#REF!:Spec[[#Headers],[INRIKTNING]])</f>
        <v>#REF!</v>
      </c>
      <c r="D43" s="24" t="str">
        <f t="array" ref="D43">IF(ROWS($D$16:D43)&gt;$B$11,"",INDEX($B$16:$B$149,SMALL(IF($B$16:$B$149&lt;&gt;"",ROW($B$16:$B$149)-ROW($D$16)+1),ROWS(D$16:D43))))</f>
        <v/>
      </c>
      <c r="J43" s="24">
        <v>4</v>
      </c>
      <c r="K43" s="130">
        <v>1</v>
      </c>
      <c r="L43" s="130">
        <v>6</v>
      </c>
      <c r="M43" s="130"/>
    </row>
    <row r="44" spans="2:13" x14ac:dyDescent="0.3">
      <c r="B44" s="24" t="str">
        <f>IFERROR(IF(Program=Spec[[#This Row],[PROGRAM]],Spec[[#This Row],[INRIKTNING]],""),"")</f>
        <v/>
      </c>
      <c r="C44" s="24" t="e">
        <f>ROWS('Program och examenskrav'!#REF!:Spec[[#Headers],[INRIKTNING]])</f>
        <v>#REF!</v>
      </c>
      <c r="D44" s="24" t="str">
        <f t="array" ref="D44">IF(ROWS($D$16:D44)&gt;$B$11,"",INDEX($B$16:$B$149,SMALL(IF($B$16:$B$149&lt;&gt;"",ROW($B$16:$B$149)-ROW($D$16)+1),ROWS(D$16:D44))))</f>
        <v/>
      </c>
      <c r="K44" s="130"/>
      <c r="L44" s="130"/>
      <c r="M44" s="130"/>
    </row>
    <row r="45" spans="2:13" x14ac:dyDescent="0.3">
      <c r="B45" s="24" t="str">
        <f>IFERROR(IF(Program=Spec[[#This Row],[PROGRAM]],Spec[[#This Row],[INRIKTNING]],""),"")</f>
        <v/>
      </c>
      <c r="C45" s="24" t="e">
        <f>ROWS('Program och examenskrav'!#REF!:Spec[[#Headers],[INRIKTNING]])</f>
        <v>#REF!</v>
      </c>
      <c r="D45" s="24" t="str">
        <f t="array" ref="D45">IF(ROWS($D$16:D45)&gt;$B$11,"",INDEX($B$16:$B$149,SMALL(IF($B$16:$B$149&lt;&gt;"",ROW($B$16:$B$149)-ROW($D$16)+1),ROWS(D$16:D45))))</f>
        <v/>
      </c>
      <c r="I45" s="24">
        <v>2</v>
      </c>
      <c r="K45" s="130">
        <v>3</v>
      </c>
      <c r="L45" s="130">
        <v>14</v>
      </c>
      <c r="M45" s="130"/>
    </row>
    <row r="46" spans="2:13" x14ac:dyDescent="0.3">
      <c r="B46" s="24" t="str">
        <f>IFERROR(IF(Program=Spec[[#This Row],[PROGRAM]],Spec[[#This Row],[INRIKTNING]],""),"")</f>
        <v/>
      </c>
      <c r="C46" s="24" t="e">
        <f>ROWS('Program och examenskrav'!#REF!:Spec[[#Headers],[INRIKTNING]])</f>
        <v>#REF!</v>
      </c>
      <c r="D46" s="24" t="str">
        <f t="array" ref="D46">IF(ROWS($D$16:D46)&gt;$B$11,"",INDEX($B$16:$B$149,SMALL(IF($B$16:$B$149&lt;&gt;"",ROW($B$16:$B$149)-ROW($D$16)+1),ROWS(D$16:D46))))</f>
        <v/>
      </c>
      <c r="J46" s="24">
        <v>1</v>
      </c>
      <c r="K46" s="130">
        <v>1</v>
      </c>
      <c r="L46" s="130">
        <v>2</v>
      </c>
      <c r="M46" s="130"/>
    </row>
    <row r="47" spans="2:13" x14ac:dyDescent="0.3">
      <c r="B47" s="24" t="str">
        <f>IFERROR(IF(Program=Spec[[#This Row],[PROGRAM]],Spec[[#This Row],[INRIKTNING]],""),"")</f>
        <v/>
      </c>
      <c r="C47" s="24" t="e">
        <f>ROWS('Program och examenskrav'!#REF!:Spec[[#Headers],[INRIKTNING]])</f>
        <v>#REF!</v>
      </c>
      <c r="D47" s="24" t="str">
        <f t="array" ref="D47">IF(ROWS($D$16:D47)&gt;$B$11,"",INDEX($B$16:$B$149,SMALL(IF($B$16:$B$149&lt;&gt;"",ROW($B$16:$B$149)-ROW($D$16)+1),ROWS(D$16:D47))))</f>
        <v/>
      </c>
      <c r="J47" s="24">
        <v>3</v>
      </c>
      <c r="K47" s="130">
        <v>1</v>
      </c>
      <c r="L47" s="130">
        <v>6</v>
      </c>
      <c r="M47" s="130"/>
    </row>
    <row r="48" spans="2:13" x14ac:dyDescent="0.3">
      <c r="B48" s="24" t="str">
        <f>IFERROR(IF(Program=Spec[[#This Row],[PROGRAM]],Spec[[#This Row],[INRIKTNING]],""),"")</f>
        <v/>
      </c>
      <c r="C48" s="24" t="e">
        <f>ROWS('Program och examenskrav'!#REF!:Spec[[#Headers],[INRIKTNING]])</f>
        <v>#REF!</v>
      </c>
      <c r="D48" s="24" t="str">
        <f t="array" ref="D48">IF(ROWS($D$16:D48)&gt;$B$11,"",INDEX($B$16:$B$149,SMALL(IF($B$16:$B$149&lt;&gt;"",ROW($B$16:$B$149)-ROW($D$16)+1),ROWS(D$16:D48))))</f>
        <v/>
      </c>
      <c r="J48" s="24">
        <v>4</v>
      </c>
      <c r="K48" s="130">
        <v>1</v>
      </c>
      <c r="L48" s="130">
        <v>6</v>
      </c>
      <c r="M48" s="130"/>
    </row>
    <row r="49" spans="2:13" x14ac:dyDescent="0.3">
      <c r="B49" s="24" t="str">
        <f>IFERROR(IF(Program=Spec[[#This Row],[PROGRAM]],Spec[[#This Row],[INRIKTNING]],""),"")</f>
        <v/>
      </c>
      <c r="C49" s="24" t="e">
        <f>ROWS('Program och examenskrav'!#REF!:Spec[[#Headers],[INRIKTNING]])</f>
        <v>#REF!</v>
      </c>
      <c r="D49" s="24" t="str">
        <f t="array" ref="D49">IF(ROWS($D$16:D49)&gt;$B$11,"",INDEX($B$16:$B$149,SMALL(IF($B$16:$B$149&lt;&gt;"",ROW($B$16:$B$149)-ROW($D$16)+1),ROWS(D$16:D49))))</f>
        <v/>
      </c>
      <c r="K49" s="130"/>
      <c r="L49" s="130"/>
      <c r="M49" s="130"/>
    </row>
    <row r="50" spans="2:13" x14ac:dyDescent="0.3">
      <c r="B50" s="24" t="str">
        <f>IFERROR(IF(Program=Spec[[#This Row],[PROGRAM]],Spec[[#This Row],[INRIKTNING]],""),"")</f>
        <v/>
      </c>
      <c r="C50" s="24" t="e">
        <f>ROWS('Program och examenskrav'!#REF!:Spec[[#Headers],[INRIKTNING]])</f>
        <v>#REF!</v>
      </c>
      <c r="D50" s="24" t="str">
        <f t="array" ref="D50">IF(ROWS($D$16:D50)&gt;$B$11,"",INDEX($B$16:$B$149,SMALL(IF($B$16:$B$149&lt;&gt;"",ROW($B$16:$B$149)-ROW($D$16)+1),ROWS(D$16:D50))))</f>
        <v/>
      </c>
      <c r="H50" s="24">
        <v>6</v>
      </c>
      <c r="K50" s="130">
        <v>3</v>
      </c>
      <c r="L50" s="130">
        <v>30</v>
      </c>
      <c r="M50" s="130"/>
    </row>
    <row r="51" spans="2:13" x14ac:dyDescent="0.3">
      <c r="B51" s="24" t="str">
        <f>IFERROR(IF(Program=Spec[[#This Row],[PROGRAM]],Spec[[#This Row],[INRIKTNING]],""),"")</f>
        <v/>
      </c>
      <c r="C51" s="24" t="e">
        <f>ROWS('Program och examenskrav'!#REF!:Spec[[#Headers],[INRIKTNING]])</f>
        <v>#REF!</v>
      </c>
      <c r="D51" s="24" t="str">
        <f t="array" ref="D51">IF(ROWS($D$16:D51)&gt;$B$11,"",INDEX($B$16:$B$149,SMALL(IF($B$16:$B$149&lt;&gt;"",ROW($B$16:$B$149)-ROW($D$16)+1),ROWS(D$16:D51))))</f>
        <v/>
      </c>
      <c r="I51" s="24">
        <v>1</v>
      </c>
      <c r="K51" s="130">
        <v>1</v>
      </c>
      <c r="L51" s="130">
        <v>6</v>
      </c>
      <c r="M51" s="130"/>
    </row>
    <row r="52" spans="2:13" x14ac:dyDescent="0.3">
      <c r="B52" s="24" t="str">
        <f>IFERROR(IF(Program=Spec[[#This Row],[PROGRAM]],Spec[[#This Row],[INRIKTNING]],""),"")</f>
        <v/>
      </c>
      <c r="C52" s="24" t="e">
        <f>ROWS('Program och examenskrav'!#REF!:Spec[[#Headers],[INRIKTNING]])</f>
        <v>#REF!</v>
      </c>
      <c r="D52" s="24" t="str">
        <f t="array" ref="D52">IF(ROWS($D$16:D52)&gt;$B$11,"",INDEX($B$16:$B$149,SMALL(IF($B$16:$B$149&lt;&gt;"",ROW($B$16:$B$149)-ROW($D$16)+1),ROWS(D$16:D52))))</f>
        <v/>
      </c>
      <c r="J52" s="24">
        <v>4</v>
      </c>
      <c r="K52" s="130">
        <v>1</v>
      </c>
      <c r="L52" s="130">
        <v>6</v>
      </c>
      <c r="M52" s="130"/>
    </row>
    <row r="53" spans="2:13" x14ac:dyDescent="0.3">
      <c r="B53" s="24" t="str">
        <f>IFERROR(IF(Program=Spec[[#This Row],[PROGRAM]],Spec[[#This Row],[INRIKTNING]],""),"")</f>
        <v/>
      </c>
      <c r="C53" s="24" t="e">
        <f>ROWS('Program och examenskrav'!#REF!:Spec[[#Headers],[INRIKTNING]])</f>
        <v>#REF!</v>
      </c>
      <c r="D53" s="24" t="str">
        <f t="array" ref="D53">IF(ROWS($D$16:D53)&gt;$B$11,"",INDEX($B$16:$B$149,SMALL(IF($B$16:$B$149&lt;&gt;"",ROW($B$16:$B$149)-ROW($D$16)+1),ROWS(D$16:D53))))</f>
        <v/>
      </c>
      <c r="K53" s="130"/>
      <c r="L53" s="130"/>
      <c r="M53" s="130"/>
    </row>
    <row r="54" spans="2:13" x14ac:dyDescent="0.3">
      <c r="B54" s="24" t="str">
        <f>IFERROR(IF(Program=Spec[[#This Row],[PROGRAM]],Spec[[#This Row],[INRIKTNING]],""),"")</f>
        <v/>
      </c>
      <c r="C54" s="24" t="e">
        <f>ROWS('Program och examenskrav'!#REF!:Spec[[#Headers],[INRIKTNING]])</f>
        <v>#REF!</v>
      </c>
      <c r="D54" s="24" t="str">
        <f t="array" ref="D54">IF(ROWS($D$16:D54)&gt;$B$11,"",INDEX($B$16:$B$149,SMALL(IF($B$16:$B$149&lt;&gt;"",ROW($B$16:$B$149)-ROW($D$16)+1),ROWS(D$16:D54))))</f>
        <v/>
      </c>
      <c r="I54" s="24" t="s">
        <v>132</v>
      </c>
      <c r="K54" s="130">
        <v>2</v>
      </c>
      <c r="L54" s="130">
        <v>24</v>
      </c>
      <c r="M54" s="130"/>
    </row>
    <row r="55" spans="2:13" x14ac:dyDescent="0.3">
      <c r="B55" s="24" t="str">
        <f>IFERROR(IF(Program=Spec[[#This Row],[PROGRAM]],Spec[[#This Row],[INRIKTNING]],""),"")</f>
        <v/>
      </c>
      <c r="C55" s="24" t="e">
        <f>ROWS('Program och examenskrav'!#REF!:Spec[[#Headers],[INRIKTNING]])</f>
        <v>#REF!</v>
      </c>
      <c r="D55" s="24" t="str">
        <f t="array" ref="D55">IF(ROWS($D$16:D55)&gt;$B$11,"",INDEX($B$16:$B$149,SMALL(IF($B$16:$B$149&lt;&gt;"",ROW($B$16:$B$149)-ROW($D$16)+1),ROWS(D$16:D55))))</f>
        <v/>
      </c>
      <c r="J55" s="24" t="s">
        <v>134</v>
      </c>
      <c r="K55" s="130">
        <v>1</v>
      </c>
      <c r="L55" s="130">
        <v>6</v>
      </c>
      <c r="M55" s="130"/>
    </row>
    <row r="56" spans="2:13" x14ac:dyDescent="0.3">
      <c r="B56" s="24" t="str">
        <f>IFERROR(IF(Program=Spec[[#This Row],[PROGRAM]],Spec[[#This Row],[INRIKTNING]],""),"")</f>
        <v/>
      </c>
      <c r="C56" s="24" t="e">
        <f>ROWS('Program och examenskrav'!#REF!:Spec[[#Headers],[INRIKTNING]])</f>
        <v>#REF!</v>
      </c>
      <c r="D56" s="24" t="str">
        <f t="array" ref="D56">IF(ROWS($D$16:D56)&gt;$B$11,"",INDEX($B$16:$B$149,SMALL(IF($B$16:$B$149&lt;&gt;"",ROW($B$16:$B$149)-ROW($D$16)+1),ROWS(D$16:D56))))</f>
        <v/>
      </c>
      <c r="J56" s="24" t="s">
        <v>133</v>
      </c>
      <c r="K56" s="130">
        <v>1</v>
      </c>
      <c r="L56" s="130">
        <v>18</v>
      </c>
      <c r="M56" s="130"/>
    </row>
    <row r="57" spans="2:13" x14ac:dyDescent="0.3">
      <c r="B57" s="24" t="str">
        <f>IFERROR(IF(Program=Spec[[#This Row],[PROGRAM]],Spec[[#This Row],[INRIKTNING]],""),"")</f>
        <v>Ekonomiska informationssystem</v>
      </c>
      <c r="C57" s="24" t="e">
        <f>ROWS('Program och examenskrav'!#REF!:Spec[[#Headers],[INRIKTNING]])</f>
        <v>#REF!</v>
      </c>
      <c r="D57" s="24" t="str">
        <f t="array" ref="D57">IF(ROWS($D$16:D57)&gt;$B$11,"",INDEX($B$16:$B$149,SMALL(IF($B$16:$B$149&lt;&gt;"",ROW($B$16:$B$149)-ROW($D$16)+1),ROWS(D$16:D57))))</f>
        <v/>
      </c>
      <c r="K57" s="130"/>
      <c r="L57" s="130"/>
      <c r="M57" s="130"/>
    </row>
    <row r="58" spans="2:13" x14ac:dyDescent="0.3">
      <c r="B58" s="24" t="str">
        <f>IFERROR(IF(Program=Spec[[#This Row],[PROGRAM]],Spec[[#This Row],[INRIKTNING]],""),"")</f>
        <v>Industriell marknadsföring</v>
      </c>
      <c r="C58" s="24">
        <f>ROWS('Program och examenskrav'!F72:Spec[[#Headers],[INRIKTNING]])</f>
        <v>47</v>
      </c>
      <c r="D58" s="24" t="str">
        <f t="array" ref="D58">IF(ROWS($D$16:D58)&gt;$B$11,"",INDEX($B$16:$B$149,SMALL(IF($B$16:$B$149&lt;&gt;"",ROW($B$16:$B$149)-ROW($D$16)+1),ROWS(D$16:D58))))</f>
        <v/>
      </c>
      <c r="H58" s="24">
        <v>4</v>
      </c>
      <c r="K58" s="130">
        <v>5</v>
      </c>
      <c r="L58" s="130">
        <v>26</v>
      </c>
      <c r="M58" s="130"/>
    </row>
    <row r="59" spans="2:13" x14ac:dyDescent="0.3">
      <c r="B59" s="24" t="str">
        <f>IFERROR(IF(Program=Spec[[#This Row],[PROGRAM]],Spec[[#This Row],[INRIKTNING]],""),"")</f>
        <v>Kvalitets- och verksamhetsutveckling</v>
      </c>
      <c r="C59" s="24">
        <f>ROWS('Program och examenskrav'!F73:Spec[[#Headers],[INRIKTNING]])</f>
        <v>48</v>
      </c>
      <c r="D59" s="24" t="str">
        <f t="array" ref="D59">IF(ROWS($D$16:D59)&gt;$B$11,"",INDEX($B$16:$B$149,SMALL(IF($B$16:$B$149&lt;&gt;"",ROW($B$16:$B$149)-ROW($D$16)+1),ROWS(D$16:D59))))</f>
        <v/>
      </c>
      <c r="I59" s="24">
        <v>1</v>
      </c>
      <c r="K59" s="130">
        <v>2</v>
      </c>
      <c r="L59" s="130">
        <v>10</v>
      </c>
      <c r="M59" s="130"/>
    </row>
    <row r="60" spans="2:13" x14ac:dyDescent="0.3">
      <c r="B60" s="24" t="str">
        <f>IFERROR(IF(Program=Spec[[#This Row],[PROGRAM]],Spec[[#This Row],[INRIKTNING]],""),"")</f>
        <v>Logistik</v>
      </c>
      <c r="C60" s="24">
        <f>ROWS('Program och examenskrav'!F74:Spec[[#Headers],[INRIKTNING]])</f>
        <v>49</v>
      </c>
      <c r="D60" s="24" t="str">
        <f t="array" ref="D60">IF(ROWS($D$16:D60)&gt;$B$11,"",INDEX($B$16:$B$149,SMALL(IF($B$16:$B$149&lt;&gt;"",ROW($B$16:$B$149)-ROW($D$16)+1),ROWS(D$16:D60))))</f>
        <v/>
      </c>
      <c r="J60" s="24">
        <v>1</v>
      </c>
      <c r="K60" s="130">
        <v>1</v>
      </c>
      <c r="L60" s="130">
        <v>4</v>
      </c>
      <c r="M60" s="130"/>
    </row>
    <row r="61" spans="2:13" x14ac:dyDescent="0.3">
      <c r="B61" s="24" t="str">
        <f>IFERROR(IF(Program=Spec[[#This Row],[PROGRAM]],Spec[[#This Row],[INRIKTNING]],""),"")</f>
        <v>Produktionsledning</v>
      </c>
      <c r="C61" s="24">
        <f>ROWS('Program och examenskrav'!F75:Spec[[#Headers],[INRIKTNING]])</f>
        <v>50</v>
      </c>
      <c r="D61" s="24" t="str">
        <f t="array" ref="D61">IF(ROWS($D$16:D61)&gt;$B$11,"",INDEX($B$16:$B$149,SMALL(IF($B$16:$B$149&lt;&gt;"",ROW($B$16:$B$149)-ROW($D$16)+1),ROWS(D$16:D61))))</f>
        <v/>
      </c>
      <c r="J61" s="24">
        <v>2</v>
      </c>
      <c r="K61" s="130">
        <v>1</v>
      </c>
      <c r="L61" s="130">
        <v>6</v>
      </c>
      <c r="M61" s="130"/>
    </row>
    <row r="62" spans="2:13" x14ac:dyDescent="0.3">
      <c r="B62" s="24" t="str">
        <f>IFERROR(IF(Program=Spec[[#This Row],[PROGRAM]],Spec[[#This Row],[INRIKTNING]],""),"")</f>
        <v>Projekt, innovation och entreprenörskap</v>
      </c>
      <c r="C62" s="24">
        <f>ROWS('Program och examenskrav'!F76:Spec[[#Headers],[INRIKTNING]])</f>
        <v>51</v>
      </c>
      <c r="D62" s="24" t="str">
        <f t="array" ref="D62">IF(ROWS($D$16:D62)&gt;$B$11,"",INDEX($B$16:$B$149,SMALL(IF($B$16:$B$149&lt;&gt;"",ROW($B$16:$B$149)-ROW($D$16)+1),ROWS(D$16:D62))))</f>
        <v/>
      </c>
      <c r="K62" s="130"/>
      <c r="L62" s="130"/>
      <c r="M62" s="130"/>
    </row>
    <row r="63" spans="2:13" x14ac:dyDescent="0.3">
      <c r="B63" s="24" t="str">
        <f>IFERROR(IF(Program=Spec[[#This Row],[PROGRAM]],Spec[[#This Row],[INRIKTNING]],""),"")</f>
        <v>Strategi och styrning</v>
      </c>
      <c r="C63" s="24">
        <f>ROWS('Program och examenskrav'!F77:Spec[[#Headers],[INRIKTNING]])</f>
        <v>52</v>
      </c>
      <c r="D63" s="24" t="str">
        <f t="array" ref="D63">IF(ROWS($D$16:D63)&gt;$B$11,"",INDEX($B$16:$B$149,SMALL(IF($B$16:$B$149&lt;&gt;"",ROW($B$16:$B$149)-ROW($D$16)+1),ROWS(D$16:D63))))</f>
        <v/>
      </c>
      <c r="I63" s="24">
        <v>2</v>
      </c>
      <c r="K63" s="130">
        <v>3</v>
      </c>
      <c r="L63" s="130">
        <v>16</v>
      </c>
      <c r="M63" s="130"/>
    </row>
    <row r="64" spans="2:13" x14ac:dyDescent="0.3">
      <c r="B64" s="24" t="str">
        <f>IFERROR(IF(Program=Spec[[#This Row],[PROGRAM]],Spec[[#This Row],[INRIKTNING]],""),"")</f>
        <v/>
      </c>
      <c r="C64" s="24">
        <f>ROWS('Program och examenskrav'!F78:Spec[[#Headers],[INRIKTNING]])</f>
        <v>53</v>
      </c>
      <c r="D64" s="24" t="str">
        <f t="array" ref="D64">IF(ROWS($D$16:D64)&gt;$B$11,"",INDEX($B$16:$B$149,SMALL(IF($B$16:$B$149&lt;&gt;"",ROW($B$16:$B$149)-ROW($D$16)+1),ROWS(D$16:D64))))</f>
        <v/>
      </c>
      <c r="J64" s="24">
        <v>1</v>
      </c>
      <c r="K64" s="130">
        <v>1</v>
      </c>
      <c r="L64" s="130">
        <v>4</v>
      </c>
      <c r="M64" s="130"/>
    </row>
    <row r="65" spans="2:13" x14ac:dyDescent="0.3">
      <c r="B65" s="24" t="str">
        <f>IFERROR(IF(Program=Spec[[#This Row],[PROGRAM]],Spec[[#This Row],[INRIKTNING]],""),"")</f>
        <v/>
      </c>
      <c r="C65" s="24">
        <f>ROWS('Program och examenskrav'!F79:Spec[[#Headers],[INRIKTNING]])</f>
        <v>54</v>
      </c>
      <c r="D65" s="24" t="str">
        <f t="array" ref="D65">IF(ROWS($D$16:D65)&gt;$B$11,"",INDEX($B$16:$B$149,SMALL(IF($B$16:$B$149&lt;&gt;"",ROW($B$16:$B$149)-ROW($D$16)+1),ROWS(D$16:D65))))</f>
        <v/>
      </c>
      <c r="J65" s="24">
        <v>3</v>
      </c>
      <c r="K65" s="130">
        <v>1</v>
      </c>
      <c r="L65" s="130">
        <v>6</v>
      </c>
      <c r="M65" s="130"/>
    </row>
    <row r="66" spans="2:13" x14ac:dyDescent="0.3">
      <c r="B66" s="24" t="str">
        <f>IFERROR(IF(Program=Spec[[#This Row],[PROGRAM]],Spec[[#This Row],[INRIKTNING]],""),"")</f>
        <v/>
      </c>
      <c r="C66" s="24">
        <f>ROWS('Program och examenskrav'!F80:Spec[[#Headers],[INRIKTNING]])</f>
        <v>55</v>
      </c>
      <c r="D66" s="24" t="str">
        <f t="array" ref="D66">IF(ROWS($D$16:D66)&gt;$B$11,"",INDEX($B$16:$B$149,SMALL(IF($B$16:$B$149&lt;&gt;"",ROW($B$16:$B$149)-ROW($D$16)+1),ROWS(D$16:D66))))</f>
        <v/>
      </c>
      <c r="J66" s="24">
        <v>4</v>
      </c>
      <c r="K66" s="130">
        <v>1</v>
      </c>
      <c r="L66" s="130">
        <v>6</v>
      </c>
      <c r="M66" s="130"/>
    </row>
    <row r="67" spans="2:13" x14ac:dyDescent="0.3">
      <c r="B67" s="24" t="str">
        <f>IFERROR(IF(Program=Spec[[#This Row],[PROGRAM]],Spec[[#This Row],[INRIKTNING]],""),"")</f>
        <v/>
      </c>
      <c r="C67" s="24">
        <f>ROWS('Program och examenskrav'!F81:Spec[[#Headers],[INRIKTNING]])</f>
        <v>56</v>
      </c>
      <c r="D67" s="24" t="str">
        <f t="array" ref="D67">IF(ROWS($D$16:D67)&gt;$B$11,"",INDEX($B$16:$B$149,SMALL(IF($B$16:$B$149&lt;&gt;"",ROW($B$16:$B$149)-ROW($D$16)+1),ROWS(D$16:D67))))</f>
        <v/>
      </c>
      <c r="K67" s="130"/>
      <c r="L67" s="130"/>
      <c r="M67" s="130"/>
    </row>
    <row r="68" spans="2:13" x14ac:dyDescent="0.3">
      <c r="B68" s="24" t="str">
        <f>IFERROR(IF(Program=Spec[[#This Row],[PROGRAM]],Spec[[#This Row],[INRIKTNING]],""),"")</f>
        <v/>
      </c>
      <c r="C68" s="24">
        <f>ROWS('Program och examenskrav'!F82:Spec[[#Headers],[INRIKTNING]])</f>
        <v>57</v>
      </c>
      <c r="D68" s="24" t="str">
        <f t="array" ref="D68">IF(ROWS($D$16:D68)&gt;$B$11,"",INDEX($B$16:$B$149,SMALL(IF($B$16:$B$149&lt;&gt;"",ROW($B$16:$B$149)-ROW($D$16)+1),ROWS(D$16:D68))))</f>
        <v/>
      </c>
      <c r="H68" s="24">
        <v>3</v>
      </c>
      <c r="K68" s="130">
        <v>5</v>
      </c>
      <c r="L68" s="130">
        <v>30</v>
      </c>
      <c r="M68" s="130"/>
    </row>
    <row r="69" spans="2:13" x14ac:dyDescent="0.3">
      <c r="B69" s="24" t="str">
        <f>IFERROR(IF(Program=Spec[[#This Row],[PROGRAM]],Spec[[#This Row],[INRIKTNING]],""),"")</f>
        <v/>
      </c>
      <c r="C69" s="24">
        <f>ROWS('Program och examenskrav'!F83:Spec[[#Headers],[INRIKTNING]])</f>
        <v>58</v>
      </c>
      <c r="D69" s="24" t="str">
        <f t="array" ref="D69">IF(ROWS($D$16:D69)&gt;$B$11,"",INDEX($B$16:$B$149,SMALL(IF($B$16:$B$149&lt;&gt;"",ROW($B$16:$B$149)-ROW($D$16)+1),ROWS(D$16:D69))))</f>
        <v/>
      </c>
      <c r="I69" s="24">
        <v>1</v>
      </c>
      <c r="K69" s="130">
        <v>2</v>
      </c>
      <c r="L69" s="130">
        <v>10</v>
      </c>
      <c r="M69" s="130"/>
    </row>
    <row r="70" spans="2:13" x14ac:dyDescent="0.3">
      <c r="B70" s="24" t="str">
        <f>IFERROR(IF(Program=Spec[[#This Row],[PROGRAM]],Spec[[#This Row],[INRIKTNING]],""),"")</f>
        <v/>
      </c>
      <c r="C70" s="24">
        <f>ROWS('Program och examenskrav'!F84:Spec[[#Headers],[INRIKTNING]])</f>
        <v>59</v>
      </c>
      <c r="D70" s="24" t="str">
        <f t="array" ref="D70">IF(ROWS($D$16:D70)&gt;$B$11,"",INDEX($B$16:$B$149,SMALL(IF($B$16:$B$149&lt;&gt;"",ROW($B$16:$B$149)-ROW($D$16)+1),ROWS(D$16:D70))))</f>
        <v/>
      </c>
      <c r="J70" s="24">
        <v>1</v>
      </c>
      <c r="K70" s="130">
        <v>1</v>
      </c>
      <c r="L70" s="130">
        <v>6</v>
      </c>
      <c r="M70" s="130"/>
    </row>
    <row r="71" spans="2:13" x14ac:dyDescent="0.3">
      <c r="B71" s="24" t="str">
        <f>IFERROR(IF(Program=Spec[[#This Row],[PROGRAM]],Spec[[#This Row],[INRIKTNING]],""),"")</f>
        <v/>
      </c>
      <c r="C71" s="24">
        <f>ROWS('Program och examenskrav'!F85:Spec[[#Headers],[INRIKTNING]])</f>
        <v>60</v>
      </c>
      <c r="D71" s="24" t="str">
        <f t="array" ref="D71">IF(ROWS($D$16:D71)&gt;$B$11,"",INDEX($B$16:$B$149,SMALL(IF($B$16:$B$149&lt;&gt;"",ROW($B$16:$B$149)-ROW($D$16)+1),ROWS(D$16:D71))))</f>
        <v/>
      </c>
      <c r="J71" s="24">
        <v>2</v>
      </c>
      <c r="K71" s="130">
        <v>1</v>
      </c>
      <c r="L71" s="130">
        <v>4</v>
      </c>
      <c r="M71" s="130"/>
    </row>
    <row r="72" spans="2:13" x14ac:dyDescent="0.3">
      <c r="B72" s="24" t="str">
        <f>IFERROR(IF(Program=Spec[[#This Row],[PROGRAM]],Spec[[#This Row],[INRIKTNING]],""),"")</f>
        <v/>
      </c>
      <c r="C72" s="24">
        <f>ROWS('Program och examenskrav'!F86:Spec[[#Headers],[INRIKTNING]])</f>
        <v>61</v>
      </c>
      <c r="D72" s="24" t="str">
        <f t="array" ref="D72">IF(ROWS($D$16:D72)&gt;$B$11,"",INDEX($B$16:$B$149,SMALL(IF($B$16:$B$149&lt;&gt;"",ROW($B$16:$B$149)-ROW($D$16)+1),ROWS(D$16:D72))))</f>
        <v/>
      </c>
      <c r="K72" s="130"/>
      <c r="L72" s="130"/>
      <c r="M72" s="130"/>
    </row>
    <row r="73" spans="2:13" x14ac:dyDescent="0.3">
      <c r="B73" s="24" t="str">
        <f>IFERROR(IF(Program=Spec[[#This Row],[PROGRAM]],Spec[[#This Row],[INRIKTNING]],""),"")</f>
        <v/>
      </c>
      <c r="C73" s="24">
        <f>ROWS('Program och examenskrav'!F87:Spec[[#Headers],[INRIKTNING]])</f>
        <v>62</v>
      </c>
      <c r="D73" s="24" t="str">
        <f t="array" ref="D73">IF(ROWS($D$16:D73)&gt;$B$11,"",INDEX($B$16:$B$149,SMALL(IF($B$16:$B$149&lt;&gt;"",ROW($B$16:$B$149)-ROW($D$16)+1),ROWS(D$16:D73))))</f>
        <v/>
      </c>
      <c r="I73" s="24">
        <v>2</v>
      </c>
      <c r="K73" s="130">
        <v>2</v>
      </c>
      <c r="L73" s="130">
        <v>10</v>
      </c>
      <c r="M73" s="130"/>
    </row>
    <row r="74" spans="2:13" x14ac:dyDescent="0.3">
      <c r="B74" s="24" t="str">
        <f>IFERROR(IF(Program=Spec[[#This Row],[PROGRAM]],Spec[[#This Row],[INRIKTNING]],""),"")</f>
        <v/>
      </c>
      <c r="C74" s="24">
        <f>ROWS('Program och examenskrav'!F88:Spec[[#Headers],[INRIKTNING]])</f>
        <v>63</v>
      </c>
      <c r="D74" s="24" t="str">
        <f t="array" ref="D74">IF(ROWS($D$16:D74)&gt;$B$11,"",INDEX($B$16:$B$149,SMALL(IF($B$16:$B$149&lt;&gt;"",ROW($B$16:$B$149)-ROW($D$16)+1),ROWS(D$16:D74))))</f>
        <v/>
      </c>
      <c r="J74" s="24">
        <v>2</v>
      </c>
      <c r="K74" s="130">
        <v>1</v>
      </c>
      <c r="L74" s="130">
        <v>6</v>
      </c>
      <c r="M74" s="130"/>
    </row>
    <row r="75" spans="2:13" x14ac:dyDescent="0.3">
      <c r="B75" s="24" t="str">
        <f>IFERROR(IF(Program=Spec[[#This Row],[PROGRAM]],Spec[[#This Row],[INRIKTNING]],""),"")</f>
        <v/>
      </c>
      <c r="C75" s="24">
        <f>ROWS('Program och examenskrav'!F89:Spec[[#Headers],[INRIKTNING]])</f>
        <v>64</v>
      </c>
      <c r="D75" s="24" t="str">
        <f t="array" ref="D75">IF(ROWS($D$16:D75)&gt;$B$11,"",INDEX($B$16:$B$149,SMALL(IF($B$16:$B$149&lt;&gt;"",ROW($B$16:$B$149)-ROW($D$16)+1),ROWS(D$16:D75))))</f>
        <v/>
      </c>
      <c r="J75" s="24">
        <v>3</v>
      </c>
      <c r="K75" s="130">
        <v>1</v>
      </c>
      <c r="L75" s="130">
        <v>4</v>
      </c>
      <c r="M75" s="130"/>
    </row>
    <row r="76" spans="2:13" x14ac:dyDescent="0.3">
      <c r="B76" s="24" t="str">
        <f>IFERROR(IF(Program=Spec[[#This Row],[PROGRAM]],Spec[[#This Row],[INRIKTNING]],""),"")</f>
        <v/>
      </c>
      <c r="C76" s="24">
        <f>ROWS('Program och examenskrav'!F90:Spec[[#Headers],[INRIKTNING]])</f>
        <v>65</v>
      </c>
      <c r="D76" s="24" t="str">
        <f t="array" ref="D76">IF(ROWS($D$16:D76)&gt;$B$11,"",INDEX($B$16:$B$149,SMALL(IF($B$16:$B$149&lt;&gt;"",ROW($B$16:$B$149)-ROW($D$16)+1),ROWS(D$16:D76))))</f>
        <v/>
      </c>
      <c r="K76" s="130"/>
      <c r="L76" s="130"/>
      <c r="M76"/>
    </row>
    <row r="77" spans="2:13" x14ac:dyDescent="0.3">
      <c r="B77" s="24" t="str">
        <f>IFERROR(IF(Program=Spec[[#This Row],[PROGRAM]],Spec[[#This Row],[INRIKTNING]],""),"")</f>
        <v/>
      </c>
      <c r="C77" s="24">
        <f>ROWS('Program och examenskrav'!F91:Spec[[#Headers],[INRIKTNING]])</f>
        <v>66</v>
      </c>
      <c r="D77" s="24" t="str">
        <f t="array" ref="D77">IF(ROWS($D$16:D77)&gt;$B$11,"",INDEX($B$16:$B$149,SMALL(IF($B$16:$B$149&lt;&gt;"",ROW($B$16:$B$149)-ROW($D$16)+1),ROWS(D$16:D77))))</f>
        <v/>
      </c>
      <c r="I77" s="24" t="s">
        <v>132</v>
      </c>
      <c r="K77" s="130">
        <v>1</v>
      </c>
      <c r="L77" s="130">
        <v>10</v>
      </c>
      <c r="M77"/>
    </row>
    <row r="78" spans="2:13" x14ac:dyDescent="0.3">
      <c r="B78" s="24" t="str">
        <f>IFERROR(IF(Program=Spec[[#This Row],[PROGRAM]],Spec[[#This Row],[INRIKTNING]],""),"")</f>
        <v/>
      </c>
      <c r="C78" s="24">
        <f>ROWS('Program och examenskrav'!F92:Spec[[#Headers],[INRIKTNING]])</f>
        <v>67</v>
      </c>
      <c r="D78" s="24" t="str">
        <f t="array" ref="D78">IF(ROWS($D$16:D78)&gt;$B$11,"",INDEX($B$16:$B$149,SMALL(IF($B$16:$B$149&lt;&gt;"",ROW($B$16:$B$149)-ROW($D$16)+1),ROWS(D$16:D78))))</f>
        <v/>
      </c>
      <c r="J78" s="24" t="s">
        <v>133</v>
      </c>
      <c r="K78" s="130">
        <v>1</v>
      </c>
      <c r="L78" s="130">
        <v>10</v>
      </c>
      <c r="M78"/>
    </row>
    <row r="79" spans="2:13" x14ac:dyDescent="0.3">
      <c r="B79" s="24" t="str">
        <f>IFERROR(IF(Program=Spec[[#This Row],[PROGRAM]],Spec[[#This Row],[INRIKTNING]],""),"")</f>
        <v/>
      </c>
      <c r="C79" s="24">
        <f>ROWS('Program och examenskrav'!F93:Spec[[#Headers],[INRIKTNING]])</f>
        <v>68</v>
      </c>
      <c r="D79" s="24" t="str">
        <f t="array" ref="D79">IF(ROWS($D$16:D79)&gt;$B$11,"",INDEX($B$16:$B$149,SMALL(IF($B$16:$B$149&lt;&gt;"",ROW($B$16:$B$149)-ROW($D$16)+1),ROWS(D$16:D79))))</f>
        <v/>
      </c>
      <c r="K79" s="130"/>
      <c r="L79" s="130"/>
      <c r="M79"/>
    </row>
    <row r="80" spans="2:13" x14ac:dyDescent="0.3">
      <c r="B80" s="24" t="str">
        <f>IFERROR(IF(Program=Spec[[#This Row],[PROGRAM]],Spec[[#This Row],[INRIKTNING]],""),"")</f>
        <v/>
      </c>
      <c r="C80" s="24">
        <f>ROWS('Program och examenskrav'!F94:Spec[[#Headers],[INRIKTNING]])</f>
        <v>69</v>
      </c>
      <c r="D80" s="24" t="str">
        <f t="array" ref="D80">IF(ROWS($D$16:D80)&gt;$B$11,"",INDEX($B$16:$B$149,SMALL(IF($B$16:$B$149&lt;&gt;"",ROW($B$16:$B$149)-ROW($D$16)+1),ROWS(D$16:D80))))</f>
        <v/>
      </c>
      <c r="H80" s="24">
        <v>8</v>
      </c>
      <c r="K80" s="130">
        <v>2</v>
      </c>
      <c r="L80" s="130">
        <v>18</v>
      </c>
      <c r="M80"/>
    </row>
    <row r="81" spans="2:13" x14ac:dyDescent="0.3">
      <c r="B81" s="24" t="str">
        <f>IFERROR(IF(Program=Spec[[#This Row],[PROGRAM]],Spec[[#This Row],[INRIKTNING]],""),"")</f>
        <v/>
      </c>
      <c r="C81" s="24">
        <f>ROWS('Program och examenskrav'!F95:Spec[[#Headers],[INRIKTNING]])</f>
        <v>70</v>
      </c>
      <c r="D81" s="24" t="str">
        <f t="array" ref="D81">IF(ROWS($D$16:D81)&gt;$B$11,"",INDEX($B$16:$B$149,SMALL(IF($B$16:$B$149&lt;&gt;"",ROW($B$16:$B$149)-ROW($D$16)+1),ROWS(D$16:D81))))</f>
        <v/>
      </c>
      <c r="I81" s="24" t="s">
        <v>132</v>
      </c>
      <c r="K81" s="130">
        <v>1</v>
      </c>
      <c r="L81" s="130">
        <v>6</v>
      </c>
      <c r="M81"/>
    </row>
    <row r="82" spans="2:13" x14ac:dyDescent="0.3">
      <c r="B82" s="24" t="str">
        <f>IFERROR(IF(Program=Spec[[#This Row],[PROGRAM]],Spec[[#This Row],[INRIKTNING]],""),"")</f>
        <v/>
      </c>
      <c r="C82" s="24">
        <f>ROWS('Program och examenskrav'!F96:Spec[[#Headers],[INRIKTNING]])</f>
        <v>71</v>
      </c>
      <c r="D82" s="24" t="str">
        <f t="array" ref="D82">IF(ROWS($D$16:D82)&gt;$B$11,"",INDEX($B$16:$B$149,SMALL(IF($B$16:$B$149&lt;&gt;"",ROW($B$16:$B$149)-ROW($D$16)+1),ROWS(D$16:D82))))</f>
        <v/>
      </c>
      <c r="J82" s="24" t="s">
        <v>135</v>
      </c>
      <c r="K82" s="130">
        <v>1</v>
      </c>
      <c r="L82" s="130">
        <v>6</v>
      </c>
      <c r="M82"/>
    </row>
    <row r="83" spans="2:13" x14ac:dyDescent="0.3">
      <c r="B83" s="24" t="str">
        <f>IFERROR(IF(Program=Spec[[#This Row],[PROGRAM]],Spec[[#This Row],[INRIKTNING]],""),"")</f>
        <v/>
      </c>
      <c r="C83" s="24">
        <f>ROWS('Program och examenskrav'!F97:Spec[[#Headers],[INRIKTNING]])</f>
        <v>72</v>
      </c>
      <c r="D83" s="24" t="str">
        <f t="array" ref="D83">IF(ROWS($D$16:D83)&gt;$B$11,"",INDEX($B$16:$B$149,SMALL(IF($B$16:$B$149&lt;&gt;"",ROW($B$16:$B$149)-ROW($D$16)+1),ROWS(D$16:D83))))</f>
        <v/>
      </c>
      <c r="K83" s="130"/>
      <c r="L83" s="130"/>
      <c r="M83"/>
    </row>
    <row r="84" spans="2:13" x14ac:dyDescent="0.3">
      <c r="B84" s="24" t="str">
        <f>IFERROR(IF(Program=Spec[[#This Row],[PROGRAM]],Spec[[#This Row],[INRIKTNING]],""),"")</f>
        <v/>
      </c>
      <c r="C84" s="24">
        <f>ROWS('Program och examenskrav'!F98:Spec[[#Headers],[INRIKTNING]])</f>
        <v>73</v>
      </c>
      <c r="D84" s="24" t="str">
        <f t="array" ref="D84">IF(ROWS($D$16:D84)&gt;$B$11,"",INDEX($B$16:$B$149,SMALL(IF($B$16:$B$149&lt;&gt;"",ROW($B$16:$B$149)-ROW($D$16)+1),ROWS(D$16:D84))))</f>
        <v/>
      </c>
      <c r="I84" s="24" t="s">
        <v>327</v>
      </c>
      <c r="K84" s="130">
        <v>1</v>
      </c>
      <c r="L84" s="130">
        <v>12</v>
      </c>
      <c r="M84"/>
    </row>
    <row r="85" spans="2:13" x14ac:dyDescent="0.3">
      <c r="B85" s="24" t="str">
        <f>IFERROR(IF(Program=Spec[[#This Row],[PROGRAM]],Spec[[#This Row],[INRIKTNING]],""),"")</f>
        <v/>
      </c>
      <c r="C85" s="24">
        <f>ROWS('Program och examenskrav'!F99:Spec[[#Headers],[INRIKTNING]])</f>
        <v>74</v>
      </c>
      <c r="D85" s="24" t="str">
        <f t="array" ref="D85">IF(ROWS($D$16:D85)&gt;$B$11,"",INDEX($B$16:$B$149,SMALL(IF($B$16:$B$149&lt;&gt;"",ROW($B$16:$B$149)-ROW($D$16)+1),ROWS(D$16:D85))))</f>
        <v/>
      </c>
      <c r="J85" s="24" t="s">
        <v>328</v>
      </c>
      <c r="K85" s="130">
        <v>1</v>
      </c>
      <c r="L85" s="130">
        <v>12</v>
      </c>
      <c r="M85"/>
    </row>
    <row r="86" spans="2:13" x14ac:dyDescent="0.3">
      <c r="B86" s="24" t="str">
        <f>IFERROR(IF(Program=Spec[[#This Row],[PROGRAM]],Spec[[#This Row],[INRIKTNING]],""),"")</f>
        <v/>
      </c>
      <c r="C86" s="24">
        <f>ROWS('Program och examenskrav'!F100:Spec[[#Headers],[INRIKTNING]])</f>
        <v>75</v>
      </c>
      <c r="D86" s="24" t="str">
        <f t="array" ref="D86">IF(ROWS($D$16:D86)&gt;$B$11,"",INDEX($B$16:$B$149,SMALL(IF($B$16:$B$149&lt;&gt;"",ROW($B$16:$B$149)-ROW($D$16)+1),ROWS(D$16:D86))))</f>
        <v/>
      </c>
      <c r="K86" s="130"/>
      <c r="L86" s="130"/>
      <c r="M86"/>
    </row>
    <row r="87" spans="2:13" x14ac:dyDescent="0.3">
      <c r="B87" s="24" t="str">
        <f>IFERROR(IF(Program=Spec[[#This Row],[PROGRAM]],Spec[[#This Row],[INRIKTNING]],""),"")</f>
        <v/>
      </c>
      <c r="C87" s="24">
        <f>ROWS('Program och examenskrav'!F101:Spec[[#Headers],[INRIKTNING]])</f>
        <v>76</v>
      </c>
      <c r="D87" s="24" t="str">
        <f t="array" ref="D87">IF(ROWS($D$16:D87)&gt;$B$11,"",INDEX($B$16:$B$149,SMALL(IF($B$16:$B$149&lt;&gt;"",ROW($B$16:$B$149)-ROW($D$16)+1),ROWS(D$16:D87))))</f>
        <v/>
      </c>
      <c r="H87" s="24">
        <v>7</v>
      </c>
      <c r="K87" s="130">
        <v>3</v>
      </c>
      <c r="L87" s="130">
        <v>18</v>
      </c>
      <c r="M87"/>
    </row>
    <row r="88" spans="2:13" x14ac:dyDescent="0.3">
      <c r="B88" s="24" t="str">
        <f>IFERROR(IF(Program=Spec[[#This Row],[PROGRAM]],Spec[[#This Row],[INRIKTNING]],""),"")</f>
        <v/>
      </c>
      <c r="C88" s="24">
        <f>ROWS('Program och examenskrav'!F102:Spec[[#Headers],[INRIKTNING]])</f>
        <v>77</v>
      </c>
      <c r="D88" s="24" t="str">
        <f t="array" ref="D88">IF(ROWS($D$16:D88)&gt;$B$11,"",INDEX($B$16:$B$149,SMALL(IF($B$16:$B$149&lt;&gt;"",ROW($B$16:$B$149)-ROW($D$16)+1),ROWS(D$16:D88))))</f>
        <v/>
      </c>
      <c r="I88" s="24">
        <v>1</v>
      </c>
      <c r="K88" s="130">
        <v>2</v>
      </c>
      <c r="L88" s="130">
        <v>12</v>
      </c>
      <c r="M88"/>
    </row>
    <row r="89" spans="2:13" x14ac:dyDescent="0.3">
      <c r="B89" s="24" t="str">
        <f>IFERROR(IF(Program=Spec[[#This Row],[PROGRAM]],Spec[[#This Row],[INRIKTNING]],""),"")</f>
        <v/>
      </c>
      <c r="C89" s="24">
        <f>ROWS('Program och examenskrav'!F103:Spec[[#Headers],[INRIKTNING]])</f>
        <v>78</v>
      </c>
      <c r="D89" s="24" t="str">
        <f t="array" ref="D89">IF(ROWS($D$16:D89)&gt;$B$11,"",INDEX($B$16:$B$149,SMALL(IF($B$16:$B$149&lt;&gt;"",ROW($B$16:$B$149)-ROW($D$16)+1),ROWS(D$16:D89))))</f>
        <v/>
      </c>
      <c r="J89" s="24">
        <v>2</v>
      </c>
      <c r="K89" s="130">
        <v>1</v>
      </c>
      <c r="L89" s="130">
        <v>6</v>
      </c>
    </row>
    <row r="90" spans="2:13" x14ac:dyDescent="0.3">
      <c r="B90" s="24" t="str">
        <f>IFERROR(IF(Program=Spec[[#This Row],[PROGRAM]],Spec[[#This Row],[INRIKTNING]],""),"")</f>
        <v/>
      </c>
      <c r="C90" s="24">
        <f>ROWS('Program och examenskrav'!F104:Spec[[#Headers],[INRIKTNING]])</f>
        <v>79</v>
      </c>
      <c r="D90" s="24" t="str">
        <f t="array" ref="D90">IF(ROWS($D$16:D90)&gt;$B$11,"",INDEX($B$16:$B$149,SMALL(IF($B$16:$B$149&lt;&gt;"",ROW($B$16:$B$149)-ROW($D$16)+1),ROWS(D$16:D90))))</f>
        <v/>
      </c>
      <c r="J90" s="24">
        <v>3</v>
      </c>
      <c r="K90" s="130">
        <v>1</v>
      </c>
      <c r="L90" s="130">
        <v>6</v>
      </c>
    </row>
    <row r="91" spans="2:13" x14ac:dyDescent="0.3">
      <c r="B91" s="24" t="str">
        <f>IFERROR(IF(Program=Spec[[#This Row],[PROGRAM]],Spec[[#This Row],[INRIKTNING]],""),"")</f>
        <v/>
      </c>
      <c r="C91" s="24">
        <f>ROWS('Program och examenskrav'!F105:Spec[[#Headers],[INRIKTNING]])</f>
        <v>80</v>
      </c>
      <c r="D91" s="24" t="str">
        <f t="array" ref="D91">IF(ROWS($D$16:D91)&gt;$B$11,"",INDEX($B$16:$B$149,SMALL(IF($B$16:$B$149&lt;&gt;"",ROW($B$16:$B$149)-ROW($D$16)+1),ROWS(D$16:D91))))</f>
        <v/>
      </c>
      <c r="K91" s="130"/>
      <c r="L91" s="130"/>
    </row>
    <row r="92" spans="2:13" x14ac:dyDescent="0.3">
      <c r="B92" s="24" t="str">
        <f>IFERROR(IF(Program=Spec[[#This Row],[PROGRAM]],Spec[[#This Row],[INRIKTNING]],""),"")</f>
        <v/>
      </c>
      <c r="C92" s="24">
        <f>ROWS('Program och examenskrav'!F106:Spec[[#Headers],[INRIKTNING]])</f>
        <v>81</v>
      </c>
      <c r="D92" s="24" t="str">
        <f t="array" ref="D92">IF(ROWS($D$16:D92)&gt;$B$11,"",INDEX($B$16:$B$149,SMALL(IF($B$16:$B$149&lt;&gt;"",ROW($B$16:$B$149)-ROW($D$16)+1),ROWS(D$16:D92))))</f>
        <v/>
      </c>
      <c r="I92" s="24">
        <v>2</v>
      </c>
      <c r="K92" s="130">
        <v>1</v>
      </c>
      <c r="L92" s="130">
        <v>6</v>
      </c>
    </row>
    <row r="93" spans="2:13" x14ac:dyDescent="0.3">
      <c r="B93" s="24" t="str">
        <f>IFERROR(IF(Program=Spec[[#This Row],[PROGRAM]],Spec[[#This Row],[INRIKTNING]],""),"")</f>
        <v/>
      </c>
      <c r="C93" s="24">
        <f>ROWS('Program och examenskrav'!F107:Spec[[#Headers],[INRIKTNING]])</f>
        <v>82</v>
      </c>
      <c r="D93" s="24" t="str">
        <f t="array" ref="D93">IF(ROWS($D$16:D93)&gt;$B$11,"",INDEX($B$16:$B$149,SMALL(IF($B$16:$B$149&lt;&gt;"",ROW($B$16:$B$149)-ROW($D$16)+1),ROWS(D$16:D93))))</f>
        <v/>
      </c>
      <c r="J93" s="24">
        <v>1</v>
      </c>
      <c r="K93" s="130">
        <v>1</v>
      </c>
      <c r="L93" s="130">
        <v>6</v>
      </c>
    </row>
    <row r="94" spans="2:13" x14ac:dyDescent="0.3">
      <c r="B94" s="24" t="str">
        <f>IFERROR(IF(Program=Spec[[#This Row],[PROGRAM]],Spec[[#This Row],[INRIKTNING]],""),"")</f>
        <v/>
      </c>
      <c r="C94" s="24">
        <f>ROWS('Program och examenskrav'!F108:Spec[[#Headers],[INRIKTNING]])</f>
        <v>83</v>
      </c>
      <c r="D94" s="24" t="str">
        <f t="array" ref="D94">IF(ROWS($D$16:D94)&gt;$B$11,"",INDEX($B$16:$B$149,SMALL(IF($B$16:$B$149&lt;&gt;"",ROW($B$16:$B$149)-ROW($D$16)+1),ROWS(D$16:D94))))</f>
        <v/>
      </c>
      <c r="K94" s="130"/>
      <c r="L94" s="130"/>
    </row>
    <row r="95" spans="2:13" x14ac:dyDescent="0.3">
      <c r="B95" s="24" t="str">
        <f>IFERROR(IF(Program=Spec[[#This Row],[PROGRAM]],Spec[[#This Row],[INRIKTNING]],""),"")</f>
        <v/>
      </c>
      <c r="C95" s="24">
        <f>ROWS('Program och examenskrav'!F109:Spec[[#Headers],[INRIKTNING]])</f>
        <v>84</v>
      </c>
      <c r="D95" s="24" t="str">
        <f t="array" ref="D95">IF(ROWS($D$16:D95)&gt;$B$11,"",INDEX($B$16:$B$149,SMALL(IF($B$16:$B$149&lt;&gt;"",ROW($B$16:$B$149)-ROW($D$16)+1),ROWS(D$16:D95))))</f>
        <v/>
      </c>
    </row>
    <row r="96" spans="2:13" x14ac:dyDescent="0.3">
      <c r="B96" s="24" t="str">
        <f>IFERROR(IF(Program=Spec[[#This Row],[PROGRAM]],Spec[[#This Row],[INRIKTNING]],""),"")</f>
        <v/>
      </c>
      <c r="C96" s="24">
        <f>ROWS('Program och examenskrav'!F110:Spec[[#Headers],[INRIKTNING]])</f>
        <v>85</v>
      </c>
      <c r="D96" s="24" t="str">
        <f t="array" ref="D96">IF(ROWS($D$16:D96)&gt;$B$11,"",INDEX($B$16:$B$149,SMALL(IF($B$16:$B$149&lt;&gt;"",ROW($B$16:$B$149)-ROW($D$16)+1),ROWS(D$16:D96))))</f>
        <v/>
      </c>
    </row>
    <row r="97" spans="2:4" x14ac:dyDescent="0.3">
      <c r="B97" s="24" t="str">
        <f>IFERROR(IF(Program=Spec[[#This Row],[PROGRAM]],Spec[[#This Row],[INRIKTNING]],""),"")</f>
        <v/>
      </c>
      <c r="C97" s="24">
        <f>ROWS('Program och examenskrav'!F111:Spec[[#Headers],[INRIKTNING]])</f>
        <v>86</v>
      </c>
      <c r="D97" s="24" t="str">
        <f t="array" ref="D97">IF(ROWS($D$16:D97)&gt;$B$11,"",INDEX($B$16:$B$149,SMALL(IF($B$16:$B$149&lt;&gt;"",ROW($B$16:$B$149)-ROW($D$16)+1),ROWS(D$16:D97))))</f>
        <v/>
      </c>
    </row>
    <row r="98" spans="2:4" x14ac:dyDescent="0.3">
      <c r="B98" s="24" t="str">
        <f>IFERROR(IF(Program=Spec[[#This Row],[PROGRAM]],Spec[[#This Row],[INRIKTNING]],""),"")</f>
        <v/>
      </c>
      <c r="C98" s="24">
        <f>ROWS('Program och examenskrav'!F112:Spec[[#Headers],[INRIKTNING]])</f>
        <v>87</v>
      </c>
      <c r="D98" s="24" t="str">
        <f t="array" ref="D98">IF(ROWS($D$16:D98)&gt;$B$11,"",INDEX($B$16:$B$149,SMALL(IF($B$16:$B$149&lt;&gt;"",ROW($B$16:$B$149)-ROW($D$16)+1),ROWS(D$16:D98))))</f>
        <v/>
      </c>
    </row>
    <row r="99" spans="2:4" x14ac:dyDescent="0.3">
      <c r="B99" s="24" t="str">
        <f>IFERROR(IF(Program=Spec[[#This Row],[PROGRAM]],Spec[[#This Row],[INRIKTNING]],""),"")</f>
        <v/>
      </c>
      <c r="C99" s="24">
        <f>ROWS('Program och examenskrav'!F113:Spec[[#Headers],[INRIKTNING]])</f>
        <v>88</v>
      </c>
      <c r="D99" s="24" t="str">
        <f t="array" ref="D99">IF(ROWS($D$16:D99)&gt;$B$11,"",INDEX($B$16:$B$149,SMALL(IF($B$16:$B$149&lt;&gt;"",ROW($B$16:$B$149)-ROW($D$16)+1),ROWS(D$16:D99))))</f>
        <v/>
      </c>
    </row>
    <row r="100" spans="2:4" x14ac:dyDescent="0.3">
      <c r="B100" s="24" t="str">
        <f>IFERROR(IF(Program=Spec[[#This Row],[PROGRAM]],Spec[[#This Row],[INRIKTNING]],""),"")</f>
        <v/>
      </c>
      <c r="C100" s="24">
        <f>ROWS('Program och examenskrav'!F114:Spec[[#Headers],[INRIKTNING]])</f>
        <v>89</v>
      </c>
      <c r="D100" s="24" t="str">
        <f t="array" ref="D100">IF(ROWS($D$16:D100)&gt;$B$11,"",INDEX($B$16:$B$149,SMALL(IF($B$16:$B$149&lt;&gt;"",ROW($B$16:$B$149)-ROW($D$16)+1),ROWS(D$16:D100))))</f>
        <v/>
      </c>
    </row>
    <row r="101" spans="2:4" x14ac:dyDescent="0.3">
      <c r="B101" s="24" t="str">
        <f>IFERROR(IF(Program=Spec[[#This Row],[PROGRAM]],Spec[[#This Row],[INRIKTNING]],""),"")</f>
        <v/>
      </c>
      <c r="C101" s="24">
        <f>ROWS('Program och examenskrav'!F115:Spec[[#Headers],[INRIKTNING]])</f>
        <v>90</v>
      </c>
      <c r="D101" s="24" t="str">
        <f t="array" ref="D101">IF(ROWS($D$16:D101)&gt;$B$11,"",INDEX($B$16:$B$149,SMALL(IF($B$16:$B$149&lt;&gt;"",ROW($B$16:$B$149)-ROW($D$16)+1),ROWS(D$16:D101))))</f>
        <v/>
      </c>
    </row>
    <row r="102" spans="2:4" x14ac:dyDescent="0.3">
      <c r="B102" s="24" t="str">
        <f>IFERROR(IF(Program=Spec[[#This Row],[PROGRAM]],Spec[[#This Row],[INRIKTNING]],""),"")</f>
        <v/>
      </c>
      <c r="C102" s="24">
        <f>ROWS('Program och examenskrav'!F116:Spec[[#Headers],[INRIKTNING]])</f>
        <v>91</v>
      </c>
      <c r="D102" s="24" t="str">
        <f t="array" ref="D102">IF(ROWS($D$16:D102)&gt;$B$11,"",INDEX($B$16:$B$149,SMALL(IF($B$16:$B$149&lt;&gt;"",ROW($B$16:$B$149)-ROW($D$16)+1),ROWS(D$16:D102))))</f>
        <v/>
      </c>
    </row>
    <row r="103" spans="2:4" x14ac:dyDescent="0.3">
      <c r="B103" s="24" t="str">
        <f>IFERROR(IF(Program=Spec[[#This Row],[PROGRAM]],Spec[[#This Row],[INRIKTNING]],""),"")</f>
        <v/>
      </c>
      <c r="C103" s="24">
        <f>ROWS('Program och examenskrav'!F117:Spec[[#Headers],[INRIKTNING]])</f>
        <v>92</v>
      </c>
      <c r="D103" s="24" t="str">
        <f t="array" ref="D103">IF(ROWS($D$16:D103)&gt;$B$11,"",INDEX($B$16:$B$149,SMALL(IF($B$16:$B$149&lt;&gt;"",ROW($B$16:$B$149)-ROW($D$16)+1),ROWS(D$16:D103))))</f>
        <v/>
      </c>
    </row>
    <row r="104" spans="2:4" x14ac:dyDescent="0.3">
      <c r="B104" s="24" t="str">
        <f>IFERROR(IF(Program=Spec[[#This Row],[PROGRAM]],Spec[[#This Row],[INRIKTNING]],""),"")</f>
        <v/>
      </c>
      <c r="C104" s="24">
        <f>ROWS('Program och examenskrav'!F118:Spec[[#Headers],[INRIKTNING]])</f>
        <v>93</v>
      </c>
      <c r="D104" s="24" t="str">
        <f t="array" ref="D104">IF(ROWS($D$16:D104)&gt;$B$11,"",INDEX($B$16:$B$149,SMALL(IF($B$16:$B$149&lt;&gt;"",ROW($B$16:$B$149)-ROW($D$16)+1),ROWS(D$16:D104))))</f>
        <v/>
      </c>
    </row>
    <row r="105" spans="2:4" x14ac:dyDescent="0.3">
      <c r="B105" s="24" t="str">
        <f>IFERROR(IF(Program=Spec[[#This Row],[PROGRAM]],Spec[[#This Row],[INRIKTNING]],""),"")</f>
        <v/>
      </c>
      <c r="C105" s="24">
        <f>ROWS('Program och examenskrav'!F119:Spec[[#Headers],[INRIKTNING]])</f>
        <v>94</v>
      </c>
      <c r="D105" s="24" t="str">
        <f t="array" ref="D105">IF(ROWS($D$16:D105)&gt;$B$11,"",INDEX($B$16:$B$149,SMALL(IF($B$16:$B$149&lt;&gt;"",ROW($B$16:$B$149)-ROW($D$16)+1),ROWS(D$16:D105))))</f>
        <v/>
      </c>
    </row>
    <row r="106" spans="2:4" x14ac:dyDescent="0.3">
      <c r="B106" s="24" t="str">
        <f>IFERROR(IF(Program=Spec[[#This Row],[PROGRAM]],Spec[[#This Row],[INRIKTNING]],""),"")</f>
        <v/>
      </c>
      <c r="C106" s="24">
        <f>ROWS('Program och examenskrav'!F120:Spec[[#Headers],[INRIKTNING]])</f>
        <v>95</v>
      </c>
      <c r="D106" s="24" t="str">
        <f t="array" ref="D106">IF(ROWS($D$16:D106)&gt;$B$11,"",INDEX($B$16:$B$149,SMALL(IF($B$16:$B$149&lt;&gt;"",ROW($B$16:$B$149)-ROW($D$16)+1),ROWS(D$16:D106))))</f>
        <v/>
      </c>
    </row>
    <row r="107" spans="2:4" x14ac:dyDescent="0.3">
      <c r="B107" s="24" t="str">
        <f>IFERROR(IF(Program=Spec[[#This Row],[PROGRAM]],Spec[[#This Row],[INRIKTNING]],""),"")</f>
        <v/>
      </c>
      <c r="C107" s="24">
        <f>ROWS('Program och examenskrav'!F121:Spec[[#Headers],[INRIKTNING]])</f>
        <v>96</v>
      </c>
      <c r="D107" s="24" t="str">
        <f t="array" ref="D107">IF(ROWS($D$16:D107)&gt;$B$11,"",INDEX($B$16:$B$149,SMALL(IF($B$16:$B$149&lt;&gt;"",ROW($B$16:$B$149)-ROW($D$16)+1),ROWS(D$16:D107))))</f>
        <v/>
      </c>
    </row>
    <row r="108" spans="2:4" x14ac:dyDescent="0.3">
      <c r="B108" s="24" t="str">
        <f>IFERROR(IF(Program=Spec[[#This Row],[PROGRAM]],Spec[[#This Row],[INRIKTNING]],""),"")</f>
        <v/>
      </c>
      <c r="C108" s="24">
        <f>ROWS('Program och examenskrav'!F122:Spec[[#Headers],[INRIKTNING]])</f>
        <v>97</v>
      </c>
      <c r="D108" s="24" t="str">
        <f t="array" ref="D108">IF(ROWS($D$16:D108)&gt;$B$11,"",INDEX($B$16:$B$149,SMALL(IF($B$16:$B$149&lt;&gt;"",ROW($B$16:$B$149)-ROW($D$16)+1),ROWS(D$16:D108))))</f>
        <v/>
      </c>
    </row>
    <row r="109" spans="2:4" x14ac:dyDescent="0.3">
      <c r="B109" s="24" t="str">
        <f>IFERROR(IF(Program=Spec[[#This Row],[PROGRAM]],Spec[[#This Row],[INRIKTNING]],""),"")</f>
        <v/>
      </c>
      <c r="C109" s="24">
        <f>ROWS('Program och examenskrav'!F123:Spec[[#Headers],[INRIKTNING]])</f>
        <v>98</v>
      </c>
      <c r="D109" s="24" t="str">
        <f t="array" ref="D109">IF(ROWS($D$16:D109)&gt;$B$11,"",INDEX($B$16:$B$149,SMALL(IF($B$16:$B$149&lt;&gt;"",ROW($B$16:$B$149)-ROW($D$16)+1),ROWS(D$16:D109))))</f>
        <v/>
      </c>
    </row>
    <row r="110" spans="2:4" x14ac:dyDescent="0.3">
      <c r="B110" s="24" t="str">
        <f>IFERROR(IF(Program=Spec[[#This Row],[PROGRAM]],Spec[[#This Row],[INRIKTNING]],""),"")</f>
        <v/>
      </c>
      <c r="C110" s="24">
        <f>ROWS('Program och examenskrav'!F124:Spec[[#Headers],[INRIKTNING]])</f>
        <v>99</v>
      </c>
      <c r="D110" s="24" t="str">
        <f t="array" ref="D110">IF(ROWS($D$16:D110)&gt;$B$11,"",INDEX($B$16:$B$149,SMALL(IF($B$16:$B$149&lt;&gt;"",ROW($B$16:$B$149)-ROW($D$16)+1),ROWS(D$16:D110))))</f>
        <v/>
      </c>
    </row>
    <row r="111" spans="2:4" x14ac:dyDescent="0.3">
      <c r="B111" s="24" t="str">
        <f>IFERROR(IF(Program=Spec[[#This Row],[PROGRAM]],Spec[[#This Row],[INRIKTNING]],""),"")</f>
        <v/>
      </c>
      <c r="C111" s="24">
        <f>ROWS('Program och examenskrav'!F125:Spec[[#Headers],[INRIKTNING]])</f>
        <v>100</v>
      </c>
      <c r="D111" s="24" t="str">
        <f t="array" ref="D111">IF(ROWS($D$16:D111)&gt;$B$11,"",INDEX($B$16:$B$149,SMALL(IF($B$16:$B$149&lt;&gt;"",ROW($B$16:$B$149)-ROW($D$16)+1),ROWS(D$16:D111))))</f>
        <v/>
      </c>
    </row>
    <row r="112" spans="2:4" x14ac:dyDescent="0.3">
      <c r="B112" s="24" t="str">
        <f>IFERROR(IF(Program=Spec[[#This Row],[PROGRAM]],Spec[[#This Row],[INRIKTNING]],""),"")</f>
        <v/>
      </c>
      <c r="C112" s="24">
        <f>ROWS('Program och examenskrav'!F126:Spec[[#Headers],[INRIKTNING]])</f>
        <v>101</v>
      </c>
      <c r="D112" s="24" t="str">
        <f t="array" ref="D112">IF(ROWS($D$16:D112)&gt;$B$11,"",INDEX($B$16:$B$149,SMALL(IF($B$16:$B$149&lt;&gt;"",ROW($B$16:$B$149)-ROW($D$16)+1),ROWS(D$16:D112))))</f>
        <v/>
      </c>
    </row>
    <row r="113" spans="2:4" x14ac:dyDescent="0.3">
      <c r="B113" s="24" t="str">
        <f>IFERROR(IF(Program=Spec[[#This Row],[PROGRAM]],Spec[[#This Row],[INRIKTNING]],""),"")</f>
        <v/>
      </c>
      <c r="C113" s="24">
        <f>ROWS('Program och examenskrav'!F127:Spec[[#Headers],[INRIKTNING]])</f>
        <v>102</v>
      </c>
      <c r="D113" s="24" t="str">
        <f t="array" ref="D113">IF(ROWS($D$16:D113)&gt;$B$11,"",INDEX($B$16:$B$149,SMALL(IF($B$16:$B$149&lt;&gt;"",ROW($B$16:$B$149)-ROW($D$16)+1),ROWS(D$16:D113))))</f>
        <v/>
      </c>
    </row>
    <row r="114" spans="2:4" x14ac:dyDescent="0.3">
      <c r="B114" s="24" t="str">
        <f>IFERROR(IF(Program=Spec[[#This Row],[PROGRAM]],Spec[[#This Row],[INRIKTNING]],""),"")</f>
        <v/>
      </c>
      <c r="C114" s="24">
        <f>ROWS('Program och examenskrav'!F128:Spec[[#Headers],[INRIKTNING]])</f>
        <v>103</v>
      </c>
      <c r="D114" s="24" t="str">
        <f t="array" ref="D114">IF(ROWS($D$16:D114)&gt;$B$11,"",INDEX($B$16:$B$149,SMALL(IF($B$16:$B$149&lt;&gt;"",ROW($B$16:$B$149)-ROW($D$16)+1),ROWS(D$16:D114))))</f>
        <v/>
      </c>
    </row>
    <row r="115" spans="2:4" x14ac:dyDescent="0.3">
      <c r="B115" s="24" t="str">
        <f>IFERROR(IF(Program=Spec[[#This Row],[PROGRAM]],Spec[[#This Row],[INRIKTNING]],""),"")</f>
        <v/>
      </c>
      <c r="C115" s="24">
        <f>ROWS('Program och examenskrav'!F129:Spec[[#Headers],[INRIKTNING]])</f>
        <v>104</v>
      </c>
      <c r="D115" s="24" t="str">
        <f t="array" ref="D115">IF(ROWS($D$16:D115)&gt;$B$11,"",INDEX($B$16:$B$149,SMALL(IF($B$16:$B$149&lt;&gt;"",ROW($B$16:$B$149)-ROW($D$16)+1),ROWS(D$16:D115))))</f>
        <v/>
      </c>
    </row>
    <row r="116" spans="2:4" x14ac:dyDescent="0.3">
      <c r="B116" s="24" t="str">
        <f>IFERROR(IF(Program=Spec[[#This Row],[PROGRAM]],Spec[[#This Row],[INRIKTNING]],""),"")</f>
        <v/>
      </c>
      <c r="C116" s="24">
        <f>ROWS('Program och examenskrav'!F130:Spec[[#Headers],[INRIKTNING]])</f>
        <v>105</v>
      </c>
      <c r="D116" s="24" t="str">
        <f t="array" ref="D116">IF(ROWS($D$16:D116)&gt;$B$11,"",INDEX($B$16:$B$149,SMALL(IF($B$16:$B$149&lt;&gt;"",ROW($B$16:$B$149)-ROW($D$16)+1),ROWS(D$16:D116))))</f>
        <v/>
      </c>
    </row>
    <row r="117" spans="2:4" x14ac:dyDescent="0.3">
      <c r="B117" s="24" t="str">
        <f>IFERROR(IF(Program=Spec[[#This Row],[PROGRAM]],Spec[[#This Row],[INRIKTNING]],""),"")</f>
        <v/>
      </c>
      <c r="C117" s="24">
        <f>ROWS('Program och examenskrav'!F131:Spec[[#Headers],[INRIKTNING]])</f>
        <v>106</v>
      </c>
      <c r="D117" s="24" t="str">
        <f t="array" ref="D117">IF(ROWS($D$16:D117)&gt;$B$11,"",INDEX($B$16:$B$149,SMALL(IF($B$16:$B$149&lt;&gt;"",ROW($B$16:$B$149)-ROW($D$16)+1),ROWS(D$16:D117))))</f>
        <v/>
      </c>
    </row>
    <row r="118" spans="2:4" x14ac:dyDescent="0.3">
      <c r="B118" s="24" t="str">
        <f>IFERROR(IF(Program=Spec[[#This Row],[PROGRAM]],Spec[[#This Row],[INRIKTNING]],""),"")</f>
        <v/>
      </c>
      <c r="C118" s="24">
        <f>ROWS('Program och examenskrav'!F132:Spec[[#Headers],[INRIKTNING]])</f>
        <v>107</v>
      </c>
      <c r="D118" s="24" t="str">
        <f t="array" ref="D118">IF(ROWS($D$16:D118)&gt;$B$11,"",INDEX($B$16:$B$149,SMALL(IF($B$16:$B$149&lt;&gt;"",ROW($B$16:$B$149)-ROW($D$16)+1),ROWS(D$16:D118))))</f>
        <v/>
      </c>
    </row>
    <row r="119" spans="2:4" x14ac:dyDescent="0.3">
      <c r="B119" s="24" t="str">
        <f>IFERROR(IF(Program=Spec[[#This Row],[PROGRAM]],Spec[[#This Row],[INRIKTNING]],""),"")</f>
        <v/>
      </c>
      <c r="C119" s="24">
        <f>ROWS('Program och examenskrav'!F133:Spec[[#Headers],[INRIKTNING]])</f>
        <v>108</v>
      </c>
      <c r="D119" s="24" t="str">
        <f t="array" ref="D119">IF(ROWS($D$16:D119)&gt;$B$11,"",INDEX($B$16:$B$149,SMALL(IF($B$16:$B$149&lt;&gt;"",ROW($B$16:$B$149)-ROW($D$16)+1),ROWS(D$16:D119))))</f>
        <v/>
      </c>
    </row>
    <row r="120" spans="2:4" x14ac:dyDescent="0.3">
      <c r="B120" s="24" t="str">
        <f>IFERROR(IF(Program=Spec[[#This Row],[PROGRAM]],Spec[[#This Row],[INRIKTNING]],""),"")</f>
        <v/>
      </c>
      <c r="C120" s="24">
        <f>ROWS('Program och examenskrav'!F134:Spec[[#Headers],[INRIKTNING]])</f>
        <v>109</v>
      </c>
      <c r="D120" s="24" t="str">
        <f t="array" ref="D120">IF(ROWS($D$16:D120)&gt;$B$11,"",INDEX($B$16:$B$149,SMALL(IF($B$16:$B$149&lt;&gt;"",ROW($B$16:$B$149)-ROW($D$16)+1),ROWS(D$16:D120))))</f>
        <v/>
      </c>
    </row>
    <row r="121" spans="2:4" x14ac:dyDescent="0.3">
      <c r="B121" s="24" t="str">
        <f>IFERROR(IF(Program=Spec[[#This Row],[PROGRAM]],Spec[[#This Row],[INRIKTNING]],""),"")</f>
        <v/>
      </c>
      <c r="C121" s="24">
        <f>ROWS('Program och examenskrav'!F135:Spec[[#Headers],[INRIKTNING]])</f>
        <v>110</v>
      </c>
      <c r="D121" s="24" t="str">
        <f t="array" ref="D121">IF(ROWS($D$16:D121)&gt;$B$11,"",INDEX($B$16:$B$149,SMALL(IF($B$16:$B$149&lt;&gt;"",ROW($B$16:$B$149)-ROW($D$16)+1),ROWS(D$16:D121))))</f>
        <v/>
      </c>
    </row>
    <row r="122" spans="2:4" x14ac:dyDescent="0.3">
      <c r="B122" s="24" t="str">
        <f>IFERROR(IF(Program=Spec[[#This Row],[PROGRAM]],Spec[[#This Row],[INRIKTNING]],""),"")</f>
        <v/>
      </c>
      <c r="C122" s="24">
        <f>ROWS('Program och examenskrav'!F136:Spec[[#Headers],[INRIKTNING]])</f>
        <v>111</v>
      </c>
      <c r="D122" s="24" t="str">
        <f t="array" ref="D122">IF(ROWS($D$16:D122)&gt;$B$11,"",INDEX($B$16:$B$149,SMALL(IF($B$16:$B$149&lt;&gt;"",ROW($B$16:$B$149)-ROW($D$16)+1),ROWS(D$16:D122))))</f>
        <v/>
      </c>
    </row>
    <row r="123" spans="2:4" x14ac:dyDescent="0.3">
      <c r="B123" s="24" t="str">
        <f>IFERROR(IF(Program=Spec[[#This Row],[PROGRAM]],Spec[[#This Row],[INRIKTNING]],""),"")</f>
        <v/>
      </c>
      <c r="C123" s="24">
        <f>ROWS('Program och examenskrav'!F137:Spec[[#Headers],[INRIKTNING]])</f>
        <v>112</v>
      </c>
      <c r="D123" s="24" t="str">
        <f t="array" ref="D123">IF(ROWS($D$16:D123)&gt;$B$11,"",INDEX($B$16:$B$149,SMALL(IF($B$16:$B$149&lt;&gt;"",ROW($B$16:$B$149)-ROW($D$16)+1),ROWS(D$16:D123))))</f>
        <v/>
      </c>
    </row>
    <row r="124" spans="2:4" x14ac:dyDescent="0.3">
      <c r="B124" s="24" t="str">
        <f>IFERROR(IF(Program=Spec[[#This Row],[PROGRAM]],Spec[[#This Row],[INRIKTNING]],""),"")</f>
        <v/>
      </c>
      <c r="C124" s="24">
        <f>ROWS('Program och examenskrav'!F138:Spec[[#Headers],[INRIKTNING]])</f>
        <v>113</v>
      </c>
      <c r="D124" s="24" t="str">
        <f t="array" ref="D124">IF(ROWS($D$16:D124)&gt;$B$11,"",INDEX($B$16:$B$149,SMALL(IF($B$16:$B$149&lt;&gt;"",ROW($B$16:$B$149)-ROW($D$16)+1),ROWS(D$16:D124))))</f>
        <v/>
      </c>
    </row>
    <row r="125" spans="2:4" x14ac:dyDescent="0.3">
      <c r="B125" s="24" t="str">
        <f>IFERROR(IF(Program=Spec[[#This Row],[PROGRAM]],Spec[[#This Row],[INRIKTNING]],""),"")</f>
        <v/>
      </c>
      <c r="C125" s="24">
        <f>ROWS('Program och examenskrav'!F139:Spec[[#Headers],[INRIKTNING]])</f>
        <v>114</v>
      </c>
      <c r="D125" s="24" t="str">
        <f t="array" ref="D125">IF(ROWS($D$16:D125)&gt;$B$11,"",INDEX($B$16:$B$149,SMALL(IF($B$16:$B$149&lt;&gt;"",ROW($B$16:$B$149)-ROW($D$16)+1),ROWS(D$16:D125))))</f>
        <v/>
      </c>
    </row>
    <row r="126" spans="2:4" x14ac:dyDescent="0.3">
      <c r="B126" s="24" t="str">
        <f>IFERROR(IF(Program=Spec[[#This Row],[PROGRAM]],Spec[[#This Row],[INRIKTNING]],""),"")</f>
        <v/>
      </c>
      <c r="C126" s="24">
        <f>ROWS('Program och examenskrav'!F140:Spec[[#Headers],[INRIKTNING]])</f>
        <v>115</v>
      </c>
      <c r="D126" s="24" t="str">
        <f t="array" ref="D126">IF(ROWS($D$16:D126)&gt;$B$11,"",INDEX($B$16:$B$149,SMALL(IF($B$16:$B$149&lt;&gt;"",ROW($B$16:$B$149)-ROW($D$16)+1),ROWS(D$16:D126))))</f>
        <v/>
      </c>
    </row>
    <row r="127" spans="2:4" x14ac:dyDescent="0.3">
      <c r="B127" s="24" t="str">
        <f>IFERROR(IF(Program=Spec[[#This Row],[PROGRAM]],Spec[[#This Row],[INRIKTNING]],""),"")</f>
        <v/>
      </c>
      <c r="C127" s="24">
        <f>ROWS('Program och examenskrav'!F141:Spec[[#Headers],[INRIKTNING]])</f>
        <v>116</v>
      </c>
      <c r="D127" s="24" t="str">
        <f t="array" ref="D127">IF(ROWS($D$16:D127)&gt;$B$11,"",INDEX($B$16:$B$149,SMALL(IF($B$16:$B$149&lt;&gt;"",ROW($B$16:$B$149)-ROW($D$16)+1),ROWS(D$16:D127))))</f>
        <v/>
      </c>
    </row>
    <row r="128" spans="2:4" x14ac:dyDescent="0.3">
      <c r="B128" s="24" t="str">
        <f>IFERROR(IF(Program=Spec[[#This Row],[PROGRAM]],Spec[[#This Row],[INRIKTNING]],""),"")</f>
        <v/>
      </c>
      <c r="C128" s="24">
        <f>ROWS('Program och examenskrav'!F142:Spec[[#Headers],[INRIKTNING]])</f>
        <v>117</v>
      </c>
      <c r="D128" s="24" t="str">
        <f t="array" ref="D128">IF(ROWS($D$16:D128)&gt;$B$11,"",INDEX($B$16:$B$149,SMALL(IF($B$16:$B$149&lt;&gt;"",ROW($B$16:$B$149)-ROW($D$16)+1),ROWS(D$16:D128))))</f>
        <v/>
      </c>
    </row>
    <row r="129" spans="2:4" x14ac:dyDescent="0.3">
      <c r="B129" s="24" t="str">
        <f>IFERROR(IF(Program=Spec[[#This Row],[PROGRAM]],Spec[[#This Row],[INRIKTNING]],""),"")</f>
        <v/>
      </c>
      <c r="C129" s="24">
        <f>ROWS('Program och examenskrav'!F143:Spec[[#Headers],[INRIKTNING]])</f>
        <v>118</v>
      </c>
      <c r="D129" s="24" t="str">
        <f t="array" ref="D129">IF(ROWS($D$16:D129)&gt;$B$11,"",INDEX($B$16:$B$149,SMALL(IF($B$16:$B$149&lt;&gt;"",ROW($B$16:$B$149)-ROW($D$16)+1),ROWS(D$16:D129))))</f>
        <v/>
      </c>
    </row>
    <row r="130" spans="2:4" x14ac:dyDescent="0.3">
      <c r="B130" s="24" t="str">
        <f>IFERROR(IF(Program=Spec[[#This Row],[PROGRAM]],Spec[[#This Row],[INRIKTNING]],""),"")</f>
        <v/>
      </c>
      <c r="C130" s="24">
        <f>ROWS('Program och examenskrav'!F144:Spec[[#Headers],[INRIKTNING]])</f>
        <v>119</v>
      </c>
      <c r="D130" s="24" t="str">
        <f t="array" ref="D130">IF(ROWS($D$16:D130)&gt;$B$11,"",INDEX($B$16:$B$149,SMALL(IF($B$16:$B$149&lt;&gt;"",ROW($B$16:$B$149)-ROW($D$16)+1),ROWS(D$16:D130))))</f>
        <v/>
      </c>
    </row>
    <row r="131" spans="2:4" x14ac:dyDescent="0.3">
      <c r="B131" s="24" t="str">
        <f>IFERROR(IF(Program=Spec[[#This Row],[PROGRAM]],Spec[[#This Row],[INRIKTNING]],""),"")</f>
        <v/>
      </c>
      <c r="C131" s="24">
        <f>ROWS('Program och examenskrav'!F145:Spec[[#Headers],[INRIKTNING]])</f>
        <v>120</v>
      </c>
      <c r="D131" s="24" t="str">
        <f t="array" ref="D131">IF(ROWS($D$16:D131)&gt;$B$11,"",INDEX($B$16:$B$149,SMALL(IF($B$16:$B$149&lt;&gt;"",ROW($B$16:$B$149)-ROW($D$16)+1),ROWS(D$16:D131))))</f>
        <v/>
      </c>
    </row>
    <row r="132" spans="2:4" x14ac:dyDescent="0.3">
      <c r="B132" s="24" t="str">
        <f>IFERROR(IF(Program=Spec[[#This Row],[PROGRAM]],Spec[[#This Row],[INRIKTNING]],""),"")</f>
        <v/>
      </c>
      <c r="C132" s="24">
        <f>ROWS('Program och examenskrav'!F146:Spec[[#Headers],[INRIKTNING]])</f>
        <v>121</v>
      </c>
      <c r="D132" s="24" t="str">
        <f t="array" ref="D132">IF(ROWS($D$16:D132)&gt;$B$11,"",INDEX($B$16:$B$149,SMALL(IF($B$16:$B$149&lt;&gt;"",ROW($B$16:$B$149)-ROW($D$16)+1),ROWS(D$16:D132))))</f>
        <v/>
      </c>
    </row>
    <row r="133" spans="2:4" x14ac:dyDescent="0.3">
      <c r="B133" s="24" t="str">
        <f>IFERROR(IF(Program=Spec[[#This Row],[PROGRAM]],Spec[[#This Row],[INRIKTNING]],""),"")</f>
        <v/>
      </c>
      <c r="C133" s="24">
        <f>ROWS('Program och examenskrav'!F147:Spec[[#Headers],[INRIKTNING]])</f>
        <v>122</v>
      </c>
      <c r="D133" s="24" t="str">
        <f t="array" ref="D133">IF(ROWS($D$16:D133)&gt;$B$11,"",INDEX($B$16:$B$149,SMALL(IF($B$16:$B$149&lt;&gt;"",ROW($B$16:$B$149)-ROW($D$16)+1),ROWS(D$16:D133))))</f>
        <v/>
      </c>
    </row>
    <row r="134" spans="2:4" x14ac:dyDescent="0.3">
      <c r="B134" s="24" t="str">
        <f>IFERROR(IF(Program=Spec[[#This Row],[PROGRAM]],Spec[[#This Row],[INRIKTNING]],""),"")</f>
        <v/>
      </c>
      <c r="C134" s="24">
        <f>ROWS('Program och examenskrav'!F148:Spec[[#Headers],[INRIKTNING]])</f>
        <v>123</v>
      </c>
      <c r="D134" s="24" t="str">
        <f t="array" ref="D134">IF(ROWS($D$16:D134)&gt;$B$11,"",INDEX($B$16:$B$149,SMALL(IF($B$16:$B$149&lt;&gt;"",ROW($B$16:$B$149)-ROW($D$16)+1),ROWS(D$16:D134))))</f>
        <v/>
      </c>
    </row>
    <row r="135" spans="2:4" x14ac:dyDescent="0.3">
      <c r="B135" s="24" t="str">
        <f>IFERROR(IF(Program=Spec[[#This Row],[PROGRAM]],Spec[[#This Row],[INRIKTNING]],""),"")</f>
        <v/>
      </c>
      <c r="C135" s="24">
        <f>ROWS('Program och examenskrav'!F149:Spec[[#Headers],[INRIKTNING]])</f>
        <v>124</v>
      </c>
      <c r="D135" s="24" t="str">
        <f t="array" ref="D135">IF(ROWS($D$16:D135)&gt;$B$11,"",INDEX($B$16:$B$149,SMALL(IF($B$16:$B$149&lt;&gt;"",ROW($B$16:$B$149)-ROW($D$16)+1),ROWS(D$16:D135))))</f>
        <v/>
      </c>
    </row>
    <row r="136" spans="2:4" x14ac:dyDescent="0.3">
      <c r="B136" s="24" t="str">
        <f>IFERROR(IF(Program=Spec[[#This Row],[PROGRAM]],Spec[[#This Row],[INRIKTNING]],""),"")</f>
        <v/>
      </c>
      <c r="C136" s="24">
        <f>ROWS('Program och examenskrav'!F150:Spec[[#Headers],[INRIKTNING]])</f>
        <v>125</v>
      </c>
      <c r="D136" s="24" t="str">
        <f t="array" ref="D136">IF(ROWS($D$16:D136)&gt;$B$11,"",INDEX($B$16:$B$149,SMALL(IF($B$16:$B$149&lt;&gt;"",ROW($B$16:$B$149)-ROW($D$16)+1),ROWS(D$16:D136))))</f>
        <v/>
      </c>
    </row>
    <row r="137" spans="2:4" x14ac:dyDescent="0.3">
      <c r="B137" s="24" t="str">
        <f>IFERROR(IF(Program=Spec[[#This Row],[PROGRAM]],Spec[[#This Row],[INRIKTNING]],""),"")</f>
        <v/>
      </c>
      <c r="C137" s="24">
        <f>ROWS('Program och examenskrav'!F151:Spec[[#Headers],[INRIKTNING]])</f>
        <v>126</v>
      </c>
      <c r="D137" s="24" t="str">
        <f t="array" ref="D137">IF(ROWS($D$16:D137)&gt;$B$11,"",INDEX($B$16:$B$149,SMALL(IF($B$16:$B$149&lt;&gt;"",ROW($B$16:$B$149)-ROW($D$16)+1),ROWS(D$16:D137))))</f>
        <v/>
      </c>
    </row>
    <row r="138" spans="2:4" x14ac:dyDescent="0.3">
      <c r="B138" s="24" t="str">
        <f>IFERROR(IF(Program=Spec[[#This Row],[PROGRAM]],Spec[[#This Row],[INRIKTNING]],""),"")</f>
        <v/>
      </c>
      <c r="C138" s="24">
        <f>ROWS('Program och examenskrav'!F152:Spec[[#Headers],[INRIKTNING]])</f>
        <v>127</v>
      </c>
      <c r="D138" s="24" t="str">
        <f t="array" ref="D138">IF(ROWS($D$16:D138)&gt;$B$11,"",INDEX($B$16:$B$149,SMALL(IF($B$16:$B$149&lt;&gt;"",ROW($B$16:$B$149)-ROW($D$16)+1),ROWS(D$16:D138))))</f>
        <v/>
      </c>
    </row>
    <row r="139" spans="2:4" x14ac:dyDescent="0.3">
      <c r="B139" s="24" t="str">
        <f>IFERROR(IF(Program=Spec[[#This Row],[PROGRAM]],Spec[[#This Row],[INRIKTNING]],""),"")</f>
        <v/>
      </c>
      <c r="C139" s="24">
        <f>ROWS('Program och examenskrav'!F153:Spec[[#Headers],[INRIKTNING]])</f>
        <v>128</v>
      </c>
      <c r="D139" s="24" t="str">
        <f t="array" ref="D139">IF(ROWS($D$16:D139)&gt;$B$11,"",INDEX($B$16:$B$149,SMALL(IF($B$16:$B$149&lt;&gt;"",ROW($B$16:$B$149)-ROW($D$16)+1),ROWS(D$16:D139))))</f>
        <v/>
      </c>
    </row>
    <row r="140" spans="2:4" x14ac:dyDescent="0.3">
      <c r="B140" s="24" t="str">
        <f>IFERROR(IF(Program=Spec[[#This Row],[PROGRAM]],Spec[[#This Row],[INRIKTNING]],""),"")</f>
        <v/>
      </c>
      <c r="C140" s="24">
        <f>ROWS('Program och examenskrav'!F154:Spec[[#Headers],[INRIKTNING]])</f>
        <v>129</v>
      </c>
      <c r="D140" s="24" t="str">
        <f t="array" ref="D140">IF(ROWS($D$16:D140)&gt;$B$11,"",INDEX($B$16:$B$149,SMALL(IF($B$16:$B$149&lt;&gt;"",ROW($B$16:$B$149)-ROW($D$16)+1),ROWS(D$16:D140))))</f>
        <v/>
      </c>
    </row>
    <row r="141" spans="2:4" x14ac:dyDescent="0.3">
      <c r="B141" s="24" t="str">
        <f>IFERROR(IF(Program=Spec[[#This Row],[PROGRAM]],Spec[[#This Row],[INRIKTNING]],""),"")</f>
        <v/>
      </c>
      <c r="C141" s="24">
        <f>ROWS('Program och examenskrav'!F155:Spec[[#Headers],[INRIKTNING]])</f>
        <v>130</v>
      </c>
      <c r="D141" s="24" t="str">
        <f t="array" ref="D141">IF(ROWS($D$16:D141)&gt;$B$11,"",INDEX($B$16:$B$149,SMALL(IF($B$16:$B$149&lt;&gt;"",ROW($B$16:$B$149)-ROW($D$16)+1),ROWS(D$16:D141))))</f>
        <v/>
      </c>
    </row>
    <row r="142" spans="2:4" x14ac:dyDescent="0.3">
      <c r="B142" s="24" t="str">
        <f>IFERROR(IF(Program=Spec[[#This Row],[PROGRAM]],Spec[[#This Row],[INRIKTNING]],""),"")</f>
        <v/>
      </c>
      <c r="C142" s="24">
        <f>ROWS('Program och examenskrav'!F156:Spec[[#Headers],[INRIKTNING]])</f>
        <v>131</v>
      </c>
      <c r="D142" s="24" t="str">
        <f t="array" ref="D142">IF(ROWS($D$16:D142)&gt;$B$11,"",INDEX($B$16:$B$149,SMALL(IF($B$16:$B$149&lt;&gt;"",ROW($B$16:$B$149)-ROW($D$16)+1),ROWS(D$16:D142))))</f>
        <v/>
      </c>
    </row>
    <row r="143" spans="2:4" x14ac:dyDescent="0.3">
      <c r="B143" s="24" t="str">
        <f>IFERROR(IF(Program=Spec[[#This Row],[PROGRAM]],Spec[[#This Row],[INRIKTNING]],""),"")</f>
        <v/>
      </c>
      <c r="C143" s="24">
        <f>ROWS('Program och examenskrav'!F157:Spec[[#Headers],[INRIKTNING]])</f>
        <v>132</v>
      </c>
      <c r="D143" s="24" t="str">
        <f t="array" ref="D143">IF(ROWS($D$16:D143)&gt;$B$11,"",INDEX($B$16:$B$149,SMALL(IF($B$16:$B$149&lt;&gt;"",ROW($B$16:$B$149)-ROW($D$16)+1),ROWS(D$16:D143))))</f>
        <v/>
      </c>
    </row>
    <row r="144" spans="2:4" x14ac:dyDescent="0.3">
      <c r="B144" s="24" t="str">
        <f>IFERROR(IF(Program=Spec[[#This Row],[PROGRAM]],Spec[[#This Row],[INRIKTNING]],""),"")</f>
        <v/>
      </c>
      <c r="C144" s="24">
        <f>ROWS('Program och examenskrav'!F158:Spec[[#Headers],[INRIKTNING]])</f>
        <v>133</v>
      </c>
      <c r="D144" s="24" t="str">
        <f t="array" ref="D144">IF(ROWS($D$16:D144)&gt;$B$11,"",INDEX($B$16:$B$149,SMALL(IF($B$16:$B$149&lt;&gt;"",ROW($B$16:$B$149)-ROW($D$16)+1),ROWS(D$16:D144))))</f>
        <v/>
      </c>
    </row>
    <row r="145" spans="2:4" x14ac:dyDescent="0.3">
      <c r="B145" s="24" t="str">
        <f>IFERROR(IF(Program=Spec[[#This Row],[PROGRAM]],Spec[[#This Row],[INRIKTNING]],""),"")</f>
        <v/>
      </c>
      <c r="C145" s="24">
        <f>ROWS('Program och examenskrav'!F159:Spec[[#Headers],[INRIKTNING]])</f>
        <v>134</v>
      </c>
      <c r="D145" s="24" t="str">
        <f t="array" ref="D145">IF(ROWS($D$16:D145)&gt;$B$11,"",INDEX($B$16:$B$149,SMALL(IF($B$16:$B$149&lt;&gt;"",ROW($B$16:$B$149)-ROW($D$16)+1),ROWS(D$16:D145))))</f>
        <v/>
      </c>
    </row>
    <row r="146" spans="2:4" x14ac:dyDescent="0.3">
      <c r="B146" s="24" t="str">
        <f>IFERROR(IF(Program=Spec[[#This Row],[PROGRAM]],Spec[[#This Row],[INRIKTNING]],""),"")</f>
        <v/>
      </c>
      <c r="C146" s="24">
        <f>ROWS('Program och examenskrav'!F160:Spec[[#Headers],[INRIKTNING]])</f>
        <v>135</v>
      </c>
      <c r="D146" s="24" t="str">
        <f t="array" ref="D146">IF(ROWS($D$16:D146)&gt;$B$11,"",INDEX($B$16:$B$149,SMALL(IF($B$16:$B$149&lt;&gt;"",ROW($B$16:$B$149)-ROW($D$16)+1),ROWS(D$16:D146))))</f>
        <v/>
      </c>
    </row>
    <row r="147" spans="2:4" x14ac:dyDescent="0.3">
      <c r="B147" s="24" t="str">
        <f>IFERROR(IF(Program=Spec[[#This Row],[PROGRAM]],Spec[[#This Row],[INRIKTNING]],""),"")</f>
        <v/>
      </c>
      <c r="C147" s="24">
        <f>ROWS('Program och examenskrav'!F161:Spec[[#Headers],[INRIKTNING]])</f>
        <v>136</v>
      </c>
      <c r="D147" s="24" t="str">
        <f t="array" ref="D147">IF(ROWS($D$16:D147)&gt;$B$11,"",INDEX($B$16:$B$149,SMALL(IF($B$16:$B$149&lt;&gt;"",ROW($B$16:$B$149)-ROW($D$16)+1),ROWS(D$16:D147))))</f>
        <v/>
      </c>
    </row>
    <row r="148" spans="2:4" x14ac:dyDescent="0.3">
      <c r="B148" s="24" t="str">
        <f>IFERROR(IF(Program=Spec[[#This Row],[PROGRAM]],Spec[[#This Row],[INRIKTNING]],""),"")</f>
        <v/>
      </c>
      <c r="C148" s="24">
        <f>ROWS('Program och examenskrav'!F162:Spec[[#Headers],[INRIKTNING]])</f>
        <v>137</v>
      </c>
      <c r="D148" s="24" t="str">
        <f t="array" ref="D148">IF(ROWS($D$16:D148)&gt;$B$11,"",INDEX($B$16:$B$149,SMALL(IF($B$16:$B$149&lt;&gt;"",ROW($B$16:$B$149)-ROW($D$16)+1),ROWS(D$16:D148))))</f>
        <v/>
      </c>
    </row>
    <row r="149" spans="2:4" x14ac:dyDescent="0.3">
      <c r="B149" s="24" t="str">
        <f>IFERROR(IF(Program=Spec[[#This Row],[PROGRAM]],Spec[[#This Row],[INRIKTNING]],""),"")</f>
        <v/>
      </c>
      <c r="C149" s="24">
        <f>ROWS('Program och examenskrav'!F163:Spec[[#Headers],[INRIKTNING]])</f>
        <v>138</v>
      </c>
      <c r="D149" s="24" t="str">
        <f t="array" ref="D149">IF(ROWS($D$16:D149)&gt;$B$11,"",INDEX($B$16:$B$149,SMALL(IF($B$16:$B$149&lt;&gt;"",ROW($B$16:$B$149)-ROW($D$16)+1),ROWS(D$16:D149))))</f>
        <v/>
      </c>
    </row>
    <row r="150" spans="2:4" x14ac:dyDescent="0.3">
      <c r="B150" s="24" t="str">
        <f>IFERROR(IF(Program=Spec[[#This Row],[PROGRAM]],Spec[[#This Row],[INRIKTNING]],""),"")</f>
        <v/>
      </c>
      <c r="C150" s="24">
        <f>ROWS('Program och examenskrav'!F164:Spec[[#Headers],[INRIKTNING]])</f>
        <v>139</v>
      </c>
      <c r="D150" s="24" t="str">
        <f t="array" ref="D150">IF(ROWS($D$16:D150)&gt;$B$11,"",INDEX($B$16:$B$149,SMALL(IF($B$16:$B$149&lt;&gt;"",ROW($B$16:$B$149)-ROW($D$16)+1),ROWS(D$16:D150))))</f>
        <v/>
      </c>
    </row>
    <row r="151" spans="2:4" x14ac:dyDescent="0.3">
      <c r="B151" s="24" t="str">
        <f>IFERROR(IF(Program=Spec[[#This Row],[PROGRAM]],Spec[[#This Row],[INRIKTNING]],""),"")</f>
        <v/>
      </c>
      <c r="C151" s="24">
        <f>ROWS('Program och examenskrav'!F165:Spec[[#Headers],[INRIKTNING]])</f>
        <v>140</v>
      </c>
      <c r="D151" s="24" t="str">
        <f t="array" ref="D151">IF(ROWS($D$16:D151)&gt;$B$11,"",INDEX($B$16:$B$149,SMALL(IF($B$16:$B$149&lt;&gt;"",ROW($B$16:$B$149)-ROW($D$16)+1),ROWS(D$16:D151))))</f>
        <v/>
      </c>
    </row>
    <row r="152" spans="2:4" x14ac:dyDescent="0.3">
      <c r="B152" s="24" t="str">
        <f>IFERROR(IF(Program=Spec[[#This Row],[PROGRAM]],Spec[[#This Row],[INRIKTNING]],""),"")</f>
        <v/>
      </c>
      <c r="C152" s="24">
        <f>ROWS('Program och examenskrav'!F166:Spec[[#Headers],[INRIKTNING]])</f>
        <v>141</v>
      </c>
      <c r="D152" s="24" t="str">
        <f t="array" ref="D152">IF(ROWS($D$16:D152)&gt;$B$11,"",INDEX($B$16:$B$149,SMALL(IF($B$16:$B$149&lt;&gt;"",ROW($B$16:$B$149)-ROW($D$16)+1),ROWS(D$16:D152))))</f>
        <v/>
      </c>
    </row>
    <row r="153" spans="2:4" x14ac:dyDescent="0.3">
      <c r="B153" s="24" t="str">
        <f>IFERROR(IF(Program=Spec[[#This Row],[PROGRAM]],Spec[[#This Row],[INRIKTNING]],""),"")</f>
        <v/>
      </c>
      <c r="C153" s="24">
        <f>ROWS('Program och examenskrav'!F167:Spec[[#Headers],[INRIKTNING]])</f>
        <v>142</v>
      </c>
      <c r="D153" s="24" t="str">
        <f t="array" ref="D153">IF(ROWS($D$16:D153)&gt;$B$11,"",INDEX($B$16:$B$149,SMALL(IF($B$16:$B$149&lt;&gt;"",ROW($B$16:$B$149)-ROW($D$16)+1),ROWS(D$16:D153))))</f>
        <v/>
      </c>
    </row>
    <row r="154" spans="2:4" x14ac:dyDescent="0.3">
      <c r="B154" s="24" t="str">
        <f>IFERROR(IF(Program=Spec[[#This Row],[PROGRAM]],Spec[[#This Row],[INRIKTNING]],""),"")</f>
        <v/>
      </c>
      <c r="C154" s="24">
        <f>ROWS('Program och examenskrav'!F168:Spec[[#Headers],[INRIKTNING]])</f>
        <v>143</v>
      </c>
      <c r="D154" s="24" t="str">
        <f t="array" ref="D154">IF(ROWS($D$16:D154)&gt;$B$11,"",INDEX($B$16:$B$149,SMALL(IF($B$16:$B$149&lt;&gt;"",ROW($B$16:$B$149)-ROW($D$16)+1),ROWS(D$16:D154))))</f>
        <v/>
      </c>
    </row>
    <row r="155" spans="2:4" x14ac:dyDescent="0.3">
      <c r="B155" s="24" t="str">
        <f>IFERROR(IF(Program=Spec[[#This Row],[PROGRAM]],Spec[[#This Row],[INRIKTNING]],""),"")</f>
        <v/>
      </c>
      <c r="C155" s="24">
        <f>ROWS('Program och examenskrav'!F169:Spec[[#Headers],[INRIKTNING]])</f>
        <v>144</v>
      </c>
      <c r="D155" s="24" t="str">
        <f t="array" ref="D155">IF(ROWS($D$16:D155)&gt;$B$11,"",INDEX($B$16:$B$149,SMALL(IF($B$16:$B$149&lt;&gt;"",ROW($B$16:$B$149)-ROW($D$16)+1),ROWS(D$16:D155))))</f>
        <v/>
      </c>
    </row>
    <row r="156" spans="2:4" x14ac:dyDescent="0.3">
      <c r="B156" s="24" t="str">
        <f>IFERROR(IF(Program=Spec[[#This Row],[PROGRAM]],Spec[[#This Row],[INRIKTNING]],""),"")</f>
        <v/>
      </c>
      <c r="C156" s="24">
        <f>ROWS('Program och examenskrav'!F170:Spec[[#Headers],[INRIKTNING]])</f>
        <v>145</v>
      </c>
      <c r="D156" s="24" t="str">
        <f t="array" ref="D156">IF(ROWS($D$16:D156)&gt;$B$11,"",INDEX($B$16:$B$149,SMALL(IF($B$16:$B$149&lt;&gt;"",ROW($B$16:$B$149)-ROW($D$16)+1),ROWS(D$16:D156))))</f>
        <v/>
      </c>
    </row>
    <row r="157" spans="2:4" x14ac:dyDescent="0.3">
      <c r="B157" s="24" t="str">
        <f>IFERROR(IF(Program=Spec[[#This Row],[PROGRAM]],Spec[[#This Row],[INRIKTNING]],""),"")</f>
        <v/>
      </c>
      <c r="C157" s="24">
        <f>ROWS('Program och examenskrav'!F171:Spec[[#Headers],[INRIKTNING]])</f>
        <v>146</v>
      </c>
      <c r="D157" s="24" t="str">
        <f t="array" ref="D157">IF(ROWS($D$16:D157)&gt;$B$11,"",INDEX($B$16:$B$149,SMALL(IF($B$16:$B$149&lt;&gt;"",ROW($B$16:$B$149)-ROW($D$16)+1),ROWS(D$16:D157))))</f>
        <v/>
      </c>
    </row>
    <row r="158" spans="2:4" x14ac:dyDescent="0.3">
      <c r="B158" s="24" t="str">
        <f>IFERROR(IF(Program=Spec[[#This Row],[PROGRAM]],Spec[[#This Row],[INRIKTNING]],""),"")</f>
        <v/>
      </c>
      <c r="C158" s="24">
        <f>ROWS('Program och examenskrav'!F172:Spec[[#Headers],[INRIKTNING]])</f>
        <v>147</v>
      </c>
      <c r="D158" s="24" t="str">
        <f t="array" ref="D158">IF(ROWS($D$16:D158)&gt;$B$11,"",INDEX($B$16:$B$149,SMALL(IF($B$16:$B$149&lt;&gt;"",ROW($B$16:$B$149)-ROW($D$16)+1),ROWS(D$16:D158))))</f>
        <v/>
      </c>
    </row>
    <row r="159" spans="2:4" x14ac:dyDescent="0.3">
      <c r="B159" s="24" t="str">
        <f>IFERROR(IF(Program=Spec[[#This Row],[PROGRAM]],Spec[[#This Row],[INRIKTNING]],""),"")</f>
        <v/>
      </c>
      <c r="C159" s="24">
        <f>ROWS('Program och examenskrav'!F173:Spec[[#Headers],[INRIKTNING]])</f>
        <v>148</v>
      </c>
      <c r="D159" s="24" t="str">
        <f t="array" ref="D159">IF(ROWS($D$16:D159)&gt;$B$11,"",INDEX($B$16:$B$149,SMALL(IF($B$16:$B$149&lt;&gt;"",ROW($B$16:$B$149)-ROW($D$16)+1),ROWS(D$16:D159))))</f>
        <v/>
      </c>
    </row>
    <row r="160" spans="2:4" x14ac:dyDescent="0.3">
      <c r="B160" s="24" t="str">
        <f>IFERROR(IF(Program=Spec[[#This Row],[PROGRAM]],Spec[[#This Row],[INRIKTNING]],""),"")</f>
        <v/>
      </c>
      <c r="C160" s="24">
        <f>ROWS('Program och examenskrav'!F174:Spec[[#Headers],[INRIKTNING]])</f>
        <v>149</v>
      </c>
      <c r="D160" s="24" t="str">
        <f t="array" ref="D160">IF(ROWS($D$16:D160)&gt;$B$11,"",INDEX($B$16:$B$149,SMALL(IF($B$16:$B$149&lt;&gt;"",ROW($B$16:$B$149)-ROW($D$16)+1),ROWS(D$16:D160))))</f>
        <v/>
      </c>
    </row>
    <row r="161" spans="2:4" x14ac:dyDescent="0.3">
      <c r="B161" s="24" t="str">
        <f>IFERROR(IF(Program=Spec[[#This Row],[PROGRAM]],Spec[[#This Row],[INRIKTNING]],""),"")</f>
        <v/>
      </c>
      <c r="C161" s="24">
        <f>ROWS('Program och examenskrav'!F175:Spec[[#Headers],[INRIKTNING]])</f>
        <v>150</v>
      </c>
      <c r="D161" s="24" t="str">
        <f t="array" ref="D161">IF(ROWS($D$16:D161)&gt;$B$11,"",INDEX($B$16:$B$149,SMALL(IF($B$16:$B$149&lt;&gt;"",ROW($B$16:$B$149)-ROW($D$16)+1),ROWS(D$16:D161))))</f>
        <v/>
      </c>
    </row>
    <row r="162" spans="2:4" x14ac:dyDescent="0.3">
      <c r="B162" s="24" t="str">
        <f>IFERROR(IF(Program=Spec[[#This Row],[PROGRAM]],Spec[[#This Row],[INRIKTNING]],""),"")</f>
        <v/>
      </c>
      <c r="C162" s="24">
        <f>ROWS('Program och examenskrav'!F176:Spec[[#Headers],[INRIKTNING]])</f>
        <v>151</v>
      </c>
      <c r="D162" s="24" t="str">
        <f t="array" ref="D162">IF(ROWS($D$16:D162)&gt;$B$11,"",INDEX($B$16:$B$149,SMALL(IF($B$16:$B$149&lt;&gt;"",ROW($B$16:$B$149)-ROW($D$16)+1),ROWS(D$16:D162))))</f>
        <v/>
      </c>
    </row>
    <row r="163" spans="2:4" x14ac:dyDescent="0.3">
      <c r="B163" s="24" t="str">
        <f>IFERROR(IF(Program=Spec[[#This Row],[PROGRAM]],Spec[[#This Row],[INRIKTNING]],""),"")</f>
        <v/>
      </c>
      <c r="C163" s="24">
        <f>ROWS('Program och examenskrav'!F177:Spec[[#Headers],[INRIKTNING]])</f>
        <v>152</v>
      </c>
      <c r="D163" s="24" t="str">
        <f t="array" ref="D163">IF(ROWS($D$16:D163)&gt;$B$11,"",INDEX($B$16:$B$149,SMALL(IF($B$16:$B$149&lt;&gt;"",ROW($B$16:$B$149)-ROW($D$16)+1),ROWS(D$16:D163))))</f>
        <v/>
      </c>
    </row>
    <row r="164" spans="2:4" x14ac:dyDescent="0.3">
      <c r="B164" s="24" t="str">
        <f>IFERROR(IF(Program=Spec[[#This Row],[PROGRAM]],Spec[[#This Row],[INRIKTNING]],""),"")</f>
        <v/>
      </c>
      <c r="C164" s="24">
        <f>ROWS('Program och examenskrav'!F178:Spec[[#Headers],[INRIKTNING]])</f>
        <v>153</v>
      </c>
      <c r="D164" s="24" t="str">
        <f t="array" ref="D164">IF(ROWS($D$16:D164)&gt;$B$11,"",INDEX($B$16:$B$149,SMALL(IF($B$16:$B$149&lt;&gt;"",ROW($B$16:$B$149)-ROW($D$16)+1),ROWS(D$16:D164))))</f>
        <v/>
      </c>
    </row>
    <row r="165" spans="2:4" x14ac:dyDescent="0.3">
      <c r="B165" s="24" t="str">
        <f>IFERROR(IF(Program=Spec[[#This Row],[PROGRAM]],Spec[[#This Row],[INRIKTNING]],""),"")</f>
        <v/>
      </c>
      <c r="C165" s="24">
        <f>ROWS('Program och examenskrav'!F179:Spec[[#Headers],[INRIKTNING]])</f>
        <v>154</v>
      </c>
      <c r="D165" s="24" t="str">
        <f t="array" ref="D165">IF(ROWS($D$16:D165)&gt;$B$11,"",INDEX($B$16:$B$149,SMALL(IF($B$16:$B$149&lt;&gt;"",ROW($B$16:$B$149)-ROW($D$16)+1),ROWS(D$16:D165))))</f>
        <v/>
      </c>
    </row>
    <row r="166" spans="2:4" x14ac:dyDescent="0.3">
      <c r="B166" s="24" t="str">
        <f>IFERROR(IF(Program=Spec[[#This Row],[PROGRAM]],Spec[[#This Row],[INRIKTNING]],""),"")</f>
        <v/>
      </c>
      <c r="C166" s="24">
        <f>ROWS('Program och examenskrav'!F180:Spec[[#Headers],[INRIKTNING]])</f>
        <v>155</v>
      </c>
      <c r="D166" s="24" t="str">
        <f t="array" ref="D166">IF(ROWS($D$16:D166)&gt;$B$11,"",INDEX($B$16:$B$149,SMALL(IF($B$16:$B$149&lt;&gt;"",ROW($B$16:$B$149)-ROW($D$16)+1),ROWS(D$16:D166))))</f>
        <v/>
      </c>
    </row>
    <row r="167" spans="2:4" x14ac:dyDescent="0.3">
      <c r="B167" s="24" t="str">
        <f>IFERROR(IF(Program=Spec[[#This Row],[PROGRAM]],Spec[[#This Row],[INRIKTNING]],""),"")</f>
        <v/>
      </c>
      <c r="C167" s="24">
        <f>ROWS('Program och examenskrav'!F181:Spec[[#Headers],[INRIKTNING]])</f>
        <v>156</v>
      </c>
      <c r="D167" s="24" t="str">
        <f t="array" ref="D167">IF(ROWS($D$16:D167)&gt;$B$11,"",INDEX($B$16:$B$149,SMALL(IF($B$16:$B$149&lt;&gt;"",ROW($B$16:$B$149)-ROW($D$16)+1),ROWS(D$16:D167))))</f>
        <v/>
      </c>
    </row>
    <row r="168" spans="2:4" x14ac:dyDescent="0.3">
      <c r="B168" s="24" t="str">
        <f>IFERROR(IF(Program=Spec[[#This Row],[PROGRAM]],Spec[[#This Row],[INRIKTNING]],""),"")</f>
        <v/>
      </c>
      <c r="C168" s="24">
        <f>ROWS('Program och examenskrav'!F182:Spec[[#Headers],[INRIKTNING]])</f>
        <v>157</v>
      </c>
      <c r="D168" s="24" t="str">
        <f t="array" ref="D168">IF(ROWS($D$16:D168)&gt;$B$11,"",INDEX($B$16:$B$149,SMALL(IF($B$16:$B$149&lt;&gt;"",ROW($B$16:$B$149)-ROW($D$16)+1),ROWS(D$16:D168))))</f>
        <v/>
      </c>
    </row>
    <row r="169" spans="2:4" x14ac:dyDescent="0.3">
      <c r="B169" s="24" t="str">
        <f>IFERROR(IF(Program=Spec[[#This Row],[PROGRAM]],Spec[[#This Row],[INRIKTNING]],""),"")</f>
        <v/>
      </c>
      <c r="C169" s="24">
        <f>ROWS('Program och examenskrav'!F183:Spec[[#Headers],[INRIKTNING]])</f>
        <v>158</v>
      </c>
      <c r="D169" s="24" t="str">
        <f t="array" ref="D169">IF(ROWS($D$16:D169)&gt;$B$11,"",INDEX($B$16:$B$149,SMALL(IF($B$16:$B$149&lt;&gt;"",ROW($B$16:$B$149)-ROW($D$16)+1),ROWS(D$16:D169))))</f>
        <v/>
      </c>
    </row>
    <row r="170" spans="2:4" x14ac:dyDescent="0.3">
      <c r="B170" s="24" t="str">
        <f>IFERROR(IF(Program=Spec[[#This Row],[PROGRAM]],Spec[[#This Row],[INRIKTNING]],""),"")</f>
        <v/>
      </c>
      <c r="C170" s="24">
        <f>ROWS('Program och examenskrav'!F184:Spec[[#Headers],[INRIKTNING]])</f>
        <v>159</v>
      </c>
      <c r="D170" s="24" t="str">
        <f t="array" ref="D170">IF(ROWS($D$16:D170)&gt;$B$11,"",INDEX($B$16:$B$149,SMALL(IF($B$16:$B$149&lt;&gt;"",ROW($B$16:$B$149)-ROW($D$16)+1),ROWS(D$16:D170))))</f>
        <v/>
      </c>
    </row>
    <row r="171" spans="2:4" x14ac:dyDescent="0.3">
      <c r="B171" s="24" t="str">
        <f>IFERROR(IF(Program=Spec[[#This Row],[PROGRAM]],Spec[[#This Row],[INRIKTNING]],""),"")</f>
        <v/>
      </c>
      <c r="C171" s="24">
        <f>ROWS('Program och examenskrav'!F185:Spec[[#Headers],[INRIKTNING]])</f>
        <v>160</v>
      </c>
      <c r="D171" s="24" t="str">
        <f t="array" ref="D171">IF(ROWS($D$16:D171)&gt;$B$11,"",INDEX($B$16:$B$149,SMALL(IF($B$16:$B$149&lt;&gt;"",ROW($B$16:$B$149)-ROW($D$16)+1),ROWS(D$16:D171))))</f>
        <v/>
      </c>
    </row>
    <row r="172" spans="2:4" x14ac:dyDescent="0.3">
      <c r="B172" s="24" t="s">
        <v>51</v>
      </c>
      <c r="C172" s="24">
        <f>ROWS('Program och examenskrav'!F186:Spec[[#Headers],[INRIKTNING]])</f>
        <v>161</v>
      </c>
      <c r="D172" s="24" t="str">
        <f t="array" ref="D172">IF(ROWS($D$16:D172)&gt;$B$11,"",INDEX($B$16:$B$149,SMALL(IF($B$16:$B$149&lt;&gt;"",ROW($B$16:$B$149)-ROW($D$16)+1),ROWS(D$16:D172))))</f>
        <v/>
      </c>
    </row>
    <row r="173" spans="2:4" x14ac:dyDescent="0.3">
      <c r="B173" s="24" t="s">
        <v>52</v>
      </c>
      <c r="C173" s="24">
        <f>ROWS('Program och examenskrav'!F187:Spec[[#Headers],[INRIKTNING]])</f>
        <v>162</v>
      </c>
      <c r="D173" s="24" t="str">
        <f t="array" ref="D173">IF(ROWS($D$16:D173)&gt;$B$11,"",INDEX($B$16:$B$149,SMALL(IF($B$16:$B$149&lt;&gt;"",ROW($B$16:$B$149)-ROW($D$16)+1),ROWS(D$16:D173))))</f>
        <v/>
      </c>
    </row>
    <row r="174" spans="2:4" x14ac:dyDescent="0.3">
      <c r="B174" s="24" t="s">
        <v>250</v>
      </c>
      <c r="C174" s="24">
        <f>ROWS('Program och examenskrav'!F188:Spec[[#Headers],[INRIKTNING]])</f>
        <v>163</v>
      </c>
      <c r="D174" s="24" t="str">
        <f t="array" ref="D174">IF(ROWS($D$16:D174)&gt;$B$11,"",INDEX($B$16:$B$149,SMALL(IF($B$16:$B$149&lt;&gt;"",ROW($B$16:$B$149)-ROW($D$16)+1),ROWS(D$16:D174))))</f>
        <v/>
      </c>
    </row>
  </sheetData>
  <mergeCells count="3">
    <mergeCell ref="B5:E5"/>
    <mergeCell ref="G8:L8"/>
    <mergeCell ref="N8:T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tabColor theme="6"/>
  </sheetPr>
  <dimension ref="A1:R154"/>
  <sheetViews>
    <sheetView workbookViewId="0">
      <selection activeCell="O5" sqref="O5"/>
    </sheetView>
  </sheetViews>
  <sheetFormatPr defaultRowHeight="15" x14ac:dyDescent="0.3"/>
  <cols>
    <col min="1" max="1" width="4.25" style="24" customWidth="1"/>
    <col min="2" max="2" width="14.375" style="24" customWidth="1"/>
    <col min="3" max="3" width="4.25" style="24" customWidth="1"/>
    <col min="4" max="4" width="14.625" style="24" customWidth="1"/>
    <col min="5" max="5" width="4.375" style="24" customWidth="1"/>
    <col min="6" max="6" width="11.875" style="24" customWidth="1"/>
    <col min="7" max="7" width="3.25" style="24" customWidth="1"/>
    <col min="8" max="8" width="11.375" style="24" customWidth="1"/>
    <col min="9" max="9" width="4" style="24" customWidth="1"/>
    <col min="10" max="10" width="9.625" style="24" customWidth="1"/>
    <col min="11" max="11" width="3.875" style="24" customWidth="1"/>
    <col min="12" max="13" width="10" style="24" customWidth="1"/>
    <col min="14" max="14" width="17" style="24" customWidth="1"/>
    <col min="15" max="15" width="14.875" style="24" customWidth="1"/>
    <col min="16" max="16" width="36.375" style="24" customWidth="1"/>
    <col min="17" max="17" width="9" style="24"/>
    <col min="18" max="18" width="14.625" style="24" customWidth="1"/>
    <col min="19" max="19" width="9" style="24"/>
    <col min="20" max="20" width="15.875" style="24" customWidth="1"/>
    <col min="21" max="16384" width="9" style="24"/>
  </cols>
  <sheetData>
    <row r="1" spans="1:18" ht="9" customHeight="1" x14ac:dyDescent="0.3">
      <c r="A1" s="1"/>
      <c r="B1" s="1"/>
      <c r="C1" s="1"/>
      <c r="D1" s="1"/>
      <c r="E1" s="1"/>
      <c r="F1" s="1"/>
      <c r="G1" s="1"/>
      <c r="H1" s="1"/>
      <c r="I1" s="1"/>
      <c r="J1" s="1"/>
      <c r="K1" s="1"/>
      <c r="L1" s="1"/>
      <c r="M1" s="1"/>
      <c r="N1" s="1"/>
      <c r="O1" s="1"/>
      <c r="P1" s="1"/>
      <c r="Q1" s="1"/>
      <c r="R1" s="1"/>
    </row>
    <row r="2" spans="1:18" ht="51" customHeight="1" x14ac:dyDescent="0.3">
      <c r="A2" s="10" t="s">
        <v>248</v>
      </c>
      <c r="B2" s="144"/>
      <c r="C2" s="144"/>
      <c r="D2" s="1"/>
      <c r="E2" s="1"/>
      <c r="F2" s="145"/>
      <c r="G2" s="140"/>
      <c r="H2" s="140"/>
      <c r="I2" s="140"/>
      <c r="J2" s="140"/>
      <c r="K2" s="140"/>
      <c r="L2" s="140"/>
      <c r="M2" s="140"/>
      <c r="N2" s="140"/>
      <c r="O2" s="1"/>
      <c r="P2" s="1"/>
      <c r="Q2" s="1"/>
      <c r="R2" s="1"/>
    </row>
    <row r="3" spans="1:18" ht="9" customHeight="1" x14ac:dyDescent="0.3">
      <c r="A3" s="1"/>
      <c r="B3" s="1"/>
      <c r="C3" s="1"/>
      <c r="D3" s="1"/>
      <c r="E3" s="1"/>
      <c r="F3" s="1"/>
      <c r="G3" s="1"/>
      <c r="H3" s="5"/>
      <c r="I3" s="5"/>
      <c r="J3" s="1"/>
      <c r="K3" s="1"/>
      <c r="L3" s="1"/>
      <c r="M3" s="1"/>
      <c r="N3" s="1"/>
      <c r="O3" s="1"/>
      <c r="P3" s="1"/>
      <c r="Q3" s="1"/>
      <c r="R3" s="1"/>
    </row>
    <row r="5" spans="1:18" ht="15.75" x14ac:dyDescent="0.3">
      <c r="B5" s="149" t="s">
        <v>249</v>
      </c>
      <c r="D5" s="24" t="s">
        <v>14</v>
      </c>
      <c r="F5" s="24" t="s">
        <v>43</v>
      </c>
      <c r="H5" s="24" t="s">
        <v>44</v>
      </c>
      <c r="J5" s="24" t="s">
        <v>45</v>
      </c>
      <c r="L5" s="24" t="s">
        <v>47</v>
      </c>
      <c r="N5" s="141" t="s">
        <v>37</v>
      </c>
      <c r="O5" s="141" t="s">
        <v>38</v>
      </c>
      <c r="P5" s="141" t="s">
        <v>39</v>
      </c>
    </row>
    <row r="6" spans="1:18" x14ac:dyDescent="0.3">
      <c r="B6" s="24" t="s">
        <v>56</v>
      </c>
      <c r="D6" s="24">
        <f ca="1">YEAR(NOW())-7</f>
        <v>2007</v>
      </c>
      <c r="F6" s="24" t="s">
        <v>122</v>
      </c>
      <c r="H6" s="24">
        <v>1</v>
      </c>
      <c r="J6" s="24">
        <v>1</v>
      </c>
      <c r="L6" s="24">
        <v>1</v>
      </c>
      <c r="N6" s="142" t="str">
        <f>IFERROR(_xlfn.RANK.EQ(O7,SearchTable[Search],1),"FEL")</f>
        <v>FEL</v>
      </c>
      <c r="O6" s="142"/>
      <c r="P6" s="142"/>
    </row>
    <row r="7" spans="1:18" x14ac:dyDescent="0.3">
      <c r="B7" s="24" t="s">
        <v>57</v>
      </c>
      <c r="D7" s="24">
        <f ca="1">YEAR(NOW())-6</f>
        <v>2008</v>
      </c>
      <c r="F7" s="24" t="s">
        <v>123</v>
      </c>
      <c r="H7" s="24">
        <v>2</v>
      </c>
      <c r="J7" s="24">
        <v>2</v>
      </c>
      <c r="L7" s="24">
        <v>2</v>
      </c>
      <c r="N7" s="142" t="str">
        <f>IFERROR(_xlfn.RANK.EQ(O7,SearchTable[Search],1),"FEL")</f>
        <v>FEL</v>
      </c>
      <c r="O7" s="142" t="str">
        <f>IFERROR(SEARCH(SearchField,ProgramKurser[KURSNAMN])+ROW()/100000,"")</f>
        <v/>
      </c>
      <c r="P7" s="142" t="e">
        <f>ProgramKurser[KURSNAMN]</f>
        <v>#VALUE!</v>
      </c>
    </row>
    <row r="8" spans="1:18" x14ac:dyDescent="0.3">
      <c r="B8" s="24">
        <v>3</v>
      </c>
      <c r="D8" s="24">
        <f ca="1">YEAR(NOW())-5</f>
        <v>2009</v>
      </c>
      <c r="F8" s="24" t="s">
        <v>130</v>
      </c>
      <c r="H8" s="24">
        <v>3</v>
      </c>
      <c r="J8" s="24" t="s">
        <v>46</v>
      </c>
      <c r="L8" s="24">
        <v>3</v>
      </c>
      <c r="N8" s="142" t="str">
        <f>IFERROR(_xlfn.RANK.EQ(O8,SearchTable[Search],1),"FEL")</f>
        <v>FEL</v>
      </c>
      <c r="O8" s="142" t="str">
        <f>IFERROR(SEARCH(SearchField,ProgramKurser[KURSNAMN])+ROW()/100000,"")</f>
        <v/>
      </c>
      <c r="P8" s="142" t="e">
        <f>ProgramKurser[KURSNAMN]</f>
        <v>#VALUE!</v>
      </c>
    </row>
    <row r="9" spans="1:18" x14ac:dyDescent="0.3">
      <c r="B9" s="24">
        <v>4</v>
      </c>
      <c r="D9" s="24">
        <f ca="1">YEAR(NOW())-4</f>
        <v>2010</v>
      </c>
      <c r="H9" s="24">
        <v>4</v>
      </c>
      <c r="L9" s="24">
        <v>4</v>
      </c>
      <c r="N9" s="142" t="str">
        <f>IFERROR(_xlfn.RANK.EQ(O9,SearchTable[Search],1),"FEL")</f>
        <v>FEL</v>
      </c>
      <c r="O9" s="142" t="str">
        <f>IFERROR(SEARCH(SearchField,ProgramKurser[KURSNAMN])+ROW()/100000,"")</f>
        <v/>
      </c>
      <c r="P9" s="142" t="e">
        <f>ProgramKurser[KURSNAMN]</f>
        <v>#VALUE!</v>
      </c>
    </row>
    <row r="10" spans="1:18" x14ac:dyDescent="0.3">
      <c r="B10" s="24">
        <v>5</v>
      </c>
      <c r="D10" s="24">
        <f ca="1">YEAR(NOW())-3</f>
        <v>2011</v>
      </c>
      <c r="H10" s="24">
        <v>5</v>
      </c>
      <c r="L10" s="24">
        <v>5</v>
      </c>
      <c r="N10" s="142" t="str">
        <f>IFERROR(_xlfn.RANK.EQ(O10,SearchTable[Search],1),"FEL")</f>
        <v>FEL</v>
      </c>
      <c r="O10" s="142" t="str">
        <f>IFERROR(SEARCH(SearchField,ProgramKurser[KURSNAMN])+ROW()/100000,"")</f>
        <v/>
      </c>
      <c r="P10" s="143" t="e">
        <f>ProgramKurser[KURSNAMN]</f>
        <v>#VALUE!</v>
      </c>
    </row>
    <row r="11" spans="1:18" x14ac:dyDescent="0.3">
      <c r="D11" s="24">
        <f ca="1">YEAR(NOW())-2</f>
        <v>2012</v>
      </c>
      <c r="H11" s="24">
        <v>6</v>
      </c>
      <c r="N11" s="142" t="str">
        <f>IFERROR(_xlfn.RANK.EQ(O11,SearchTable[Search],1),"FEL")</f>
        <v>FEL</v>
      </c>
      <c r="O11" s="142" t="str">
        <f>IFERROR(SEARCH(SearchField,ProgramKurser[KURSNAMN])+ROW()/100000,"")</f>
        <v/>
      </c>
      <c r="P11" s="143" t="e">
        <f>ProgramKurser[KURSNAMN]</f>
        <v>#VALUE!</v>
      </c>
    </row>
    <row r="12" spans="1:18" x14ac:dyDescent="0.3">
      <c r="D12" s="24">
        <f ca="1">YEAR(NOW())-1</f>
        <v>2013</v>
      </c>
      <c r="H12" s="24">
        <v>7</v>
      </c>
      <c r="N12" s="142" t="str">
        <f>IFERROR(_xlfn.RANK.EQ(O12,SearchTable[Search],1),"FEL")</f>
        <v>FEL</v>
      </c>
      <c r="O12" s="142" t="str">
        <f>IFERROR(SEARCH(SearchField,ProgramKurser[KURSNAMN])+ROW()/100000,"")</f>
        <v/>
      </c>
      <c r="P12" s="143" t="e">
        <f>ProgramKurser[KURSNAMN]</f>
        <v>#VALUE!</v>
      </c>
    </row>
    <row r="13" spans="1:18" x14ac:dyDescent="0.3">
      <c r="D13" s="24">
        <f ca="1">YEAR(NOW())-0</f>
        <v>2014</v>
      </c>
      <c r="H13" s="24">
        <v>8</v>
      </c>
      <c r="N13" s="142" t="str">
        <f>IFERROR(_xlfn.RANK.EQ(O13,SearchTable[Search],1),"FEL")</f>
        <v>FEL</v>
      </c>
      <c r="O13" s="142" t="str">
        <f>IFERROR(SEARCH(SearchField,ProgramKurser[KURSNAMN])+ROW()/100000,"")</f>
        <v/>
      </c>
      <c r="P13" s="143" t="e">
        <f>ProgramKurser[KURSNAMN]</f>
        <v>#VALUE!</v>
      </c>
    </row>
    <row r="14" spans="1:18" x14ac:dyDescent="0.3">
      <c r="H14" s="24">
        <v>9</v>
      </c>
      <c r="N14" s="142" t="str">
        <f>IFERROR(_xlfn.RANK.EQ(O14,SearchTable[Search],1),"FEL")</f>
        <v>FEL</v>
      </c>
      <c r="O14" s="142" t="str">
        <f>IFERROR(SEARCH(SearchField,ProgramKurser[KURSNAMN])+ROW()/100000,"")</f>
        <v/>
      </c>
      <c r="P14" s="143" t="e">
        <f>ProgramKurser[KURSNAMN]</f>
        <v>#VALUE!</v>
      </c>
    </row>
    <row r="15" spans="1:18" x14ac:dyDescent="0.3">
      <c r="H15" s="24">
        <v>10</v>
      </c>
      <c r="N15" s="142" t="str">
        <f>IFERROR(_xlfn.RANK.EQ(O15,SearchTable[Search],1),"FEL")</f>
        <v>FEL</v>
      </c>
      <c r="O15" s="142" t="str">
        <f>IFERROR(SEARCH(SearchField,ProgramKurser[KURSNAMN])+ROW()/100000,"")</f>
        <v/>
      </c>
      <c r="P15" s="143" t="e">
        <f>ProgramKurser[KURSNAMN]</f>
        <v>#VALUE!</v>
      </c>
    </row>
    <row r="16" spans="1:18" x14ac:dyDescent="0.3">
      <c r="N16" s="142" t="str">
        <f>IFERROR(_xlfn.RANK.EQ(O16,SearchTable[Search],1),"FEL")</f>
        <v>FEL</v>
      </c>
      <c r="O16" s="142" t="str">
        <f>IFERROR(SEARCH(SearchField,ProgramKurser[KURSNAMN])+ROW()/100000,"")</f>
        <v/>
      </c>
      <c r="P16" s="143" t="str">
        <f>ProgramKurser[KURSNAMN]</f>
        <v>Digital kommunikation</v>
      </c>
    </row>
    <row r="17" spans="14:16" x14ac:dyDescent="0.3">
      <c r="N17" s="142" t="str">
        <f>IFERROR(_xlfn.RANK.EQ(O17,SearchTable[Search],1),"FEL")</f>
        <v>FEL</v>
      </c>
      <c r="O17" s="142" t="str">
        <f>IFERROR(SEARCH(SearchField,ProgramKurser[KURSNAMN])+ROW()/100000,"")</f>
        <v/>
      </c>
      <c r="P17" s="143" t="str">
        <f>ProgramKurser[KURSNAMN]</f>
        <v>Digitala integrerade kretsar</v>
      </c>
    </row>
    <row r="18" spans="14:16" x14ac:dyDescent="0.3">
      <c r="N18" s="142" t="str">
        <f>IFERROR(_xlfn.RANK.EQ(O18,SearchTable[Search],1),"FEL")</f>
        <v>FEL</v>
      </c>
      <c r="O18" s="142" t="str">
        <f>IFERROR(SEARCH(SearchField,ProgramKurser[KURSNAMN])+ROW()/100000,"")</f>
        <v/>
      </c>
      <c r="P18" s="143" t="str">
        <f>ProgramKurser[KURSNAMN]</f>
        <v>Konstruktion av digitala system</v>
      </c>
    </row>
    <row r="19" spans="14:16" x14ac:dyDescent="0.3">
      <c r="N19" s="142" t="str">
        <f>IFERROR(_xlfn.RANK.EQ(O19,SearchTable[Search],1),"FEL")</f>
        <v>FEL</v>
      </c>
      <c r="O19" s="142" t="str">
        <f>IFERROR(SEARCH(SearchField,ProgramKurser[KURSNAMN])+ROW()/100000,"")</f>
        <v/>
      </c>
      <c r="P19" s="143" t="str">
        <f>ProgramKurser[KURSNAMN]</f>
        <v>Analoga CMOS integrerade kretsar</v>
      </c>
    </row>
    <row r="20" spans="14:16" x14ac:dyDescent="0.3">
      <c r="N20" s="142" t="str">
        <f>IFERROR(_xlfn.RANK.EQ(O20,SearchTable[Search],1),"FEL")</f>
        <v>FEL</v>
      </c>
      <c r="O20" s="142" t="str">
        <f>IFERROR(SEARCH(SearchField,ProgramKurser[KURSNAMN])+ROW()/100000,"")</f>
        <v/>
      </c>
      <c r="P20" s="143" t="str">
        <f>ProgramKurser[KURSNAMN]</f>
        <v>Radioelektronik</v>
      </c>
    </row>
    <row r="21" spans="14:16" x14ac:dyDescent="0.3">
      <c r="N21" s="142" t="str">
        <f>IFERROR(_xlfn.RANK.EQ(O21,SearchTable[Search],1),"FEL")</f>
        <v>FEL</v>
      </c>
      <c r="O21" s="142" t="str">
        <f>IFERROR(SEARCH(SearchField,ProgramKurser[KURSNAMN])+ROW()/100000,"")</f>
        <v/>
      </c>
      <c r="P21" s="143" t="str">
        <f>ProgramKurser[KURSNAMN]</f>
        <v>Analoga och tidsdiskreta integrerade kretsar</v>
      </c>
    </row>
    <row r="22" spans="14:16" x14ac:dyDescent="0.3">
      <c r="N22" s="142" t="str">
        <f>IFERROR(_xlfn.RANK.EQ(O22,SearchTable[Search],1),"FEL")</f>
        <v>FEL</v>
      </c>
      <c r="O22" s="142" t="str">
        <f>IFERROR(SEARCH(SearchField,ProgramKurser[KURSNAMN])+ROW()/100000,"")</f>
        <v/>
      </c>
      <c r="P22" s="143" t="str">
        <f>ProgramKurser[KURSNAMN]</f>
        <v>Datorstödd elektronikkonstruktion</v>
      </c>
    </row>
    <row r="23" spans="14:16" x14ac:dyDescent="0.3">
      <c r="N23" s="142" t="str">
        <f>IFERROR(_xlfn.RANK.EQ(O23,SearchTable[Search],1),"FEL")</f>
        <v>FEL</v>
      </c>
      <c r="O23" s="142" t="str">
        <f>IFERROR(SEARCH(SearchField,ProgramKurser[KURSNAMN])+ROW()/100000,"")</f>
        <v/>
      </c>
      <c r="P23" s="143" t="str">
        <f>ProgramKurser[KURSNAMN]</f>
        <v>Integrerade radiofrekvenskretsar</v>
      </c>
    </row>
    <row r="24" spans="14:16" x14ac:dyDescent="0.3">
      <c r="N24" s="142" t="str">
        <f>IFERROR(_xlfn.RANK.EQ(O24,SearchTable[Search],1),"FEL")</f>
        <v>FEL</v>
      </c>
      <c r="O24" s="142" t="str">
        <f>IFERROR(SEARCH(SearchField,ProgramKurser[KURSNAMN])+ROW()/100000,"")</f>
        <v/>
      </c>
      <c r="P24" s="143" t="str">
        <f>ProgramKurser[KURSNAMN]</f>
        <v>Analoga filter</v>
      </c>
    </row>
    <row r="25" spans="14:16" x14ac:dyDescent="0.3">
      <c r="N25" s="142" t="str">
        <f>IFERROR(_xlfn.RANK.EQ(O25,SearchTable[Search],1),"FEL")</f>
        <v>FEL</v>
      </c>
      <c r="O25" s="142" t="str">
        <f>IFERROR(SEARCH(SearchField,ProgramKurser[KURSNAMN])+ROW()/100000,"")</f>
        <v/>
      </c>
      <c r="P25" s="143" t="str">
        <f>ProgramKurser[KURSNAMN]</f>
        <v>Analog konstruktion</v>
      </c>
    </row>
    <row r="26" spans="14:16" x14ac:dyDescent="0.3">
      <c r="N26" s="142" t="str">
        <f>IFERROR(_xlfn.RANK.EQ(O26,SearchTable[Search],1),"FEL")</f>
        <v>FEL</v>
      </c>
      <c r="O26" s="142" t="str">
        <f>IFERROR(SEARCH(SearchField,ProgramKurser[KURSNAMN])+ROW()/100000,"")</f>
        <v/>
      </c>
      <c r="P26" s="143" t="str">
        <f>ProgramKurser[KURSNAMN]</f>
        <v>VLSI-konstruktion, CDIO</v>
      </c>
    </row>
    <row r="27" spans="14:16" x14ac:dyDescent="0.3">
      <c r="N27" s="142" t="str">
        <f>IFERROR(_xlfn.RANK.EQ(O27,SearchTable[Search],1),"FEL")</f>
        <v>FEL</v>
      </c>
      <c r="O27" s="142" t="str">
        <f>IFERROR(SEARCH(SearchField,ProgramKurser[KURSNAMN])+ROW()/100000,"")</f>
        <v/>
      </c>
      <c r="P27" s="143" t="str">
        <f>ProgramKurser[KURSNAMN]</f>
        <v>Applikationsspecifika integrerade kretsar</v>
      </c>
    </row>
    <row r="28" spans="14:16" x14ac:dyDescent="0.3">
      <c r="N28" s="142" t="str">
        <f>IFERROR(_xlfn.RANK.EQ(O28,SearchTable[Search],1),"FEL")</f>
        <v>FEL</v>
      </c>
      <c r="O28" s="142" t="str">
        <f>IFERROR(SEARCH(SearchField,ProgramKurser[KURSNAMN])+ROW()/100000,"")</f>
        <v/>
      </c>
      <c r="P28" s="143" t="str">
        <f>ProgramKurser[KURSNAMN]</f>
        <v>Digitala filter</v>
      </c>
    </row>
    <row r="29" spans="14:16" x14ac:dyDescent="0.3">
      <c r="N29" s="142" t="str">
        <f>IFERROR(_xlfn.RANK.EQ(O29,SearchTable[Search],1),"FEL")</f>
        <v>FEL</v>
      </c>
      <c r="O29" s="142" t="str">
        <f>IFERROR(SEARCH(SearchField,ProgramKurser[KURSNAMN])+ROW()/100000,"")</f>
        <v/>
      </c>
      <c r="P29" s="143" t="str">
        <f>ProgramKurser[KURSNAMN]</f>
        <v>Konstruktion av inbyggda DSP-processorer</v>
      </c>
    </row>
    <row r="30" spans="14:16" x14ac:dyDescent="0.3">
      <c r="N30" s="142" t="str">
        <f>IFERROR(_xlfn.RANK.EQ(O30,SearchTable[Search],1),"FEL")</f>
        <v>FEL</v>
      </c>
      <c r="O30" s="142" t="str">
        <f>IFERROR(SEARCH(SearchField,ProgramKurser[KURSNAMN])+ROW()/100000,"")</f>
        <v/>
      </c>
      <c r="P30" s="143" t="str">
        <f>ProgramKurser[KURSNAMN]</f>
        <v>Utvärdering av IC-krets</v>
      </c>
    </row>
    <row r="31" spans="14:16" x14ac:dyDescent="0.3">
      <c r="N31" s="142" t="str">
        <f>IFERROR(_xlfn.RANK.EQ(O31,SearchTable[Search],1),"FEL")</f>
        <v>FEL</v>
      </c>
      <c r="O31" s="142" t="str">
        <f>IFERROR(SEARCH(SearchField,ProgramKurser[KURSNAMN])+ROW()/100000,"")</f>
        <v/>
      </c>
      <c r="P31" s="143" t="str">
        <f>ProgramKurser[KURSNAMN]</f>
        <v>Konstruktion av radiotranceivers</v>
      </c>
    </row>
    <row r="32" spans="14:16" x14ac:dyDescent="0.3">
      <c r="N32" s="142" t="str">
        <f>IFERROR(_xlfn.RANK.EQ(O32,SearchTable[Search],1),"FEL")</f>
        <v>FEL</v>
      </c>
      <c r="O32" s="142" t="str">
        <f>IFERROR(SEARCH(SearchField,ProgramKurser[KURSNAMN])+ROW()/100000,"")</f>
        <v/>
      </c>
      <c r="P32" s="143" t="str">
        <f>ProgramKurser[KURSNAMN]</f>
        <v>Konstruktion av digitala system</v>
      </c>
    </row>
    <row r="33" spans="14:16" x14ac:dyDescent="0.3">
      <c r="N33" s="142" t="str">
        <f>IFERROR(_xlfn.RANK.EQ(O33,SearchTable[Search],1),"FEL")</f>
        <v>FEL</v>
      </c>
      <c r="O33" s="142" t="str">
        <f>IFERROR(SEARCH(SearchField,ProgramKurser[KURSNAMN])+ROW()/100000,"")</f>
        <v/>
      </c>
      <c r="P33" s="143" t="str">
        <f>ProgramKurser[KURSNAMN]</f>
        <v>Digital aritmetik</v>
      </c>
    </row>
    <row r="34" spans="14:16" x14ac:dyDescent="0.3">
      <c r="N34" s="142" t="str">
        <f>IFERROR(_xlfn.RANK.EQ(O34,SearchTable[Search],1),"FEL")</f>
        <v>FEL</v>
      </c>
      <c r="O34" s="142" t="str">
        <f>IFERROR(SEARCH(SearchField,ProgramKurser[KURSNAMN])+ROW()/100000,"")</f>
        <v/>
      </c>
      <c r="P34" s="143" t="str">
        <f>ProgramKurser[KURSNAMN]</f>
        <v>Systemkonstruktion CDIO</v>
      </c>
    </row>
    <row r="35" spans="14:16" x14ac:dyDescent="0.3">
      <c r="N35" s="142" t="str">
        <f>IFERROR(_xlfn.RANK.EQ(O35,SearchTable[Search],1),"FEL")</f>
        <v>FEL</v>
      </c>
      <c r="O35" s="142" t="str">
        <f>IFERROR(SEARCH(SearchField,ProgramKurser[KURSNAMN])+ROW()/100000,"")</f>
        <v/>
      </c>
      <c r="P35" s="143" t="str">
        <f>ProgramKurser[KURSNAMN]</f>
        <v>Datorteknik - ett datorsystem på ett chip</v>
      </c>
    </row>
    <row r="36" spans="14:16" x14ac:dyDescent="0.3">
      <c r="N36" s="142" t="str">
        <f>IFERROR(_xlfn.RANK.EQ(O36,SearchTable[Search],1),"FEL")</f>
        <v>FEL</v>
      </c>
      <c r="O36" s="142" t="str">
        <f>IFERROR(SEARCH(SearchField,ProgramKurser[KURSNAMN])+ROW()/100000,"")</f>
        <v/>
      </c>
      <c r="P36" s="143" t="str">
        <f>ProgramKurser[KURSNAMN]</f>
        <v>Effektelektronik</v>
      </c>
    </row>
    <row r="37" spans="14:16" x14ac:dyDescent="0.3">
      <c r="N37" s="142" t="str">
        <f>IFERROR(_xlfn.RANK.EQ(O37,SearchTable[Search],1),"FEL")</f>
        <v>FEL</v>
      </c>
      <c r="O37" s="142" t="str">
        <f>IFERROR(SEARCH(SearchField,ProgramKurser[KURSNAMN])+ROW()/100000,"")</f>
        <v/>
      </c>
      <c r="P37" s="143" t="str">
        <f>ProgramKurser[KURSNAMN]</f>
        <v>Lågeffektselektronik</v>
      </c>
    </row>
    <row r="38" spans="14:16" x14ac:dyDescent="0.3">
      <c r="N38" s="142" t="str">
        <f>IFERROR(_xlfn.RANK.EQ(O38,SearchTable[Search],1),"FEL")</f>
        <v>FEL</v>
      </c>
      <c r="O38" s="142" t="str">
        <f>IFERROR(SEARCH(SearchField,ProgramKurser[KURSNAMN])+ROW()/100000,"")</f>
        <v/>
      </c>
      <c r="P38" s="143" t="str">
        <f>ProgramKurser[KURSNAMN]</f>
        <v>Signalteori</v>
      </c>
    </row>
    <row r="39" spans="14:16" x14ac:dyDescent="0.3">
      <c r="N39" s="142" t="str">
        <f>IFERROR(_xlfn.RANK.EQ(O39,SearchTable[Search],1),"FEL")</f>
        <v>FEL</v>
      </c>
      <c r="O39" s="142" t="str">
        <f>IFERROR(SEARCH(SearchField,ProgramKurser[KURSNAMN])+ROW()/100000,"")</f>
        <v/>
      </c>
      <c r="P39" s="143" t="str">
        <f>ProgramKurser[KURSNAMN]</f>
        <v>Datornät</v>
      </c>
    </row>
    <row r="40" spans="14:16" x14ac:dyDescent="0.3">
      <c r="N40" s="142" t="str">
        <f>IFERROR(_xlfn.RANK.EQ(O40,SearchTable[Search],1),"FEL")</f>
        <v>FEL</v>
      </c>
      <c r="O40" s="142" t="str">
        <f>IFERROR(SEARCH(SearchField,ProgramKurser[KURSNAMN])+ROW()/100000,"")</f>
        <v/>
      </c>
      <c r="P40" s="143" t="str">
        <f>ProgramKurser[KURSNAMN]</f>
        <v>Informationsnät</v>
      </c>
    </row>
    <row r="41" spans="14:16" x14ac:dyDescent="0.3">
      <c r="N41" s="142" t="str">
        <f>IFERROR(_xlfn.RANK.EQ(O41,SearchTable[Search],1),"FEL")</f>
        <v>FEL</v>
      </c>
      <c r="O41" s="142" t="str">
        <f>IFERROR(SEARCH(SearchField,ProgramKurser[KURSNAMN])+ROW()/100000,"")</f>
        <v/>
      </c>
      <c r="P41" s="143" t="str">
        <f>ProgramKurser[KURSNAMN]</f>
        <v>Internetteknik</v>
      </c>
    </row>
    <row r="42" spans="14:16" x14ac:dyDescent="0.3">
      <c r="N42" s="142" t="str">
        <f>IFERROR(_xlfn.RANK.EQ(O42,SearchTable[Search],1),"FEL")</f>
        <v>FEL</v>
      </c>
      <c r="O42" s="142" t="str">
        <f>IFERROR(SEARCH(SearchField,ProgramKurser[KURSNAMN])+ROW()/100000,"")</f>
        <v/>
      </c>
      <c r="P42" s="143" t="str">
        <f>ProgramKurser[KURSNAMN]</f>
        <v>Nätverk: modeller, algoritmer och tillämpningar</v>
      </c>
    </row>
    <row r="43" spans="14:16" x14ac:dyDescent="0.3">
      <c r="N43" s="142" t="str">
        <f>IFERROR(_xlfn.RANK.EQ(O43,SearchTable[Search],1),"FEL")</f>
        <v>FEL</v>
      </c>
      <c r="O43" s="142" t="str">
        <f>IFERROR(SEARCH(SearchField,ProgramKurser[KURSNAMN])+ROW()/100000,"")</f>
        <v/>
      </c>
      <c r="P43" s="143" t="str">
        <f>ProgramKurser[KURSNAMN]</f>
        <v>Digital signalbehandling</v>
      </c>
    </row>
    <row r="44" spans="14:16" x14ac:dyDescent="0.3">
      <c r="N44" s="142" t="str">
        <f>IFERROR(_xlfn.RANK.EQ(O44,SearchTable[Search],1),"FEL")</f>
        <v>FEL</v>
      </c>
      <c r="O44" s="142" t="str">
        <f>IFERROR(SEARCH(SearchField,ProgramKurser[KURSNAMN])+ROW()/100000,"")</f>
        <v/>
      </c>
      <c r="P44" s="143" t="str">
        <f>ProgramKurser[KURSNAMN]</f>
        <v>Digital kommunikation fk</v>
      </c>
    </row>
    <row r="45" spans="14:16" x14ac:dyDescent="0.3">
      <c r="N45" s="142" t="str">
        <f>IFERROR(_xlfn.RANK.EQ(O45,SearchTable[Search],1),"FEL")</f>
        <v>FEL</v>
      </c>
      <c r="O45" s="142" t="str">
        <f>IFERROR(SEARCH(SearchField,ProgramKurser[KURSNAMN])+ROW()/100000,"")</f>
        <v/>
      </c>
      <c r="P45" s="143" t="str">
        <f>ProgramKurser[KURSNAMN]</f>
        <v>Datakompression</v>
      </c>
    </row>
    <row r="46" spans="14:16" x14ac:dyDescent="0.3">
      <c r="N46" s="142" t="str">
        <f>IFERROR(_xlfn.RANK.EQ(O46,SearchTable[Search],1),"FEL")</f>
        <v>FEL</v>
      </c>
      <c r="O46" s="142" t="str">
        <f>IFERROR(SEARCH(SearchField,ProgramKurser[KURSNAMN])+ROW()/100000,"")</f>
        <v/>
      </c>
      <c r="P46" s="143" t="str">
        <f>ProgramKurser[KURSNAMN]</f>
        <v>Trådlösa system</v>
      </c>
    </row>
    <row r="47" spans="14:16" x14ac:dyDescent="0.3">
      <c r="N47" s="142" t="str">
        <f>IFERROR(_xlfn.RANK.EQ(O47,SearchTable[Search],1),"FEL")</f>
        <v>FEL</v>
      </c>
      <c r="O47" s="142" t="str">
        <f>IFERROR(SEARCH(SearchField,ProgramKurser[KURSNAMN])+ROW()/100000,"")</f>
        <v/>
      </c>
      <c r="P47" s="143" t="str">
        <f>ProgramKurser[KURSNAMN]</f>
        <v>Bild- och ljudkodning</v>
      </c>
    </row>
    <row r="48" spans="14:16" x14ac:dyDescent="0.3">
      <c r="N48" s="142" t="str">
        <f>IFERROR(_xlfn.RANK.EQ(O48,SearchTable[Search],1),"FEL")</f>
        <v>FEL</v>
      </c>
      <c r="O48" s="142" t="str">
        <f>IFERROR(SEARCH(SearchField,ProgramKurser[KURSNAMN])+ROW()/100000,"")</f>
        <v/>
      </c>
      <c r="P48" s="143" t="str">
        <f>ProgramKurser[KURSNAMN]</f>
        <v>Radiokommunikation</v>
      </c>
    </row>
    <row r="49" spans="14:16" x14ac:dyDescent="0.3">
      <c r="N49" s="142" t="str">
        <f>IFERROR(_xlfn.RANK.EQ(O49,SearchTable[Search],1),"FEL")</f>
        <v>FEL</v>
      </c>
      <c r="O49" s="142" t="str">
        <f>IFERROR(SEARCH(SearchField,ProgramKurser[KURSNAMN])+ROW()/100000,"")</f>
        <v/>
      </c>
      <c r="P49" s="143" t="str">
        <f>ProgramKurser[KURSNAMN]</f>
        <v>Kommunikationssystem CDIO</v>
      </c>
    </row>
    <row r="50" spans="14:16" x14ac:dyDescent="0.3">
      <c r="N50" s="142" t="str">
        <f>IFERROR(_xlfn.RANK.EQ(O50,SearchTable[Search],1),"FEL")</f>
        <v>FEL</v>
      </c>
      <c r="O50" s="142" t="str">
        <f>IFERROR(SEARCH(SearchField,ProgramKurser[KURSNAMN])+ROW()/100000,"")</f>
        <v/>
      </c>
      <c r="P50" s="143" t="str">
        <f>ProgramKurser[KURSNAMN]</f>
        <v>Felrättande koder</v>
      </c>
    </row>
    <row r="51" spans="14:16" x14ac:dyDescent="0.3">
      <c r="N51" s="142" t="str">
        <f>IFERROR(_xlfn.RANK.EQ(O51,SearchTable[Search],1),"FEL")</f>
        <v>FEL</v>
      </c>
      <c r="O51" s="142" t="str">
        <f>IFERROR(SEARCH(SearchField,ProgramKurser[KURSNAMN])+ROW()/100000,"")</f>
        <v/>
      </c>
      <c r="P51" s="143" t="str">
        <f>ProgramKurser[KURSNAMN]</f>
        <v>Kryptoteknik</v>
      </c>
    </row>
    <row r="52" spans="14:16" x14ac:dyDescent="0.3">
      <c r="N52" s="142" t="str">
        <f>IFERROR(_xlfn.RANK.EQ(O52,SearchTable[Search],1),"FEL")</f>
        <v>FEL</v>
      </c>
      <c r="O52" s="142" t="str">
        <f>IFERROR(SEARCH(SearchField,ProgramKurser[KURSNAMN])+ROW()/100000,"")</f>
        <v/>
      </c>
      <c r="P52" s="143" t="e">
        <f>ProgramKurser[KURSNAMN]</f>
        <v>#VALUE!</v>
      </c>
    </row>
    <row r="53" spans="14:16" x14ac:dyDescent="0.3">
      <c r="N53" s="142" t="str">
        <f>IFERROR(_xlfn.RANK.EQ(O53,SearchTable[Search],1),"FEL")</f>
        <v>FEL</v>
      </c>
      <c r="O53" s="142" t="str">
        <f>IFERROR(SEARCH(SearchField,ProgramKurser[KURSNAMN])+ROW()/100000,"")</f>
        <v/>
      </c>
      <c r="P53" s="143" t="e">
        <f>ProgramKurser[KURSNAMN]</f>
        <v>#VALUE!</v>
      </c>
    </row>
    <row r="54" spans="14:16" x14ac:dyDescent="0.3">
      <c r="N54" s="142" t="str">
        <f>IFERROR(_xlfn.RANK.EQ(O54,SearchTable[Search],1),"FEL")</f>
        <v>FEL</v>
      </c>
      <c r="O54" s="142" t="str">
        <f>IFERROR(SEARCH(SearchField,ProgramKurser[KURSNAMN])+ROW()/100000,"")</f>
        <v/>
      </c>
      <c r="P54" s="143" t="e">
        <f>ProgramKurser[KURSNAMN]</f>
        <v>#VALUE!</v>
      </c>
    </row>
    <row r="55" spans="14:16" x14ac:dyDescent="0.3">
      <c r="N55" s="142" t="str">
        <f>IFERROR(_xlfn.RANK.EQ(O55,SearchTable[Search],1),"FEL")</f>
        <v>FEL</v>
      </c>
      <c r="O55" s="142" t="str">
        <f>IFERROR(SEARCH(SearchField,ProgramKurser[KURSNAMN])+ROW()/100000,"")</f>
        <v/>
      </c>
      <c r="P55" s="143" t="e">
        <f>ProgramKurser[KURSNAMN]</f>
        <v>#VALUE!</v>
      </c>
    </row>
    <row r="56" spans="14:16" x14ac:dyDescent="0.3">
      <c r="N56" s="142" t="str">
        <f>IFERROR(_xlfn.RANK.EQ(O56,SearchTable[Search],1),"FEL")</f>
        <v>FEL</v>
      </c>
      <c r="O56" s="142" t="str">
        <f>IFERROR(SEARCH(SearchField,ProgramKurser[KURSNAMN])+ROW()/100000,"")</f>
        <v/>
      </c>
      <c r="P56" s="143" t="e">
        <f>ProgramKurser[KURSNAMN]</f>
        <v>#VALUE!</v>
      </c>
    </row>
    <row r="57" spans="14:16" x14ac:dyDescent="0.3">
      <c r="N57" s="142" t="str">
        <f>IFERROR(_xlfn.RANK.EQ(O57,SearchTable[Search],1),"FEL")</f>
        <v>FEL</v>
      </c>
      <c r="O57" s="142" t="str">
        <f>IFERROR(SEARCH(SearchField,ProgramKurser[KURSNAMN])+ROW()/100000,"")</f>
        <v/>
      </c>
      <c r="P57" s="143" t="e">
        <f>ProgramKurser[KURSNAMN]</f>
        <v>#VALUE!</v>
      </c>
    </row>
    <row r="58" spans="14:16" x14ac:dyDescent="0.3">
      <c r="N58" s="142" t="str">
        <f>IFERROR(_xlfn.RANK.EQ(O58,SearchTable[Search],1),"FEL")</f>
        <v>FEL</v>
      </c>
      <c r="O58" s="142" t="str">
        <f>IFERROR(SEARCH(SearchField,ProgramKurser[KURSNAMN])+ROW()/100000,"")</f>
        <v/>
      </c>
      <c r="P58" s="143" t="e">
        <f>ProgramKurser[KURSNAMN]</f>
        <v>#VALUE!</v>
      </c>
    </row>
    <row r="59" spans="14:16" x14ac:dyDescent="0.3">
      <c r="N59" s="142" t="str">
        <f>IFERROR(_xlfn.RANK.EQ(O59,SearchTable[Search],1),"FEL")</f>
        <v>FEL</v>
      </c>
      <c r="O59" s="142" t="str">
        <f>IFERROR(SEARCH(SearchField,ProgramKurser[KURSNAMN])+ROW()/100000,"")</f>
        <v/>
      </c>
      <c r="P59" s="143" t="e">
        <f>ProgramKurser[KURSNAMN]</f>
        <v>#VALUE!</v>
      </c>
    </row>
    <row r="60" spans="14:16" x14ac:dyDescent="0.3">
      <c r="N60" s="142" t="str">
        <f>IFERROR(_xlfn.RANK.EQ(O60,SearchTable[Search],1),"FEL")</f>
        <v>FEL</v>
      </c>
      <c r="O60" s="142" t="str">
        <f>IFERROR(SEARCH(SearchField,ProgramKurser[KURSNAMN])+ROW()/100000,"")</f>
        <v/>
      </c>
      <c r="P60" s="143" t="e">
        <f>ProgramKurser[KURSNAMN]</f>
        <v>#VALUE!</v>
      </c>
    </row>
    <row r="61" spans="14:16" x14ac:dyDescent="0.3">
      <c r="N61" s="142" t="str">
        <f>IFERROR(_xlfn.RANK.EQ(O61,SearchTable[Search],1),"FEL")</f>
        <v>FEL</v>
      </c>
      <c r="O61" s="142" t="str">
        <f>IFERROR(SEARCH(SearchField,ProgramKurser[KURSNAMN])+ROW()/100000,"")</f>
        <v/>
      </c>
      <c r="P61" s="143" t="e">
        <f>ProgramKurser[KURSNAMN]</f>
        <v>#VALUE!</v>
      </c>
    </row>
    <row r="62" spans="14:16" x14ac:dyDescent="0.3">
      <c r="N62" s="142" t="str">
        <f>IFERROR(_xlfn.RANK.EQ(O62,SearchTable[Search],1),"FEL")</f>
        <v>FEL</v>
      </c>
      <c r="O62" s="142" t="str">
        <f>IFERROR(SEARCH(SearchField,ProgramKurser[KURSNAMN])+ROW()/100000,"")</f>
        <v/>
      </c>
      <c r="P62" s="143" t="e">
        <f>ProgramKurser[KURSNAMN]</f>
        <v>#VALUE!</v>
      </c>
    </row>
    <row r="63" spans="14:16" x14ac:dyDescent="0.3">
      <c r="N63" s="142" t="str">
        <f>IFERROR(_xlfn.RANK.EQ(O63,SearchTable[Search],1),"FEL")</f>
        <v>FEL</v>
      </c>
      <c r="O63" s="142" t="str">
        <f>IFERROR(SEARCH(SearchField,ProgramKurser[KURSNAMN])+ROW()/100000,"")</f>
        <v/>
      </c>
      <c r="P63" s="143" t="e">
        <f>ProgramKurser[KURSNAMN]</f>
        <v>#VALUE!</v>
      </c>
    </row>
    <row r="64" spans="14:16" x14ac:dyDescent="0.3">
      <c r="N64" s="142" t="str">
        <f>IFERROR(_xlfn.RANK.EQ(O64,SearchTable[Search],1),"FEL")</f>
        <v>FEL</v>
      </c>
      <c r="O64" s="142" t="str">
        <f>IFERROR(SEARCH(SearchField,ProgramKurser[KURSNAMN])+ROW()/100000,"")</f>
        <v/>
      </c>
      <c r="P64" s="143" t="e">
        <f>ProgramKurser[KURSNAMN]</f>
        <v>#VALUE!</v>
      </c>
    </row>
    <row r="65" spans="14:16" x14ac:dyDescent="0.3">
      <c r="N65" s="142" t="str">
        <f>IFERROR(_xlfn.RANK.EQ(O65,SearchTable[Search],1),"FEL")</f>
        <v>FEL</v>
      </c>
      <c r="O65" s="142" t="str">
        <f>IFERROR(SEARCH(SearchField,ProgramKurser[KURSNAMN])+ROW()/100000,"")</f>
        <v/>
      </c>
      <c r="P65" s="143" t="e">
        <f>ProgramKurser[KURSNAMN]</f>
        <v>#VALUE!</v>
      </c>
    </row>
    <row r="66" spans="14:16" x14ac:dyDescent="0.3">
      <c r="N66" s="142" t="str">
        <f>IFERROR(_xlfn.RANK.EQ(O66,SearchTable[Search],1),"FEL")</f>
        <v>FEL</v>
      </c>
      <c r="O66" s="142" t="str">
        <f>IFERROR(SEARCH(SearchField,ProgramKurser[KURSNAMN])+ROW()/100000,"")</f>
        <v/>
      </c>
      <c r="P66" s="143" t="e">
        <f>ProgramKurser[KURSNAMN]</f>
        <v>#VALUE!</v>
      </c>
    </row>
    <row r="67" spans="14:16" x14ac:dyDescent="0.3">
      <c r="N67" s="142" t="str">
        <f>IFERROR(_xlfn.RANK.EQ(O67,SearchTable[Search],1),"FEL")</f>
        <v>FEL</v>
      </c>
      <c r="O67" s="142" t="str">
        <f>IFERROR(SEARCH(SearchField,ProgramKurser[KURSNAMN])+ROW()/100000,"")</f>
        <v/>
      </c>
      <c r="P67" s="143" t="e">
        <f>ProgramKurser[KURSNAMN]</f>
        <v>#VALUE!</v>
      </c>
    </row>
    <row r="68" spans="14:16" x14ac:dyDescent="0.3">
      <c r="N68" s="142" t="str">
        <f>IFERROR(_xlfn.RANK.EQ(O68,SearchTable[Search],1),"FEL")</f>
        <v>FEL</v>
      </c>
      <c r="O68" s="142" t="str">
        <f>IFERROR(SEARCH(SearchField,ProgramKurser[KURSNAMN])+ROW()/100000,"")</f>
        <v/>
      </c>
      <c r="P68" s="143" t="e">
        <f>ProgramKurser[KURSNAMN]</f>
        <v>#VALUE!</v>
      </c>
    </row>
    <row r="69" spans="14:16" x14ac:dyDescent="0.3">
      <c r="N69" s="142" t="str">
        <f>IFERROR(_xlfn.RANK.EQ(O69,SearchTable[Search],1),"FEL")</f>
        <v>FEL</v>
      </c>
      <c r="O69" s="142" t="str">
        <f>IFERROR(SEARCH(SearchField,ProgramKurser[KURSNAMN])+ROW()/100000,"")</f>
        <v/>
      </c>
      <c r="P69" s="143" t="e">
        <f>ProgramKurser[KURSNAMN]</f>
        <v>#VALUE!</v>
      </c>
    </row>
    <row r="70" spans="14:16" x14ac:dyDescent="0.3">
      <c r="N70" s="142" t="str">
        <f>IFERROR(_xlfn.RANK.EQ(O70,SearchTable[Search],1),"FEL")</f>
        <v>FEL</v>
      </c>
      <c r="O70" s="142" t="str">
        <f>IFERROR(SEARCH(SearchField,ProgramKurser[KURSNAMN])+ROW()/100000,"")</f>
        <v/>
      </c>
      <c r="P70" s="143" t="e">
        <f>ProgramKurser[KURSNAMN]</f>
        <v>#VALUE!</v>
      </c>
    </row>
    <row r="71" spans="14:16" x14ac:dyDescent="0.3">
      <c r="N71" s="142" t="str">
        <f>IFERROR(_xlfn.RANK.EQ(O71,SearchTable[Search],1),"FEL")</f>
        <v>FEL</v>
      </c>
      <c r="O71" s="142" t="str">
        <f>IFERROR(SEARCH(SearchField,ProgramKurser[KURSNAMN])+ROW()/100000,"")</f>
        <v/>
      </c>
      <c r="P71" s="143" t="e">
        <f>ProgramKurser[KURSNAMN]</f>
        <v>#VALUE!</v>
      </c>
    </row>
    <row r="72" spans="14:16" x14ac:dyDescent="0.3">
      <c r="N72" s="142" t="str">
        <f>IFERROR(_xlfn.RANK.EQ(O72,SearchTable[Search],1),"FEL")</f>
        <v>FEL</v>
      </c>
      <c r="O72" s="142" t="str">
        <f>IFERROR(SEARCH(SearchField,ProgramKurser[KURSNAMN])+ROW()/100000,"")</f>
        <v/>
      </c>
      <c r="P72" s="143" t="e">
        <f>ProgramKurser[KURSNAMN]</f>
        <v>#VALUE!</v>
      </c>
    </row>
    <row r="73" spans="14:16" x14ac:dyDescent="0.3">
      <c r="N73" s="142" t="str">
        <f>IFERROR(_xlfn.RANK.EQ(O73,SearchTable[Search],1),"FEL")</f>
        <v>FEL</v>
      </c>
      <c r="O73" s="142" t="str">
        <f>IFERROR(SEARCH(SearchField,ProgramKurser[KURSNAMN])+ROW()/100000,"")</f>
        <v/>
      </c>
      <c r="P73" s="143" t="e">
        <f>ProgramKurser[KURSNAMN]</f>
        <v>#VALUE!</v>
      </c>
    </row>
    <row r="74" spans="14:16" x14ac:dyDescent="0.3">
      <c r="N74" s="142" t="str">
        <f>IFERROR(_xlfn.RANK.EQ(O74,SearchTable[Search],1),"FEL")</f>
        <v>FEL</v>
      </c>
      <c r="O74" s="142" t="str">
        <f>IFERROR(SEARCH(SearchField,ProgramKurser[KURSNAMN])+ROW()/100000,"")</f>
        <v/>
      </c>
      <c r="P74" s="143" t="e">
        <f>ProgramKurser[KURSNAMN]</f>
        <v>#VALUE!</v>
      </c>
    </row>
    <row r="75" spans="14:16" x14ac:dyDescent="0.3">
      <c r="N75" s="142" t="str">
        <f>IFERROR(_xlfn.RANK.EQ(O75,SearchTable[Search],1),"FEL")</f>
        <v>FEL</v>
      </c>
      <c r="O75" s="142" t="str">
        <f>IFERROR(SEARCH(SearchField,ProgramKurser[KURSNAMN])+ROW()/100000,"")</f>
        <v/>
      </c>
      <c r="P75" s="143" t="e">
        <f>ProgramKurser[KURSNAMN]</f>
        <v>#VALUE!</v>
      </c>
    </row>
    <row r="76" spans="14:16" x14ac:dyDescent="0.3">
      <c r="N76" s="142" t="str">
        <f>IFERROR(_xlfn.RANK.EQ(O76,SearchTable[Search],1),"FEL")</f>
        <v>FEL</v>
      </c>
      <c r="O76" s="142" t="str">
        <f>IFERROR(SEARCH(SearchField,ProgramKurser[KURSNAMN])+ROW()/100000,"")</f>
        <v/>
      </c>
      <c r="P76" s="143" t="e">
        <f>ProgramKurser[KURSNAMN]</f>
        <v>#VALUE!</v>
      </c>
    </row>
    <row r="77" spans="14:16" x14ac:dyDescent="0.3">
      <c r="N77" s="142" t="str">
        <f>IFERROR(_xlfn.RANK.EQ(O77,SearchTable[Search],1),"FEL")</f>
        <v>FEL</v>
      </c>
      <c r="O77" s="142" t="str">
        <f>IFERROR(SEARCH(SearchField,ProgramKurser[KURSNAMN])+ROW()/100000,"")</f>
        <v/>
      </c>
      <c r="P77" s="143" t="e">
        <f>ProgramKurser[KURSNAMN]</f>
        <v>#VALUE!</v>
      </c>
    </row>
    <row r="78" spans="14:16" x14ac:dyDescent="0.3">
      <c r="N78" s="142" t="str">
        <f>IFERROR(_xlfn.RANK.EQ(O78,SearchTable[Search],1),"FEL")</f>
        <v>FEL</v>
      </c>
      <c r="O78" s="142" t="str">
        <f>IFERROR(SEARCH(SearchField,ProgramKurser[KURSNAMN])+ROW()/100000,"")</f>
        <v/>
      </c>
      <c r="P78" s="143" t="e">
        <f>ProgramKurser[KURSNAMN]</f>
        <v>#VALUE!</v>
      </c>
    </row>
    <row r="79" spans="14:16" x14ac:dyDescent="0.3">
      <c r="N79" s="142" t="str">
        <f>IFERROR(_xlfn.RANK.EQ(O79,SearchTable[Search],1),"FEL")</f>
        <v>FEL</v>
      </c>
      <c r="O79" s="142" t="str">
        <f>IFERROR(SEARCH(SearchField,ProgramKurser[KURSNAMN])+ROW()/100000,"")</f>
        <v/>
      </c>
      <c r="P79" s="143" t="e">
        <f>ProgramKurser[KURSNAMN]</f>
        <v>#VALUE!</v>
      </c>
    </row>
    <row r="80" spans="14:16" x14ac:dyDescent="0.3">
      <c r="N80" s="142" t="str">
        <f>IFERROR(_xlfn.RANK.EQ(O80,SearchTable[Search],1),"FEL")</f>
        <v>FEL</v>
      </c>
      <c r="O80" s="142" t="str">
        <f>IFERROR(SEARCH(SearchField,ProgramKurser[KURSNAMN])+ROW()/100000,"")</f>
        <v/>
      </c>
      <c r="P80" s="143" t="e">
        <f>ProgramKurser[KURSNAMN]</f>
        <v>#VALUE!</v>
      </c>
    </row>
    <row r="81" spans="14:16" x14ac:dyDescent="0.3">
      <c r="N81" s="142" t="str">
        <f>IFERROR(_xlfn.RANK.EQ(O81,SearchTable[Search],1),"FEL")</f>
        <v>FEL</v>
      </c>
      <c r="O81" s="142" t="str">
        <f>IFERROR(SEARCH(SearchField,ProgramKurser[KURSNAMN])+ROW()/100000,"")</f>
        <v/>
      </c>
      <c r="P81" s="143" t="e">
        <f>ProgramKurser[KURSNAMN]</f>
        <v>#VALUE!</v>
      </c>
    </row>
    <row r="82" spans="14:16" x14ac:dyDescent="0.3">
      <c r="N82" s="142" t="str">
        <f>IFERROR(_xlfn.RANK.EQ(O82,SearchTable[Search],1),"FEL")</f>
        <v>FEL</v>
      </c>
      <c r="O82" s="142" t="str">
        <f>IFERROR(SEARCH(SearchField,ProgramKurser[KURSNAMN])+ROW()/100000,"")</f>
        <v/>
      </c>
      <c r="P82" s="143" t="e">
        <f>ProgramKurser[KURSNAMN]</f>
        <v>#VALUE!</v>
      </c>
    </row>
    <row r="83" spans="14:16" x14ac:dyDescent="0.3">
      <c r="N83" s="142" t="str">
        <f>IFERROR(_xlfn.RANK.EQ(O83,SearchTable[Search],1),"FEL")</f>
        <v>FEL</v>
      </c>
      <c r="O83" s="142" t="str">
        <f>IFERROR(SEARCH(SearchField,ProgramKurser[KURSNAMN])+ROW()/100000,"")</f>
        <v/>
      </c>
      <c r="P83" s="143" t="e">
        <f>ProgramKurser[KURSNAMN]</f>
        <v>#VALUE!</v>
      </c>
    </row>
    <row r="84" spans="14:16" x14ac:dyDescent="0.3">
      <c r="N84" s="142" t="str">
        <f>IFERROR(_xlfn.RANK.EQ(O84,SearchTable[Search],1),"FEL")</f>
        <v>FEL</v>
      </c>
      <c r="O84" s="142" t="str">
        <f>IFERROR(SEARCH(SearchField,ProgramKurser[KURSNAMN])+ROW()/100000,"")</f>
        <v/>
      </c>
      <c r="P84" s="143" t="e">
        <f>ProgramKurser[KURSNAMN]</f>
        <v>#VALUE!</v>
      </c>
    </row>
    <row r="85" spans="14:16" x14ac:dyDescent="0.3">
      <c r="N85" s="142" t="str">
        <f>IFERROR(_xlfn.RANK.EQ(O85,SearchTable[Search],1),"FEL")</f>
        <v>FEL</v>
      </c>
      <c r="O85" s="142" t="str">
        <f>IFERROR(SEARCH(SearchField,ProgramKurser[KURSNAMN])+ROW()/100000,"")</f>
        <v/>
      </c>
      <c r="P85" s="143" t="e">
        <f>ProgramKurser[KURSNAMN]</f>
        <v>#VALUE!</v>
      </c>
    </row>
    <row r="86" spans="14:16" x14ac:dyDescent="0.3">
      <c r="N86" s="142" t="str">
        <f>IFERROR(_xlfn.RANK.EQ(O86,SearchTable[Search],1),"FEL")</f>
        <v>FEL</v>
      </c>
      <c r="O86" s="142" t="str">
        <f>IFERROR(SEARCH(SearchField,ProgramKurser[KURSNAMN])+ROW()/100000,"")</f>
        <v/>
      </c>
      <c r="P86" s="143" t="e">
        <f>ProgramKurser[KURSNAMN]</f>
        <v>#VALUE!</v>
      </c>
    </row>
    <row r="87" spans="14:16" x14ac:dyDescent="0.3">
      <c r="N87" s="142" t="str">
        <f>IFERROR(_xlfn.RANK.EQ(O87,SearchTable[Search],1),"FEL")</f>
        <v>FEL</v>
      </c>
      <c r="O87" s="142" t="str">
        <f>IFERROR(SEARCH(SearchField,ProgramKurser[KURSNAMN])+ROW()/100000,"")</f>
        <v/>
      </c>
      <c r="P87" s="143" t="e">
        <f>ProgramKurser[KURSNAMN]</f>
        <v>#VALUE!</v>
      </c>
    </row>
    <row r="88" spans="14:16" x14ac:dyDescent="0.3">
      <c r="N88" s="142" t="str">
        <f>IFERROR(_xlfn.RANK.EQ(O88,SearchTable[Search],1),"FEL")</f>
        <v>FEL</v>
      </c>
      <c r="O88" s="142" t="str">
        <f>IFERROR(SEARCH(SearchField,ProgramKurser[KURSNAMN])+ROW()/100000,"")</f>
        <v/>
      </c>
      <c r="P88" s="143" t="e">
        <f>ProgramKurser[KURSNAMN]</f>
        <v>#VALUE!</v>
      </c>
    </row>
    <row r="89" spans="14:16" x14ac:dyDescent="0.3">
      <c r="N89" s="142" t="str">
        <f>IFERROR(_xlfn.RANK.EQ(O89,SearchTable[Search],1),"FEL")</f>
        <v>FEL</v>
      </c>
      <c r="O89" s="142" t="str">
        <f>IFERROR(SEARCH(SearchField,ProgramKurser[KURSNAMN])+ROW()/100000,"")</f>
        <v/>
      </c>
      <c r="P89" s="143" t="e">
        <f>ProgramKurser[KURSNAMN]</f>
        <v>#VALUE!</v>
      </c>
    </row>
    <row r="90" spans="14:16" x14ac:dyDescent="0.3">
      <c r="N90" s="142" t="str">
        <f>IFERROR(_xlfn.RANK.EQ(O90,SearchTable[Search],1),"FEL")</f>
        <v>FEL</v>
      </c>
      <c r="O90" s="142" t="str">
        <f>IFERROR(SEARCH(SearchField,ProgramKurser[KURSNAMN])+ROW()/100000,"")</f>
        <v/>
      </c>
      <c r="P90" s="143" t="e">
        <f>ProgramKurser[KURSNAMN]</f>
        <v>#VALUE!</v>
      </c>
    </row>
    <row r="91" spans="14:16" x14ac:dyDescent="0.3">
      <c r="N91" s="142" t="str">
        <f>IFERROR(_xlfn.RANK.EQ(O91,SearchTable[Search],1),"FEL")</f>
        <v>FEL</v>
      </c>
      <c r="O91" s="142" t="str">
        <f>IFERROR(SEARCH(SearchField,ProgramKurser[KURSNAMN])+ROW()/100000,"")</f>
        <v/>
      </c>
      <c r="P91" s="143" t="e">
        <f>ProgramKurser[KURSNAMN]</f>
        <v>#VALUE!</v>
      </c>
    </row>
    <row r="92" spans="14:16" x14ac:dyDescent="0.3">
      <c r="N92" s="142" t="str">
        <f>IFERROR(_xlfn.RANK.EQ(O92,SearchTable[Search],1),"FEL")</f>
        <v>FEL</v>
      </c>
      <c r="O92" s="142" t="str">
        <f>IFERROR(SEARCH(SearchField,ProgramKurser[KURSNAMN])+ROW()/100000,"")</f>
        <v/>
      </c>
      <c r="P92" s="143" t="e">
        <f>ProgramKurser[KURSNAMN]</f>
        <v>#VALUE!</v>
      </c>
    </row>
    <row r="93" spans="14:16" x14ac:dyDescent="0.3">
      <c r="N93" s="142" t="str">
        <f>IFERROR(_xlfn.RANK.EQ(O93,SearchTable[Search],1),"FEL")</f>
        <v>FEL</v>
      </c>
      <c r="O93" s="142" t="str">
        <f>IFERROR(SEARCH(SearchField,ProgramKurser[KURSNAMN])+ROW()/100000,"")</f>
        <v/>
      </c>
      <c r="P93" s="143" t="e">
        <f>ProgramKurser[KURSNAMN]</f>
        <v>#VALUE!</v>
      </c>
    </row>
    <row r="94" spans="14:16" x14ac:dyDescent="0.3">
      <c r="N94" s="142" t="str">
        <f>IFERROR(_xlfn.RANK.EQ(O94,SearchTable[Search],1),"FEL")</f>
        <v>FEL</v>
      </c>
      <c r="O94" s="142" t="str">
        <f>IFERROR(SEARCH(SearchField,ProgramKurser[KURSNAMN])+ROW()/100000,"")</f>
        <v/>
      </c>
      <c r="P94" s="143" t="e">
        <f>ProgramKurser[KURSNAMN]</f>
        <v>#VALUE!</v>
      </c>
    </row>
    <row r="95" spans="14:16" x14ac:dyDescent="0.3">
      <c r="N95" s="142" t="str">
        <f>IFERROR(_xlfn.RANK.EQ(O95,SearchTable[Search],1),"FEL")</f>
        <v>FEL</v>
      </c>
      <c r="O95" s="142" t="str">
        <f>IFERROR(SEARCH(SearchField,ProgramKurser[KURSNAMN])+ROW()/100000,"")</f>
        <v/>
      </c>
      <c r="P95" s="143" t="e">
        <f>ProgramKurser[KURSNAMN]</f>
        <v>#VALUE!</v>
      </c>
    </row>
    <row r="96" spans="14:16" x14ac:dyDescent="0.3">
      <c r="N96" s="142" t="str">
        <f>IFERROR(_xlfn.RANK.EQ(O96,SearchTable[Search],1),"FEL")</f>
        <v>FEL</v>
      </c>
      <c r="O96" s="142" t="str">
        <f>IFERROR(SEARCH(SearchField,ProgramKurser[KURSNAMN])+ROW()/100000,"")</f>
        <v/>
      </c>
      <c r="P96" s="143" t="e">
        <f>ProgramKurser[KURSNAMN]</f>
        <v>#VALUE!</v>
      </c>
    </row>
    <row r="97" spans="14:16" x14ac:dyDescent="0.3">
      <c r="N97" s="142" t="str">
        <f>IFERROR(_xlfn.RANK.EQ(O97,SearchTable[Search],1),"FEL")</f>
        <v>FEL</v>
      </c>
      <c r="O97" s="142" t="str">
        <f>IFERROR(SEARCH(SearchField,ProgramKurser[KURSNAMN])+ROW()/100000,"")</f>
        <v/>
      </c>
      <c r="P97" s="143" t="e">
        <f>ProgramKurser[KURSNAMN]</f>
        <v>#VALUE!</v>
      </c>
    </row>
    <row r="98" spans="14:16" x14ac:dyDescent="0.3">
      <c r="N98" s="142" t="str">
        <f>IFERROR(_xlfn.RANK.EQ(O98,SearchTable[Search],1),"FEL")</f>
        <v>FEL</v>
      </c>
      <c r="O98" s="142" t="str">
        <f>IFERROR(SEARCH(SearchField,ProgramKurser[KURSNAMN])+ROW()/100000,"")</f>
        <v/>
      </c>
      <c r="P98" s="143" t="e">
        <f>ProgramKurser[KURSNAMN]</f>
        <v>#VALUE!</v>
      </c>
    </row>
    <row r="99" spans="14:16" x14ac:dyDescent="0.3">
      <c r="N99" s="142" t="str">
        <f>IFERROR(_xlfn.RANK.EQ(O99,SearchTable[Search],1),"FEL")</f>
        <v>FEL</v>
      </c>
      <c r="O99" s="142" t="str">
        <f>IFERROR(SEARCH(SearchField,ProgramKurser[KURSNAMN])+ROW()/100000,"")</f>
        <v/>
      </c>
      <c r="P99" s="143" t="e">
        <f>ProgramKurser[KURSNAMN]</f>
        <v>#VALUE!</v>
      </c>
    </row>
    <row r="100" spans="14:16" x14ac:dyDescent="0.3">
      <c r="N100" s="142" t="str">
        <f>IFERROR(_xlfn.RANK.EQ(O100,SearchTable[Search],1),"FEL")</f>
        <v>FEL</v>
      </c>
      <c r="O100" s="142" t="str">
        <f>IFERROR(SEARCH(SearchField,ProgramKurser[KURSNAMN])+ROW()/100000,"")</f>
        <v/>
      </c>
      <c r="P100" s="143" t="e">
        <f>ProgramKurser[KURSNAMN]</f>
        <v>#VALUE!</v>
      </c>
    </row>
    <row r="101" spans="14:16" x14ac:dyDescent="0.3">
      <c r="N101" s="142" t="str">
        <f>IFERROR(_xlfn.RANK.EQ(O101,SearchTable[Search],1),"FEL")</f>
        <v>FEL</v>
      </c>
      <c r="O101" s="142" t="str">
        <f>IFERROR(SEARCH(SearchField,ProgramKurser[KURSNAMN])+ROW()/100000,"")</f>
        <v/>
      </c>
      <c r="P101" s="143" t="e">
        <f>ProgramKurser[KURSNAMN]</f>
        <v>#VALUE!</v>
      </c>
    </row>
    <row r="102" spans="14:16" x14ac:dyDescent="0.3">
      <c r="N102" s="142" t="str">
        <f>IFERROR(_xlfn.RANK.EQ(O102,SearchTable[Search],1),"FEL")</f>
        <v>FEL</v>
      </c>
      <c r="O102" s="142" t="str">
        <f>IFERROR(SEARCH(SearchField,ProgramKurser[KURSNAMN])+ROW()/100000,"")</f>
        <v/>
      </c>
      <c r="P102" s="143" t="e">
        <f>ProgramKurser[KURSNAMN]</f>
        <v>#VALUE!</v>
      </c>
    </row>
    <row r="103" spans="14:16" x14ac:dyDescent="0.3">
      <c r="N103" s="142" t="str">
        <f>IFERROR(_xlfn.RANK.EQ(O103,SearchTable[Search],1),"FEL")</f>
        <v>FEL</v>
      </c>
      <c r="O103" s="142" t="str">
        <f>IFERROR(SEARCH(SearchField,ProgramKurser[KURSNAMN])+ROW()/100000,"")</f>
        <v/>
      </c>
      <c r="P103" s="143" t="e">
        <f>ProgramKurser[KURSNAMN]</f>
        <v>#VALUE!</v>
      </c>
    </row>
    <row r="104" spans="14:16" x14ac:dyDescent="0.3">
      <c r="N104" s="142" t="str">
        <f>IFERROR(_xlfn.RANK.EQ(O104,SearchTable[Search],1),"FEL")</f>
        <v>FEL</v>
      </c>
      <c r="O104" s="142" t="str">
        <f>IFERROR(SEARCH(SearchField,ProgramKurser[KURSNAMN])+ROW()/100000,"")</f>
        <v/>
      </c>
      <c r="P104" s="143" t="e">
        <f>ProgramKurser[KURSNAMN]</f>
        <v>#VALUE!</v>
      </c>
    </row>
    <row r="105" spans="14:16" x14ac:dyDescent="0.3">
      <c r="N105" s="142" t="str">
        <f>IFERROR(_xlfn.RANK.EQ(O105,SearchTable[Search],1),"FEL")</f>
        <v>FEL</v>
      </c>
      <c r="O105" s="142" t="str">
        <f>IFERROR(SEARCH(SearchField,ProgramKurser[KURSNAMN])+ROW()/100000,"")</f>
        <v/>
      </c>
      <c r="P105" s="143" t="e">
        <f>ProgramKurser[KURSNAMN]</f>
        <v>#VALUE!</v>
      </c>
    </row>
    <row r="106" spans="14:16" x14ac:dyDescent="0.3">
      <c r="N106" s="142" t="str">
        <f>IFERROR(_xlfn.RANK.EQ(O106,SearchTable[Search],1),"FEL")</f>
        <v>FEL</v>
      </c>
      <c r="O106" s="142" t="str">
        <f>IFERROR(SEARCH(SearchField,ProgramKurser[KURSNAMN])+ROW()/100000,"")</f>
        <v/>
      </c>
      <c r="P106" s="143" t="e">
        <f>ProgramKurser[KURSNAMN]</f>
        <v>#VALUE!</v>
      </c>
    </row>
    <row r="107" spans="14:16" x14ac:dyDescent="0.3">
      <c r="N107" s="142" t="str">
        <f>IFERROR(_xlfn.RANK.EQ(O107,SearchTable[Search],1),"FEL")</f>
        <v>FEL</v>
      </c>
      <c r="O107" s="142" t="str">
        <f>IFERROR(SEARCH(SearchField,ProgramKurser[KURSNAMN])+ROW()/100000,"")</f>
        <v/>
      </c>
      <c r="P107" s="143" t="e">
        <f>ProgramKurser[KURSNAMN]</f>
        <v>#VALUE!</v>
      </c>
    </row>
    <row r="108" spans="14:16" x14ac:dyDescent="0.3">
      <c r="N108" s="142" t="str">
        <f>IFERROR(_xlfn.RANK.EQ(O108,SearchTable[Search],1),"FEL")</f>
        <v>FEL</v>
      </c>
      <c r="O108" s="142" t="str">
        <f>IFERROR(SEARCH(SearchField,ProgramKurser[KURSNAMN])+ROW()/100000,"")</f>
        <v/>
      </c>
      <c r="P108" s="143" t="e">
        <f>ProgramKurser[KURSNAMN]</f>
        <v>#VALUE!</v>
      </c>
    </row>
    <row r="109" spans="14:16" x14ac:dyDescent="0.3">
      <c r="N109" s="142" t="str">
        <f>IFERROR(_xlfn.RANK.EQ(O109,SearchTable[Search],1),"FEL")</f>
        <v>FEL</v>
      </c>
      <c r="O109" s="142" t="str">
        <f>IFERROR(SEARCH(SearchField,ProgramKurser[KURSNAMN])+ROW()/100000,"")</f>
        <v/>
      </c>
      <c r="P109" s="143" t="e">
        <f>ProgramKurser[KURSNAMN]</f>
        <v>#VALUE!</v>
      </c>
    </row>
    <row r="110" spans="14:16" x14ac:dyDescent="0.3">
      <c r="N110" s="142" t="str">
        <f>IFERROR(_xlfn.RANK.EQ(O110,SearchTable[Search],1),"FEL")</f>
        <v>FEL</v>
      </c>
      <c r="O110" s="142" t="str">
        <f>IFERROR(SEARCH(SearchField,ProgramKurser[KURSNAMN])+ROW()/100000,"")</f>
        <v/>
      </c>
      <c r="P110" s="143" t="e">
        <f>ProgramKurser[KURSNAMN]</f>
        <v>#VALUE!</v>
      </c>
    </row>
    <row r="111" spans="14:16" x14ac:dyDescent="0.3">
      <c r="N111" s="142" t="str">
        <f>IFERROR(_xlfn.RANK.EQ(O111,SearchTable[Search],1),"FEL")</f>
        <v>FEL</v>
      </c>
      <c r="O111" s="142" t="str">
        <f>IFERROR(SEARCH(SearchField,ProgramKurser[KURSNAMN])+ROW()/100000,"")</f>
        <v/>
      </c>
      <c r="P111" s="143" t="e">
        <f>ProgramKurser[KURSNAMN]</f>
        <v>#VALUE!</v>
      </c>
    </row>
    <row r="112" spans="14:16" x14ac:dyDescent="0.3">
      <c r="N112" s="142" t="str">
        <f>IFERROR(_xlfn.RANK.EQ(O112,SearchTable[Search],1),"FEL")</f>
        <v>FEL</v>
      </c>
      <c r="O112" s="142" t="str">
        <f>IFERROR(SEARCH(SearchField,ProgramKurser[KURSNAMN])+ROW()/100000,"")</f>
        <v/>
      </c>
      <c r="P112" s="143" t="e">
        <f>ProgramKurser[KURSNAMN]</f>
        <v>#VALUE!</v>
      </c>
    </row>
    <row r="113" spans="14:16" x14ac:dyDescent="0.3">
      <c r="N113" s="142" t="str">
        <f>IFERROR(_xlfn.RANK.EQ(O113,SearchTable[Search],1),"FEL")</f>
        <v>FEL</v>
      </c>
      <c r="O113" s="142" t="str">
        <f>IFERROR(SEARCH(SearchField,ProgramKurser[KURSNAMN])+ROW()/100000,"")</f>
        <v/>
      </c>
      <c r="P113" s="143" t="e">
        <f>ProgramKurser[KURSNAMN]</f>
        <v>#VALUE!</v>
      </c>
    </row>
    <row r="114" spans="14:16" x14ac:dyDescent="0.3">
      <c r="N114" s="142" t="str">
        <f>IFERROR(_xlfn.RANK.EQ(O114,SearchTable[Search],1),"FEL")</f>
        <v>FEL</v>
      </c>
      <c r="O114" s="142" t="str">
        <f>IFERROR(SEARCH(SearchField,ProgramKurser[KURSNAMN])+ROW()/100000,"")</f>
        <v/>
      </c>
      <c r="P114" s="143" t="e">
        <f>ProgramKurser[KURSNAMN]</f>
        <v>#VALUE!</v>
      </c>
    </row>
    <row r="115" spans="14:16" x14ac:dyDescent="0.3">
      <c r="N115" s="142" t="str">
        <f>IFERROR(_xlfn.RANK.EQ(O115,SearchTable[Search],1),"FEL")</f>
        <v>FEL</v>
      </c>
      <c r="O115" s="142" t="str">
        <f>IFERROR(SEARCH(SearchField,ProgramKurser[KURSNAMN])+ROW()/100000,"")</f>
        <v/>
      </c>
      <c r="P115" s="143" t="e">
        <f>ProgramKurser[KURSNAMN]</f>
        <v>#VALUE!</v>
      </c>
    </row>
    <row r="116" spans="14:16" x14ac:dyDescent="0.3">
      <c r="N116" s="142" t="str">
        <f>IFERROR(_xlfn.RANK.EQ(O116,SearchTable[Search],1),"FEL")</f>
        <v>FEL</v>
      </c>
      <c r="O116" s="142" t="str">
        <f>IFERROR(SEARCH(SearchField,ProgramKurser[KURSNAMN])+ROW()/100000,"")</f>
        <v/>
      </c>
      <c r="P116" s="143" t="e">
        <f>ProgramKurser[KURSNAMN]</f>
        <v>#VALUE!</v>
      </c>
    </row>
    <row r="117" spans="14:16" x14ac:dyDescent="0.3">
      <c r="N117" s="142" t="str">
        <f>IFERROR(_xlfn.RANK.EQ(O117,SearchTable[Search],1),"FEL")</f>
        <v>FEL</v>
      </c>
      <c r="O117" s="142" t="str">
        <f>IFERROR(SEARCH(SearchField,ProgramKurser[KURSNAMN])+ROW()/100000,"")</f>
        <v/>
      </c>
      <c r="P117" s="143" t="e">
        <f>ProgramKurser[KURSNAMN]</f>
        <v>#VALUE!</v>
      </c>
    </row>
    <row r="118" spans="14:16" x14ac:dyDescent="0.3">
      <c r="N118" s="142" t="str">
        <f>IFERROR(_xlfn.RANK.EQ(O118,SearchTable[Search],1),"FEL")</f>
        <v>FEL</v>
      </c>
      <c r="O118" s="142" t="str">
        <f>IFERROR(SEARCH(SearchField,ProgramKurser[KURSNAMN])+ROW()/100000,"")</f>
        <v/>
      </c>
      <c r="P118" s="143" t="e">
        <f>ProgramKurser[KURSNAMN]</f>
        <v>#VALUE!</v>
      </c>
    </row>
    <row r="119" spans="14:16" x14ac:dyDescent="0.3">
      <c r="N119" s="142" t="str">
        <f>IFERROR(_xlfn.RANK.EQ(O119,SearchTable[Search],1),"FEL")</f>
        <v>FEL</v>
      </c>
      <c r="O119" s="142" t="str">
        <f>IFERROR(SEARCH(SearchField,ProgramKurser[KURSNAMN])+ROW()/100000,"")</f>
        <v/>
      </c>
      <c r="P119" s="143" t="e">
        <f>ProgramKurser[KURSNAMN]</f>
        <v>#VALUE!</v>
      </c>
    </row>
    <row r="120" spans="14:16" x14ac:dyDescent="0.3">
      <c r="N120" s="142" t="str">
        <f>IFERROR(_xlfn.RANK.EQ(O120,SearchTable[Search],1),"FEL")</f>
        <v>FEL</v>
      </c>
      <c r="O120" s="142" t="str">
        <f>IFERROR(SEARCH(SearchField,ProgramKurser[KURSNAMN])+ROW()/100000,"")</f>
        <v/>
      </c>
      <c r="P120" s="143" t="e">
        <f>ProgramKurser[KURSNAMN]</f>
        <v>#VALUE!</v>
      </c>
    </row>
    <row r="121" spans="14:16" x14ac:dyDescent="0.3">
      <c r="N121" s="142" t="str">
        <f>IFERROR(_xlfn.RANK.EQ(O121,SearchTable[Search],1),"FEL")</f>
        <v>FEL</v>
      </c>
      <c r="O121" s="142" t="str">
        <f>IFERROR(SEARCH(SearchField,ProgramKurser[KURSNAMN])+ROW()/100000,"")</f>
        <v/>
      </c>
      <c r="P121" s="143" t="e">
        <f>ProgramKurser[KURSNAMN]</f>
        <v>#VALUE!</v>
      </c>
    </row>
    <row r="122" spans="14:16" x14ac:dyDescent="0.3">
      <c r="N122" s="142" t="str">
        <f>IFERROR(_xlfn.RANK.EQ(O122,SearchTable[Search],1),"FEL")</f>
        <v>FEL</v>
      </c>
      <c r="O122" s="142" t="str">
        <f>IFERROR(SEARCH(SearchField,ProgramKurser[KURSNAMN])+ROW()/100000,"")</f>
        <v/>
      </c>
      <c r="P122" s="143" t="e">
        <f>ProgramKurser[KURSNAMN]</f>
        <v>#VALUE!</v>
      </c>
    </row>
    <row r="123" spans="14:16" x14ac:dyDescent="0.3">
      <c r="N123" s="142" t="str">
        <f>IFERROR(_xlfn.RANK.EQ(O123,SearchTable[Search],1),"FEL")</f>
        <v>FEL</v>
      </c>
      <c r="O123" s="142" t="str">
        <f>IFERROR(SEARCH(SearchField,ProgramKurser[KURSNAMN])+ROW()/100000,"")</f>
        <v/>
      </c>
      <c r="P123" s="143" t="e">
        <f>ProgramKurser[KURSNAMN]</f>
        <v>#VALUE!</v>
      </c>
    </row>
    <row r="124" spans="14:16" x14ac:dyDescent="0.3">
      <c r="N124" s="142" t="str">
        <f>IFERROR(_xlfn.RANK.EQ(O124,SearchTable[Search],1),"FEL")</f>
        <v>FEL</v>
      </c>
      <c r="O124" s="142" t="str">
        <f>IFERROR(SEARCH(SearchField,ProgramKurser[KURSNAMN])+ROW()/100000,"")</f>
        <v/>
      </c>
      <c r="P124" s="143" t="e">
        <f>ProgramKurser[KURSNAMN]</f>
        <v>#VALUE!</v>
      </c>
    </row>
    <row r="125" spans="14:16" x14ac:dyDescent="0.3">
      <c r="N125" s="142" t="str">
        <f>IFERROR(_xlfn.RANK.EQ(O125,SearchTable[Search],1),"FEL")</f>
        <v>FEL</v>
      </c>
      <c r="O125" s="142" t="str">
        <f>IFERROR(SEARCH(SearchField,ProgramKurser[KURSNAMN])+ROW()/100000,"")</f>
        <v/>
      </c>
      <c r="P125" s="143" t="e">
        <f>ProgramKurser[KURSNAMN]</f>
        <v>#VALUE!</v>
      </c>
    </row>
    <row r="126" spans="14:16" x14ac:dyDescent="0.3">
      <c r="N126" s="142" t="str">
        <f>IFERROR(_xlfn.RANK.EQ(O126,SearchTable[Search],1),"FEL")</f>
        <v>FEL</v>
      </c>
      <c r="O126" s="142" t="str">
        <f>IFERROR(SEARCH(SearchField,ProgramKurser[KURSNAMN])+ROW()/100000,"")</f>
        <v/>
      </c>
      <c r="P126" s="143" t="e">
        <f>ProgramKurser[KURSNAMN]</f>
        <v>#VALUE!</v>
      </c>
    </row>
    <row r="127" spans="14:16" x14ac:dyDescent="0.3">
      <c r="N127" s="142" t="str">
        <f>IFERROR(_xlfn.RANK.EQ(O127,SearchTable[Search],1),"FEL")</f>
        <v>FEL</v>
      </c>
      <c r="O127" s="142" t="str">
        <f>IFERROR(SEARCH(SearchField,ProgramKurser[KURSNAMN])+ROW()/100000,"")</f>
        <v/>
      </c>
      <c r="P127" s="143" t="e">
        <f>ProgramKurser[KURSNAMN]</f>
        <v>#VALUE!</v>
      </c>
    </row>
    <row r="128" spans="14:16" x14ac:dyDescent="0.3">
      <c r="N128" s="142" t="str">
        <f>IFERROR(_xlfn.RANK.EQ(O128,SearchTable[Search],1),"FEL")</f>
        <v>FEL</v>
      </c>
      <c r="O128" s="142" t="str">
        <f>IFERROR(SEARCH(SearchField,ProgramKurser[KURSNAMN])+ROW()/100000,"")</f>
        <v/>
      </c>
      <c r="P128" s="143" t="e">
        <f>ProgramKurser[KURSNAMN]</f>
        <v>#VALUE!</v>
      </c>
    </row>
    <row r="129" spans="14:16" x14ac:dyDescent="0.3">
      <c r="N129" s="142" t="str">
        <f>IFERROR(_xlfn.RANK.EQ(O129,SearchTable[Search],1),"FEL")</f>
        <v>FEL</v>
      </c>
      <c r="O129" s="142" t="str">
        <f>IFERROR(SEARCH(SearchField,ProgramKurser[KURSNAMN])+ROW()/100000,"")</f>
        <v/>
      </c>
      <c r="P129" s="143" t="e">
        <f>ProgramKurser[KURSNAMN]</f>
        <v>#VALUE!</v>
      </c>
    </row>
    <row r="130" spans="14:16" x14ac:dyDescent="0.3">
      <c r="N130" s="142" t="str">
        <f>IFERROR(_xlfn.RANK.EQ(O130,SearchTable[Search],1),"FEL")</f>
        <v>FEL</v>
      </c>
      <c r="O130" s="142" t="str">
        <f>IFERROR(SEARCH(SearchField,ProgramKurser[KURSNAMN])+ROW()/100000,"")</f>
        <v/>
      </c>
      <c r="P130" s="143" t="e">
        <f>ProgramKurser[KURSNAMN]</f>
        <v>#VALUE!</v>
      </c>
    </row>
    <row r="131" spans="14:16" x14ac:dyDescent="0.3">
      <c r="N131" s="142" t="str">
        <f>IFERROR(_xlfn.RANK.EQ(O131,SearchTable[Search],1),"FEL")</f>
        <v>FEL</v>
      </c>
      <c r="O131" s="142" t="str">
        <f>IFERROR(SEARCH(SearchField,ProgramKurser[KURSNAMN])+ROW()/100000,"")</f>
        <v/>
      </c>
      <c r="P131" s="143" t="e">
        <f>ProgramKurser[KURSNAMN]</f>
        <v>#VALUE!</v>
      </c>
    </row>
    <row r="132" spans="14:16" x14ac:dyDescent="0.3">
      <c r="N132" s="142" t="str">
        <f>IFERROR(_xlfn.RANK.EQ(O132,SearchTable[Search],1),"FEL")</f>
        <v>FEL</v>
      </c>
      <c r="O132" s="142" t="str">
        <f>IFERROR(SEARCH(SearchField,ProgramKurser[KURSNAMN])+ROW()/100000,"")</f>
        <v/>
      </c>
      <c r="P132" s="143" t="e">
        <f>ProgramKurser[KURSNAMN]</f>
        <v>#VALUE!</v>
      </c>
    </row>
    <row r="133" spans="14:16" x14ac:dyDescent="0.3">
      <c r="N133" s="142" t="str">
        <f>IFERROR(_xlfn.RANK.EQ(O133,SearchTable[Search],1),"FEL")</f>
        <v>FEL</v>
      </c>
      <c r="O133" s="142" t="str">
        <f>IFERROR(SEARCH(SearchField,ProgramKurser[KURSNAMN])+ROW()/100000,"")</f>
        <v/>
      </c>
      <c r="P133" s="143" t="e">
        <f>ProgramKurser[KURSNAMN]</f>
        <v>#VALUE!</v>
      </c>
    </row>
    <row r="134" spans="14:16" x14ac:dyDescent="0.3">
      <c r="N134" s="142" t="str">
        <f>IFERROR(_xlfn.RANK.EQ(O134,SearchTable[Search],1),"FEL")</f>
        <v>FEL</v>
      </c>
      <c r="O134" s="142" t="str">
        <f>IFERROR(SEARCH(SearchField,ProgramKurser[KURSNAMN])+ROW()/100000,"")</f>
        <v/>
      </c>
      <c r="P134" s="143" t="e">
        <f>ProgramKurser[KURSNAMN]</f>
        <v>#VALUE!</v>
      </c>
    </row>
    <row r="135" spans="14:16" x14ac:dyDescent="0.3">
      <c r="N135" s="142" t="str">
        <f>IFERROR(_xlfn.RANK.EQ(O135,SearchTable[Search],1),"FEL")</f>
        <v>FEL</v>
      </c>
      <c r="O135" s="142" t="str">
        <f>IFERROR(SEARCH(SearchField,ProgramKurser[KURSNAMN])+ROW()/100000,"")</f>
        <v/>
      </c>
      <c r="P135" s="143" t="e">
        <f>ProgramKurser[KURSNAMN]</f>
        <v>#VALUE!</v>
      </c>
    </row>
    <row r="136" spans="14:16" x14ac:dyDescent="0.3">
      <c r="N136" s="142" t="str">
        <f>IFERROR(_xlfn.RANK.EQ(O136,SearchTable[Search],1),"FEL")</f>
        <v>FEL</v>
      </c>
      <c r="O136" s="142" t="str">
        <f>IFERROR(SEARCH(SearchField,ProgramKurser[KURSNAMN])+ROW()/100000,"")</f>
        <v/>
      </c>
      <c r="P136" s="143" t="e">
        <f>ProgramKurser[KURSNAMN]</f>
        <v>#VALUE!</v>
      </c>
    </row>
    <row r="137" spans="14:16" x14ac:dyDescent="0.3">
      <c r="N137" s="142" t="str">
        <f>IFERROR(_xlfn.RANK.EQ(O137,SearchTable[Search],1),"FEL")</f>
        <v>FEL</v>
      </c>
      <c r="O137" s="142" t="str">
        <f>IFERROR(SEARCH(SearchField,ProgramKurser[KURSNAMN])+ROW()/100000,"")</f>
        <v/>
      </c>
      <c r="P137" s="143" t="e">
        <f>ProgramKurser[KURSNAMN]</f>
        <v>#VALUE!</v>
      </c>
    </row>
    <row r="138" spans="14:16" x14ac:dyDescent="0.3">
      <c r="N138" s="142" t="str">
        <f>IFERROR(_xlfn.RANK.EQ(O138,SearchTable[Search],1),"FEL")</f>
        <v>FEL</v>
      </c>
      <c r="O138" s="142" t="str">
        <f>IFERROR(SEARCH(SearchField,ProgramKurser[KURSNAMN])+ROW()/100000,"")</f>
        <v/>
      </c>
      <c r="P138" s="143" t="e">
        <f>ProgramKurser[KURSNAMN]</f>
        <v>#VALUE!</v>
      </c>
    </row>
    <row r="139" spans="14:16" x14ac:dyDescent="0.3">
      <c r="N139" s="142" t="str">
        <f>IFERROR(_xlfn.RANK.EQ(O139,SearchTable[Search],1),"FEL")</f>
        <v>FEL</v>
      </c>
      <c r="O139" s="142" t="str">
        <f>IFERROR(SEARCH(SearchField,ProgramKurser[KURSNAMN])+ROW()/100000,"")</f>
        <v/>
      </c>
      <c r="P139" s="143" t="e">
        <f>ProgramKurser[KURSNAMN]</f>
        <v>#VALUE!</v>
      </c>
    </row>
    <row r="140" spans="14:16" x14ac:dyDescent="0.3">
      <c r="N140" s="142" t="str">
        <f>IFERROR(_xlfn.RANK.EQ(O140,SearchTable[Search],1),"FEL")</f>
        <v>FEL</v>
      </c>
      <c r="O140" s="142" t="str">
        <f>IFERROR(SEARCH(SearchField,ProgramKurser[KURSNAMN])+ROW()/100000,"")</f>
        <v/>
      </c>
      <c r="P140" s="143" t="e">
        <f>ProgramKurser[KURSNAMN]</f>
        <v>#VALUE!</v>
      </c>
    </row>
    <row r="141" spans="14:16" x14ac:dyDescent="0.3">
      <c r="N141" s="142" t="str">
        <f>IFERROR(_xlfn.RANK.EQ(O141,SearchTable[Search],1),"FEL")</f>
        <v>FEL</v>
      </c>
      <c r="O141" s="142" t="str">
        <f>IFERROR(SEARCH(SearchField,ProgramKurser[KURSNAMN])+ROW()/100000,"")</f>
        <v/>
      </c>
      <c r="P141" s="143" t="e">
        <f>ProgramKurser[KURSNAMN]</f>
        <v>#VALUE!</v>
      </c>
    </row>
    <row r="142" spans="14:16" x14ac:dyDescent="0.3">
      <c r="N142" s="142" t="str">
        <f>IFERROR(_xlfn.RANK.EQ(O142,SearchTable[Search],1),"FEL")</f>
        <v>FEL</v>
      </c>
      <c r="O142" s="142" t="str">
        <f>IFERROR(SEARCH(SearchField,ProgramKurser[KURSNAMN])+ROW()/100000,"")</f>
        <v/>
      </c>
      <c r="P142" s="143" t="e">
        <f>ProgramKurser[KURSNAMN]</f>
        <v>#VALUE!</v>
      </c>
    </row>
    <row r="143" spans="14:16" x14ac:dyDescent="0.3">
      <c r="N143" s="142" t="str">
        <f>IFERROR(_xlfn.RANK.EQ(O143,SearchTable[Search],1),"FEL")</f>
        <v>FEL</v>
      </c>
      <c r="O143" s="142" t="str">
        <f>IFERROR(SEARCH(SearchField,ProgramKurser[KURSNAMN])+ROW()/100000,"")</f>
        <v/>
      </c>
      <c r="P143" s="143" t="e">
        <f>ProgramKurser[KURSNAMN]</f>
        <v>#VALUE!</v>
      </c>
    </row>
    <row r="144" spans="14:16" x14ac:dyDescent="0.3">
      <c r="N144" s="142" t="str">
        <f>IFERROR(_xlfn.RANK.EQ(O144,SearchTable[Search],1),"FEL")</f>
        <v>FEL</v>
      </c>
      <c r="O144" s="142" t="str">
        <f>IFERROR(SEARCH(SearchField,ProgramKurser[KURSNAMN])+ROW()/100000,"")</f>
        <v/>
      </c>
      <c r="P144" s="143" t="e">
        <f>ProgramKurser[KURSNAMN]</f>
        <v>#VALUE!</v>
      </c>
    </row>
    <row r="145" spans="14:16" x14ac:dyDescent="0.3">
      <c r="N145" s="142" t="str">
        <f>IFERROR(_xlfn.RANK.EQ(O145,SearchTable[Search],1),"FEL")</f>
        <v>FEL</v>
      </c>
      <c r="O145" s="142" t="str">
        <f>IFERROR(SEARCH(SearchField,ProgramKurser[KURSNAMN])+ROW()/100000,"")</f>
        <v/>
      </c>
      <c r="P145" s="143" t="e">
        <f>ProgramKurser[KURSNAMN]</f>
        <v>#VALUE!</v>
      </c>
    </row>
    <row r="146" spans="14:16" x14ac:dyDescent="0.3">
      <c r="N146" s="142" t="str">
        <f>IFERROR(_xlfn.RANK.EQ(O146,SearchTable[Search],1),"FEL")</f>
        <v>FEL</v>
      </c>
      <c r="O146" s="142" t="str">
        <f>IFERROR(SEARCH(SearchField,ProgramKurser[KURSNAMN])+ROW()/100000,"")</f>
        <v/>
      </c>
      <c r="P146" s="143" t="e">
        <f>ProgramKurser[KURSNAMN]</f>
        <v>#VALUE!</v>
      </c>
    </row>
    <row r="147" spans="14:16" x14ac:dyDescent="0.3">
      <c r="N147" s="142" t="str">
        <f>IFERROR(_xlfn.RANK.EQ(O147,SearchTable[Search],1),"FEL")</f>
        <v>FEL</v>
      </c>
      <c r="O147" s="142" t="str">
        <f>IFERROR(SEARCH(SearchField,ProgramKurser[KURSNAMN])+ROW()/100000,"")</f>
        <v/>
      </c>
      <c r="P147" s="143" t="e">
        <f>ProgramKurser[KURSNAMN]</f>
        <v>#VALUE!</v>
      </c>
    </row>
    <row r="148" spans="14:16" x14ac:dyDescent="0.3">
      <c r="N148" s="142" t="str">
        <f>IFERROR(_xlfn.RANK.EQ(O148,SearchTable[Search],1),"FEL")</f>
        <v>FEL</v>
      </c>
      <c r="O148" s="142" t="str">
        <f>IFERROR(SEARCH(SearchField,ProgramKurser[KURSNAMN])+ROW()/100000,"")</f>
        <v/>
      </c>
      <c r="P148" s="143" t="e">
        <f>ProgramKurser[KURSNAMN]</f>
        <v>#VALUE!</v>
      </c>
    </row>
    <row r="149" spans="14:16" x14ac:dyDescent="0.3">
      <c r="N149" s="142" t="str">
        <f>IFERROR(_xlfn.RANK.EQ(O149,SearchTable[Search],1),"FEL")</f>
        <v>FEL</v>
      </c>
      <c r="O149" s="142" t="str">
        <f>IFERROR(SEARCH(SearchField,ProgramKurser[KURSNAMN])+ROW()/100000,"")</f>
        <v/>
      </c>
      <c r="P149" s="143" t="e">
        <f>ProgramKurser[KURSNAMN]</f>
        <v>#VALUE!</v>
      </c>
    </row>
    <row r="150" spans="14:16" x14ac:dyDescent="0.3">
      <c r="N150" s="142" t="str">
        <f>IFERROR(_xlfn.RANK.EQ(O150,SearchTable[Search],1),"FEL")</f>
        <v>FEL</v>
      </c>
      <c r="O150" s="142" t="str">
        <f>IFERROR(SEARCH(SearchField,ProgramKurser[KURSNAMN])+ROW()/100000,"")</f>
        <v/>
      </c>
      <c r="P150" s="143" t="e">
        <f>ProgramKurser[KURSNAMN]</f>
        <v>#VALUE!</v>
      </c>
    </row>
    <row r="151" spans="14:16" x14ac:dyDescent="0.3">
      <c r="N151" s="142" t="str">
        <f>IFERROR(_xlfn.RANK.EQ(O151,SearchTable[Search],1),"FEL")</f>
        <v>FEL</v>
      </c>
      <c r="O151" s="142" t="str">
        <f>IFERROR(SEARCH(SearchField,ProgramKurser[KURSNAMN])+ROW()/100000,"")</f>
        <v/>
      </c>
      <c r="P151" s="143" t="e">
        <f>ProgramKurser[KURSNAMN]</f>
        <v>#VALUE!</v>
      </c>
    </row>
    <row r="152" spans="14:16" x14ac:dyDescent="0.3">
      <c r="N152" s="142" t="str">
        <f>IFERROR(_xlfn.RANK.EQ(O152,SearchTable[Search],1),"FEL")</f>
        <v>FEL</v>
      </c>
      <c r="O152" s="142" t="str">
        <f>IFERROR(SEARCH(SearchField,ProgramKurser[KURSNAMN])+ROW()/100000,"")</f>
        <v/>
      </c>
      <c r="P152" s="143" t="e">
        <f>ProgramKurser[KURSNAMN]</f>
        <v>#VALUE!</v>
      </c>
    </row>
    <row r="153" spans="14:16" x14ac:dyDescent="0.3">
      <c r="N153" s="142" t="str">
        <f>IFERROR(_xlfn.RANK.EQ(O153,SearchTable[Search],1),"FEL")</f>
        <v>FEL</v>
      </c>
      <c r="O153" s="142" t="str">
        <f>IFERROR(SEARCH(SearchField,ProgramKurser[KURSNAMN])+ROW()/100000,"")</f>
        <v/>
      </c>
      <c r="P153" s="143" t="e">
        <f>ProgramKurser[KURSNAMN]</f>
        <v>#VALUE!</v>
      </c>
    </row>
    <row r="154" spans="14:16" x14ac:dyDescent="0.3">
      <c r="N154" s="142" t="str">
        <f>IFERROR(_xlfn.RANK.EQ(O154,SearchTable[Search],1),"FEL")</f>
        <v>FEL</v>
      </c>
      <c r="O154" s="142" t="str">
        <f>IFERROR(SEARCH(SearchField,ProgramKurser[KURSNAMN])+ROW()/100000,"")</f>
        <v/>
      </c>
      <c r="P154" s="143" t="e">
        <f>ProgramKurser[KURSNAMN]</f>
        <v>#VALUE!</v>
      </c>
    </row>
  </sheetData>
  <pageMargins left="0.7" right="0.7" top="0.75" bottom="0.75" header="0.3" footer="0.3"/>
  <tableParts count="7">
    <tablePart r:id="rId1"/>
    <tablePart r:id="rId2"/>
    <tablePart r:id="rId3"/>
    <tablePart r:id="rId4"/>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8F329870-9647-4925-B360-398BCCCEDFA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9</vt:i4>
      </vt:variant>
      <vt:variant>
        <vt:lpstr>Namngivna områden</vt:lpstr>
      </vt:variant>
      <vt:variant>
        <vt:i4>49</vt:i4>
      </vt:variant>
    </vt:vector>
  </HeadingPairs>
  <TitlesOfParts>
    <vt:vector size="58" baseType="lpstr">
      <vt:lpstr>Sammanställning</vt:lpstr>
      <vt:lpstr>Ditt informationsblad</vt:lpstr>
      <vt:lpstr>Programkurser</vt:lpstr>
      <vt:lpstr>Examenskrav</vt:lpstr>
      <vt:lpstr>Program och examenskrav</vt:lpstr>
      <vt:lpstr>Automatiserad import</vt:lpstr>
      <vt:lpstr>Om arbetsboken</vt:lpstr>
      <vt:lpstr>Data</vt:lpstr>
      <vt:lpstr>Konstanter</vt:lpstr>
      <vt:lpstr>Avslutade_poäng</vt:lpstr>
      <vt:lpstr>Block</vt:lpstr>
      <vt:lpstr>EcoSpec</vt:lpstr>
      <vt:lpstr>Import_Program</vt:lpstr>
      <vt:lpstr>Import_Spec</vt:lpstr>
      <vt:lpstr>Import_year</vt:lpstr>
      <vt:lpstr>ImportStart</vt:lpstr>
      <vt:lpstr>Intjänade_kurspoäng</vt:lpstr>
      <vt:lpstr>KurskodForNyKurs</vt:lpstr>
      <vt:lpstr>Programkurser!KursnamnForNyKurs</vt:lpstr>
      <vt:lpstr>Kurspoang</vt:lpstr>
      <vt:lpstr>Kurspoäng</vt:lpstr>
      <vt:lpstr>Kurspoäng_som_krävs</vt:lpstr>
      <vt:lpstr>name</vt:lpstr>
      <vt:lpstr>NewProgram</vt:lpstr>
      <vt:lpstr>NewProgramCredits</vt:lpstr>
      <vt:lpstr>NewProgramToAdd</vt:lpstr>
      <vt:lpstr>NewProgramYears</vt:lpstr>
      <vt:lpstr>newTechP</vt:lpstr>
      <vt:lpstr>NewTechSpec</vt:lpstr>
      <vt:lpstr>Niva</vt:lpstr>
      <vt:lpstr>Nivå</vt:lpstr>
      <vt:lpstr>Period</vt:lpstr>
      <vt:lpstr>Program</vt:lpstr>
      <vt:lpstr>ProgramForNewCourse</vt:lpstr>
      <vt:lpstr>SearchField</vt:lpstr>
      <vt:lpstr>SearchResult</vt:lpstr>
      <vt:lpstr>SearchResultBlock</vt:lpstr>
      <vt:lpstr>SearchResultCode</vt:lpstr>
      <vt:lpstr>SearchResultCredits</vt:lpstr>
      <vt:lpstr>SearchResultLevel</vt:lpstr>
      <vt:lpstr>SearchResultSemester</vt:lpstr>
      <vt:lpstr>SearchResultSemesterPart</vt:lpstr>
      <vt:lpstr>SearchResultTech</vt:lpstr>
      <vt:lpstr>SearchResultYear</vt:lpstr>
      <vt:lpstr>Sök_efter_examenskrav</vt:lpstr>
      <vt:lpstr>TechProgram</vt:lpstr>
      <vt:lpstr>TechSpec</vt:lpstr>
      <vt:lpstr>TekniskInriktning</vt:lpstr>
      <vt:lpstr>Termin</vt:lpstr>
      <vt:lpstr>'Program och examenskrav'!Utskriftsrubriker</vt:lpstr>
      <vt:lpstr>Programkurser!Utskriftsrubriker</vt:lpstr>
      <vt:lpstr>ValidLevels</vt:lpstr>
      <vt:lpstr>ValidPerioder</vt:lpstr>
      <vt:lpstr>ValidSemester</vt:lpstr>
      <vt:lpstr>ValidSemesterParts</vt:lpstr>
      <vt:lpstr>ValidSemesters</vt:lpstr>
      <vt:lpstr>Year</vt:lpstr>
      <vt:lpstr>Återstående_kurspoäng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College credits tracker</dc:title>
  <dc:creator>Tobias Genborg</dc:creator>
  <cp:keywords/>
  <cp:lastModifiedBy>Tobias Genborg</cp:lastModifiedBy>
  <dcterms:created xsi:type="dcterms:W3CDTF">2014-05-26T18:51:10Z</dcterms:created>
  <dcterms:modified xsi:type="dcterms:W3CDTF">2014-06-26T16:55:46Z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TC028021029991</vt:lpwstr>
  </property>
</Properties>
</file>